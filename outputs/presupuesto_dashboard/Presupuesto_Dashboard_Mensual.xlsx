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5d684960a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6d89ddab4df4bea"/>
    <x:sheet xmlns:r="http://schemas.openxmlformats.org/officeDocument/2006/relationships" name="Movimientos" sheetId="2" r:id="Rbef4b3d8ba17489c"/>
    <x:sheet xmlns:r="http://schemas.openxmlformats.org/officeDocument/2006/relationships" name="Pagos recurrentes" sheetId="3" r:id="R06d2ea9e07ed423d"/>
    <x:sheet xmlns:r="http://schemas.openxmlformats.org/officeDocument/2006/relationships" name="Mercado" sheetId="4" r:id="Rc276956c117b4e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$#,##0.00"/>
    <x:numFmt numFmtId="202" formatCode="0"/>
  </x:numFmts>
  <x:fonts count="12">
    <x:font>
      <x:sz val="11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  <x:font>
      <x:b/>
      <x:sz val="20"/>
      <x:color rgb="FFFFFFFF"/>
      <x:name val="Aptos"/>
    </x:font>
    <x:font>
      <x:b/>
      <x:sz val="11"/>
      <x:color rgb="FF5F6B7A"/>
      <x:name val="Carlito"/>
    </x:font>
    <x:font>
      <x:b/>
      <x:sz val="11"/>
      <x:color rgb="FF17202A"/>
      <x:name val="Carlito"/>
    </x:font>
    <x:font>
      <x:sz val="11"/>
      <x:color rgb="FFF5F7FA"/>
      <x:name val="Carlito"/>
    </x:font>
    <x:font>
      <x:b/>
      <x:sz val="16"/>
      <x:color rgb="FF17202A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  <x:font>
      <x:b/>
      <x:sz val="9"/>
      <x:color rgb="FF17202A"/>
      <x:name val="Carlito"/>
    </x:font>
    <x:font>
      <x:sz val="9"/>
      <x:color rgb="FF17202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3D4A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E7F1F3"/>
      </x:patternFill>
    </x:fill>
    <x:fill>
      <x:patternFill patternType="solid">
        <x:fgColor rgb="FFEAF6EF"/>
      </x:patternFill>
    </x:fill>
    <x:fill>
      <x:patternFill patternType="solid">
        <x:fgColor rgb="FFFFF6DF"/>
      </x:patternFill>
    </x:fill>
    <x:fill>
      <x:patternFill patternType="solid">
        <x:fgColor rgb="FFFCECEC"/>
      </x:patternFill>
    </x:fill>
    <x:fill>
      <x:patternFill patternType="solid">
        <x:fgColor rgb="FF2E8B5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4" borderId="1" xfId="0" applyNumberFormat="1" applyFont="1" applyFill="1" applyBorder="1"/>
    <x:xf numFmtId="0" fontId="6" fillId="3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7" fillId="4" borderId="1" xfId="0" applyNumberFormat="1" applyFont="1" applyFill="1" applyBorder="1"/>
    <x:xf numFmtId="201" fontId="7" fillId="4" borderId="1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201" fontId="0" fillId="4" borderId="1" xfId="0" applyNumberFormat="1" applyFont="1" applyFill="1" applyBorder="1"/>
    <x:xf numFmtId="201" fontId="0" fillId="3" borderId="0" xfId="0" applyNumberFormat="1" applyFont="1" applyFill="1" applyBorder="1"/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200" fontId="0" fillId="4" borderId="1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9" fillId="4" borderId="0" xfId="0" applyNumberFormat="1" applyFont="1" applyFill="1" applyBorder="1"/>
    <x:xf numFmtId="201" fontId="9" fillId="4" borderId="0" xfId="0" applyNumberFormat="1" applyFont="1" applyFill="1" applyBorder="1"/>
    <x:xf numFmtId="0" fontId="10" fillId="5" borderId="1" xfId="0" applyNumberFormat="1" applyFont="1" applyFill="1" applyBorder="1"/>
    <x:xf numFmtId="0" fontId="11" fillId="3" borderId="0" xfId="0" applyNumberFormat="1" applyFont="1" applyFill="1" applyBorder="1"/>
    <x:xf numFmtId="0" fontId="10" fillId="6" borderId="1" xfId="0" applyNumberFormat="1" applyFont="1" applyFill="1" applyBorder="1"/>
    <x:xf numFmtId="0" fontId="11" fillId="4" borderId="1" xfId="0" applyNumberFormat="1" applyFont="1" applyFill="1" applyBorder="1"/>
    <x:xf numFmtId="200" fontId="11" fillId="4" borderId="1" xfId="0" applyNumberFormat="1" applyFont="1" applyFill="1" applyBorder="1"/>
    <x:xf numFmtId="201" fontId="11" fillId="4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C94C4C"/>
      </x:font>
      <x:fill>
        <x:patternFill patternType="solid">
          <x:bgColor rgb="FFFC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62a231a934f14" /><Relationship Type="http://schemas.openxmlformats.org/officeDocument/2006/relationships/theme" Target="/xl/theme/theme1.xml" Id="R64126fc8a0dc4444" /><Relationship Type="http://schemas.openxmlformats.org/officeDocument/2006/relationships/sharedStrings" Target="/xl/sharedStrings.xml" Id="R21af5a7d3eef4404" /><Relationship Type="http://schemas.openxmlformats.org/officeDocument/2006/relationships/worksheet" Target="/xl/worksheets/sheet1.xml" Id="R66d89ddab4df4bea" /><Relationship Type="http://schemas.openxmlformats.org/officeDocument/2006/relationships/worksheet" Target="/xl/worksheets/sheet2.xml" Id="Rbef4b3d8ba17489c" /><Relationship Type="http://schemas.openxmlformats.org/officeDocument/2006/relationships/worksheet" Target="/xl/worksheets/sheet3.xml" Id="R06d2ea9e07ed423d" /><Relationship Type="http://schemas.openxmlformats.org/officeDocument/2006/relationships/worksheet" Target="/xl/worksheets/sheet4.xml" Id="Rc276956c117b4e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548b58e0b248d6" /><Relationship Type="http://schemas.openxmlformats.org/officeDocument/2006/relationships/chart" Target="/xl/drawings/charts/chart2.xml" Id="R7ca2841b4ddb41e1" /><Relationship Type="http://schemas.openxmlformats.org/officeDocument/2006/relationships/chart" Target="/xl/drawings/charts/chart3.xml" Id="R81d7c90b08dc40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Gastos por categoría del mes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Gasto</c:v>
          </c:tx>
          <c:cat>
            <c:strRef>
              <c:f>'Dashboard'!$O$2:$O$11</c:f>
              <c:strCache>
                <c:ptCount val="0"/>
              </c:strCache>
            </c:strRef>
          </c:cat>
          <c:val>
            <c:numRef>
              <c:f>'Dashboard'!$P$2:$P$11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Fijos vs variables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Monto</c:v>
          </c:tx>
          <c:cat>
            <c:strRef>
              <c:f>'Dashboard'!$Q$2:$Q$3</c:f>
              <c:strCache>
                <c:ptCount val="0"/>
              </c:strCache>
            </c:strRef>
          </c:cat>
          <c:val>
            <c:numRef>
              <c:f>'Dashboard'!$R$2:$R$3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Comparación mensual de gastos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Total gastos</c:v>
          </c:tx>
          <c:cat>
            <c:strRef>
              <c:f>'Dashboard'!$S$2:$S$13</c:f>
              <c:strCache>
                <c:ptCount val="0"/>
              </c:strCache>
            </c:strRef>
          </c:cat>
          <c:val>
            <c:numRef>
              <c:f>'Dashboard'!$T$2:$T$13</c:f>
              <c:numCache>
                <c:formatCode>$#,##0.00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548b58e0b248d6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a2841b4ddb41e1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d7c90b08dc40d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vimientosTabla" displayName="MovimientosTabla" ref="A1:E200" headerRowCount="1">
  <x:tableColumns count="5">
    <x:tableColumn id="1" name="Fecha"/>
    <x:tableColumn id="2" name="Tipo"/>
    <x:tableColumn id="3" name="Categoría"/>
    <x:tableColumn id="4" name="Descripción"/>
    <x:tableColumn id="5" name="Monto"/>
  </x:tableColumns>
  <x:tableStyleInfo name="TableStyleMedium2" showRowStripes="1"/>
</x:table>
</file>

<file path=xl/tables/table2.xml><?xml version="1.0" encoding="utf-8"?>
<x:table xmlns:x="http://schemas.openxmlformats.org/spreadsheetml/2006/main" id="2" name="PagosRecurrentesTabla" displayName="PagosRecurrentesTabla" ref="A1:C100" headerRowCount="1">
  <x:tableColumns count="3">
    <x:tableColumn id="1" name="Concepto"/>
    <x:tableColumn id="2" name="Monto"/>
    <x:tableColumn id="3" name="Día de pago"/>
  </x:tableColumns>
  <x:tableStyleInfo name="TableStyleMedium4" showRowStripes="1"/>
</x:table>
</file>

<file path=xl/tables/table3.xml><?xml version="1.0" encoding="utf-8"?>
<x:table xmlns:x="http://schemas.openxmlformats.org/spreadsheetml/2006/main" id="3" name="MercadoTabla" displayName="MercadoTabla" ref="A1:C100" headerRowCount="1">
  <x:tableColumns count="3">
    <x:tableColumn id="1" name="Producto"/>
    <x:tableColumn id="2" name="Última compra"/>
    <x:tableColumn id="3" name="Estado"/>
  </x:tableColumns>
  <x:tableStyleInfo name="TableStyleMedium7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745acf9faf4d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4b83a8aae64d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c4734e0c0e49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4ed9f9acb643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1.25" hidden="0" customWidth="1"/>
    <x:col min="3" max="3" width="16.25" hidden="0" customWidth="1"/>
    <x:col min="4" max="4" width="16.25" hidden="0" customWidth="1"/>
    <x:col min="5" max="5" width="3.25" hidden="0" customWidth="1"/>
    <x:col min="6" max="6" width="18.75" hidden="0" customWidth="1"/>
    <x:col min="7" max="7" width="16.25" hidden="0" customWidth="1"/>
    <x:col min="8" max="8" width="16.25" hidden="0" customWidth="1"/>
    <x:col min="9" max="9" width="3.5" hidden="0" customWidth="1"/>
    <x:col min="10" max="10" width="18.75" hidden="0" customWidth="1"/>
    <x:col min="11" max="11" width="16.25" hidden="0" customWidth="1"/>
    <x:col min="12" max="12" width="16.25" hidden="0" customWidth="1"/>
    <x:col min="14" max="14" width="0.25" hidden="0" customWidth="1"/>
    <x:col min="15" max="15" width="0.25" hidden="0" customWidth="1"/>
    <x:col min="16" max="16" width="0.25" hidden="0" customWidth="1"/>
    <x:col min="17" max="17" width="0.25" hidden="0" customWidth="1"/>
    <x:col min="18" max="18" width="0.25" hidden="0" customWidth="1"/>
    <x:col min="19" max="19" width="0.25" hidden="0" customWidth="1"/>
    <x:col min="20" max="20" width="0.25" hidden="0" customWidth="1"/>
  </x:cols>
  <x:sheetData>
    <x:row r="1" ht="31.5" customHeight="1">
      <x:c r="A1" s="13" t="str">
        <x:v>Dashboard financiero mensual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N1" s="45" t="str">
        <x:v>MesNum</x:v>
      </x:c>
      <x:c r="O1" s="45" t="str">
        <x:v>Categoría</x:v>
      </x:c>
      <x:c r="P1" s="45" t="str">
        <x:v>Gasto</x:v>
      </x:c>
      <x:c r="Q1" s="45" t="str">
        <x:v>Tipo</x:v>
      </x:c>
      <x:c r="R1" s="45" t="str">
        <x:v>Monto</x:v>
      </x:c>
      <x:c r="S1" s="45" t="str">
        <x:v>Mes</x:v>
      </x:c>
      <x:c r="T1" s="45" t="str">
        <x:v>Total gastos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N2" s="45" t="n">
        <x:v>1</x:v>
      </x:c>
      <x:c r="O2" s="45" t="str">
        <x:v>Renta</x:v>
      </x:c>
      <x:c r="P2" s="46" t="n">
        <x:f>SUMIFS(Movimientos!$E$2:$E$200,Movimientos!$C$2:$C$200,O2,Movimientos!$B$2:$B$200,"&lt;&gt;Ingreso",Movimientos!$A$2:$A$200,"&gt;="&amp;DATE($C$4,$D$3,1),Movimientos!$A$2:$A$200,"&lt;"&amp;EDATE(DATE($C$4,$D$3,1),1))</x:f>
        <x:v>0</x:v>
      </x:c>
      <x:c r="Q2" s="45" t="str">
        <x:v>Fijos</x:v>
      </x:c>
      <x:c r="R2" s="46" t="n">
        <x:f>G7</x:f>
        <x:v>0</x:v>
      </x:c>
      <x:c r="S2" s="45" t="str">
        <x:v>Enero</x:v>
      </x:c>
      <x:c r="T2" s="46" t="n">
        <x:f>SUMIFS(Movimientos!$E$2:$E$200,Movimientos!$B$2:$B$200,"&lt;&gt;Ingreso",Movimientos!$A$2:$A$200,"&gt;="&amp;DATE($C$4,1,1),Movimientos!$A$2:$A$200,"&lt;"&amp;EDATE(DATE($C$4,1,1),1))</x:f>
        <x:v>925</x:v>
      </x:c>
    </x:row>
    <x:row r="3" ht="18" customHeight="1">
      <x:c r="A3" s="14"/>
      <x:c r="B3" s="18" t="str">
        <x:v>Mes seleccionado</x:v>
      </x:c>
      <x:c r="C3" s="19" t="str">
        <x:v>Junio</x:v>
      </x:c>
      <x:c r="D3" s="20" t="n">
        <x:f>MATCH(C3,{"Enero","Febrero","Marzo","Abril","Mayo","Junio","Julio","Agosto","Septiembre","Octubre","Noviembre","Diciembre"},0)</x:f>
        <x:v>6</x:v>
      </x:c>
      <x:c r="E3" s="14"/>
      <x:c r="F3" s="14"/>
      <x:c r="G3" s="14"/>
      <x:c r="H3" s="14"/>
      <x:c r="I3" s="14"/>
      <x:c r="J3" s="14"/>
      <x:c r="K3" s="14"/>
      <x:c r="L3" s="14"/>
      <x:c r="N3" s="45" t="n">
        <x:v>2</x:v>
      </x:c>
      <x:c r="O3" s="45" t="str">
        <x:v>Internet</x:v>
      </x:c>
      <x:c r="P3" s="46" t="n">
        <x:f>SUMIFS(Movimientos!$E$2:$E$200,Movimientos!$C$2:$C$200,O3,Movimientos!$B$2:$B$200,"&lt;&gt;Ingreso",Movimientos!$A$2:$A$200,"&gt;="&amp;DATE($C$4,$D$3,1),Movimientos!$A$2:$A$200,"&lt;"&amp;EDATE(DATE($C$4,$D$3,1),1))</x:f>
        <x:v>0</x:v>
      </x:c>
      <x:c r="Q3" s="45" t="str">
        <x:v>Variables</x:v>
      </x:c>
      <x:c r="R3" s="46" t="n">
        <x:f>K7</x:f>
        <x:v>165</x:v>
      </x:c>
      <x:c r="S3" s="45" t="str">
        <x:v>Febrero</x:v>
      </x:c>
      <x:c r="T3" s="46" t="n">
        <x:f>SUMIFS(Movimientos!$E$2:$E$200,Movimientos!$B$2:$B$200,"&lt;&gt;Ingreso",Movimientos!$A$2:$A$200,"&gt;="&amp;DATE($C$4,2,1),Movimientos!$A$2:$A$200,"&lt;"&amp;EDATE(DATE($C$4,2,1),1))</x:f>
        <x:v>1050</x:v>
      </x:c>
    </x:row>
    <x:row r="4" ht="18" customHeight="1">
      <x:c r="A4" s="14"/>
      <x:c r="B4" s="18" t="str">
        <x:v>Año</x:v>
      </x:c>
      <x:c r="C4" s="19" t="n">
        <x:v>2026</x:v>
      </x:c>
      <x:c r="D4" s="14"/>
      <x:c r="E4" s="14"/>
      <x:c r="F4" s="14"/>
      <x:c r="G4" s="14"/>
      <x:c r="H4" s="14"/>
      <x:c r="I4" s="14"/>
      <x:c r="J4" s="14"/>
      <x:c r="K4" s="14"/>
      <x:c r="L4" s="14"/>
      <x:c r="N4" s="45" t="n">
        <x:v>3</x:v>
      </x:c>
      <x:c r="O4" s="45" t="str">
        <x:v>Luz</x:v>
      </x:c>
      <x:c r="P4" s="46" t="n">
        <x:f>SUMIFS(Movimientos!$E$2:$E$200,Movimientos!$C$2:$C$200,O4,Movimientos!$B$2:$B$200,"&lt;&gt;Ingreso",Movimientos!$A$2:$A$200,"&gt;="&amp;DATE($C$4,$D$3,1),Movimientos!$A$2:$A$200,"&lt;"&amp;EDATE(DATE($C$4,$D$3,1),1))</x:f>
        <x:v>0</x:v>
      </x:c>
      <x:c r="Q4" s="45"/>
      <x:c r="R4" s="45"/>
      <x:c r="S4" s="45" t="str">
        <x:v>Marzo</x:v>
      </x:c>
      <x:c r="T4" s="46" t="n">
        <x:f>SUMIFS(Movimientos!$E$2:$E$200,Movimientos!$B$2:$B$200,"&lt;&gt;Ingreso",Movimientos!$A$2:$A$200,"&gt;="&amp;DATE($C$4,3,1),Movimientos!$A$2:$A$200,"&lt;"&amp;EDATE(DATE($C$4,3,1),1))</x:f>
        <x:v>985</x:v>
      </x:c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N5" s="45" t="n">
        <x:v>4</x:v>
      </x:c>
      <x:c r="O5" s="45" t="str">
        <x:v>Mercado</x:v>
      </x:c>
      <x:c r="P5" s="46" t="n">
        <x:f>SUMIFS(Movimientos!$E$2:$E$200,Movimientos!$C$2:$C$200,O5,Movimientos!$B$2:$B$200,"&lt;&gt;Ingreso",Movimientos!$A$2:$A$200,"&gt;="&amp;DATE($C$4,$D$3,1),Movimientos!$A$2:$A$200,"&lt;"&amp;EDATE(DATE($C$4,$D$3,1),1))</x:f>
        <x:v>165</x:v>
      </x:c>
      <x:c r="Q5" s="45"/>
      <x:c r="R5" s="45"/>
      <x:c r="S5" s="45" t="str">
        <x:v>Abril</x:v>
      </x:c>
      <x:c r="T5" s="46" t="n">
        <x:f>SUMIFS(Movimientos!$E$2:$E$200,Movimientos!$B$2:$B$200,"&lt;&gt;Ingreso",Movimientos!$A$2:$A$200,"&gt;="&amp;DATE($C$4,4,1),Movimientos!$A$2:$A$200,"&lt;"&amp;EDATE(DATE($C$4,4,1),1))</x:f>
        <x:v>987</x:v>
      </x:c>
    </x:row>
    <x:row r="6">
      <x:c r="A6" s="14"/>
      <x:c r="B6" s="22" t="str">
        <x:v>Ingresos</x:v>
      </x:c>
      <x:c r="C6" s="16"/>
      <x:c r="D6" s="36"/>
      <x:c r="E6" s="36"/>
      <x:c r="F6" s="26" t="str">
        <x:v>Gastos fijos</x:v>
      </x:c>
      <x:c r="G6" s="16"/>
      <x:c r="H6" s="36"/>
      <x:c r="I6" s="36"/>
      <x:c r="J6" s="28" t="str">
        <x:v>Gastos variables</x:v>
      </x:c>
      <x:c r="K6" s="16"/>
      <x:c r="L6" s="14"/>
      <x:c r="N6" s="45" t="n">
        <x:v>5</x:v>
      </x:c>
      <x:c r="O6" s="45" t="str">
        <x:v>Transporte</x:v>
      </x:c>
      <x:c r="P6" s="46" t="n">
        <x:f>SUMIFS(Movimientos!$E$2:$E$200,Movimientos!$C$2:$C$200,O6,Movimientos!$B$2:$B$200,"&lt;&gt;Ingreso",Movimientos!$A$2:$A$200,"&gt;="&amp;DATE($C$4,$D$3,1),Movimientos!$A$2:$A$200,"&lt;"&amp;EDATE(DATE($C$4,$D$3,1),1))</x:f>
        <x:v>0</x:v>
      </x:c>
      <x:c r="Q6" s="45"/>
      <x:c r="R6" s="45"/>
      <x:c r="S6" s="45" t="str">
        <x:v>Mayo</x:v>
      </x:c>
      <x:c r="T6" s="46" t="n">
        <x:f>SUMIFS(Movimientos!$E$2:$E$200,Movimientos!$B$2:$B$200,"&lt;&gt;Ingreso",Movimientos!$A$2:$A$200,"&gt;="&amp;DATE($C$4,5,1),Movimientos!$A$2:$A$200,"&lt;"&amp;EDATE(DATE($C$4,5,1),1))</x:f>
        <x:v>0</x:v>
      </x:c>
    </x:row>
    <x:row r="7">
      <x:c r="A7" s="14"/>
      <x:c r="B7" s="16"/>
      <x:c r="C7" s="24" t="n">
        <x:f>SUMIFS(Movimientos!$E$2:$E$200,Movimientos!$B$2:$B$200,"Ingreso",Movimientos!$A$2:$A$200,"&gt;="&amp;DATE($C$4,$D$3,1),Movimientos!$A$2:$A$200,"&lt;"&amp;EDATE(DATE($C$4,$D$3,1),1))</x:f>
        <x:v>2400</x:v>
      </x:c>
      <x:c r="D7" s="36"/>
      <x:c r="E7" s="36"/>
      <x:c r="F7" s="16"/>
      <x:c r="G7" s="24" t="n">
        <x:f>SUMIFS(Movimientos!$E$2:$E$200,Movimientos!$B$2:$B$200,"Fijo",Movimientos!$A$2:$A$200,"&gt;="&amp;DATE($C$4,$D$3,1),Movimientos!$A$2:$A$200,"&lt;"&amp;EDATE(DATE($C$4,$D$3,1),1))</x:f>
        <x:v>0</x:v>
      </x:c>
      <x:c r="H7" s="36"/>
      <x:c r="I7" s="36"/>
      <x:c r="J7" s="16"/>
      <x:c r="K7" s="24" t="n">
        <x:f>SUMIFS(Movimientos!$E$2:$E$200,Movimientos!$B$2:$B$200,"Variable",Movimientos!$A$2:$A$200,"&gt;="&amp;DATE($C$4,$D$3,1),Movimientos!$A$2:$A$200,"&lt;"&amp;EDATE(DATE($C$4,$D$3,1),1))</x:f>
        <x:v>165</x:v>
      </x:c>
      <x:c r="L7" s="14"/>
      <x:c r="N7" s="45" t="n">
        <x:v>6</x:v>
      </x:c>
      <x:c r="O7" s="45" t="str">
        <x:v>Salud</x:v>
      </x:c>
      <x:c r="P7" s="46" t="n">
        <x:f>SUMIFS(Movimientos!$E$2:$E$200,Movimientos!$C$2:$C$200,O7,Movimientos!$B$2:$B$200,"&lt;&gt;Ingreso",Movimientos!$A$2:$A$200,"&gt;="&amp;DATE($C$4,$D$3,1),Movimientos!$A$2:$A$200,"&lt;"&amp;EDATE(DATE($C$4,$D$3,1),1))</x:f>
        <x:v>0</x:v>
      </x:c>
      <x:c r="Q7" s="45"/>
      <x:c r="R7" s="45"/>
      <x:c r="S7" s="45" t="str">
        <x:v>Junio</x:v>
      </x:c>
      <x:c r="T7" s="46" t="n">
        <x:f>SUMIFS(Movimientos!$E$2:$E$200,Movimientos!$B$2:$B$200,"&lt;&gt;Ingreso",Movimientos!$A$2:$A$200,"&gt;="&amp;DATE($C$4,6,1),Movimientos!$A$2:$A$200,"&lt;"&amp;EDATE(DATE($C$4,6,1),1))</x:f>
        <x:v>165</x:v>
      </x:c>
    </x:row>
    <x:row r="8">
      <x:c r="A8" s="14"/>
      <x:c r="B8" s="16"/>
      <x:c r="C8" s="29"/>
      <x:c r="D8" s="36"/>
      <x:c r="E8" s="36"/>
      <x:c r="F8" s="16"/>
      <x:c r="G8" s="16"/>
      <x:c r="H8" s="36"/>
      <x:c r="I8" s="36"/>
      <x:c r="J8" s="16"/>
      <x:c r="K8" s="16"/>
      <x:c r="L8" s="14"/>
      <x:c r="N8" s="45" t="n">
        <x:v>7</x:v>
      </x:c>
      <x:c r="O8" s="45" t="str">
        <x:v>Ocio</x:v>
      </x:c>
      <x:c r="P8" s="46" t="n">
        <x:f>SUMIFS(Movimientos!$E$2:$E$200,Movimientos!$C$2:$C$200,O8,Movimientos!$B$2:$B$200,"&lt;&gt;Ingreso",Movimientos!$A$2:$A$200,"&gt;="&amp;DATE($C$4,$D$3,1),Movimientos!$A$2:$A$200,"&lt;"&amp;EDATE(DATE($C$4,$D$3,1),1))</x:f>
        <x:v>0</x:v>
      </x:c>
      <x:c r="Q8" s="45"/>
      <x:c r="R8" s="45"/>
      <x:c r="S8" s="45" t="str">
        <x:v>Julio</x:v>
      </x:c>
      <x:c r="T8" s="46" t="n">
        <x:f>SUMIFS(Movimientos!$E$2:$E$200,Movimientos!$B$2:$B$200,"&lt;&gt;Ingreso",Movimientos!$A$2:$A$200,"&gt;="&amp;DATE($C$4,7,1),Movimientos!$A$2:$A$200,"&lt;"&amp;EDATE(DATE($C$4,7,1),1))</x:f>
        <x:v>0</x:v>
      </x:c>
    </x:row>
    <x:row r="9">
      <x:c r="A9" s="14"/>
      <x:c r="B9" s="36"/>
      <x:c r="C9" s="38"/>
      <x:c r="D9" s="36"/>
      <x:c r="E9" s="36"/>
      <x:c r="F9" s="36"/>
      <x:c r="G9" s="36"/>
      <x:c r="H9" s="36"/>
      <x:c r="I9" s="36"/>
      <x:c r="J9" s="36"/>
      <x:c r="K9" s="36"/>
      <x:c r="L9" s="14"/>
      <x:c r="N9" s="45" t="n">
        <x:v>8</x:v>
      </x:c>
      <x:c r="O9" s="45" t="str">
        <x:v>Helado</x:v>
      </x:c>
      <x:c r="P9" s="46" t="n">
        <x:f>SUMIFS(Movimientos!$E$2:$E$200,Movimientos!$C$2:$C$200,O9,Movimientos!$B$2:$B$200,"&lt;&gt;Ingreso",Movimientos!$A$2:$A$200,"&gt;="&amp;DATE($C$4,$D$3,1),Movimientos!$A$2:$A$200,"&lt;"&amp;EDATE(DATE($C$4,$D$3,1),1))</x:f>
        <x:v>0</x:v>
      </x:c>
      <x:c r="Q9" s="45"/>
      <x:c r="R9" s="45"/>
      <x:c r="S9" s="45" t="str">
        <x:v>Agosto</x:v>
      </x:c>
      <x:c r="T9" s="46" t="n">
        <x:f>SUMIFS(Movimientos!$E$2:$E$200,Movimientos!$B$2:$B$200,"&lt;&gt;Ingreso",Movimientos!$A$2:$A$200,"&gt;="&amp;DATE($C$4,8,1),Movimientos!$A$2:$A$200,"&lt;"&amp;EDATE(DATE($C$4,8,1),1))</x:f>
        <x:v>0</x:v>
      </x:c>
    </x:row>
    <x:row r="10">
      <x:c r="A10" s="14"/>
      <x:c r="B10" s="18" t="str">
        <x:v>Dinero disponible</x:v>
      </x:c>
      <x:c r="C10" s="29"/>
      <x:c r="D10" s="36"/>
      <x:c r="E10" s="36"/>
      <x:c r="F10" s="36"/>
      <x:c r="G10" s="36"/>
      <x:c r="H10" s="36"/>
      <x:c r="I10" s="36"/>
      <x:c r="J10" s="36"/>
      <x:c r="K10" s="36"/>
      <x:c r="L10" s="14"/>
      <x:c r="N10" s="45" t="n">
        <x:v>9</x:v>
      </x:c>
      <x:c r="O10" s="45" t="str">
        <x:v>Seguro</x:v>
      </x:c>
      <x:c r="P10" s="46" t="n">
        <x:f>SUMIFS(Movimientos!$E$2:$E$200,Movimientos!$C$2:$C$200,O10,Movimientos!$B$2:$B$200,"&lt;&gt;Ingreso",Movimientos!$A$2:$A$200,"&gt;="&amp;DATE($C$4,$D$3,1),Movimientos!$A$2:$A$200,"&lt;"&amp;EDATE(DATE($C$4,$D$3,1),1))</x:f>
        <x:v>0</x:v>
      </x:c>
      <x:c r="Q10" s="45"/>
      <x:c r="R10" s="45"/>
      <x:c r="S10" s="45" t="str">
        <x:v>Septiembre</x:v>
      </x:c>
      <x:c r="T10" s="46" t="n">
        <x:f>SUMIFS(Movimientos!$E$2:$E$200,Movimientos!$B$2:$B$200,"&lt;&gt;Ingreso",Movimientos!$A$2:$A$200,"&gt;="&amp;DATE($C$4,9,1),Movimientos!$A$2:$A$200,"&lt;"&amp;EDATE(DATE($C$4,9,1),1))</x:f>
        <x:v>0</x:v>
      </x:c>
    </x:row>
    <x:row r="11">
      <x:c r="A11" s="14"/>
      <x:c r="B11" s="16"/>
      <x:c r="C11" s="24" t="n">
        <x:f>C7-G7-K7</x:f>
        <x:v>2235</x:v>
      </x:c>
      <x:c r="D11" s="36"/>
      <x:c r="E11" s="36"/>
      <x:c r="F11" s="36"/>
      <x:c r="G11" s="36"/>
      <x:c r="H11" s="36"/>
      <x:c r="I11" s="36"/>
      <x:c r="J11" s="36"/>
      <x:c r="K11" s="36"/>
      <x:c r="L11" s="14"/>
      <x:c r="N11" s="45" t="n">
        <x:v>10</x:v>
      </x:c>
      <x:c r="O11" s="45" t="str">
        <x:v>Otros</x:v>
      </x:c>
      <x:c r="P11" s="46" t="n">
        <x:f>SUMIFS(Movimientos!$E$2:$E$200,Movimientos!$C$2:$C$200,O11,Movimientos!$B$2:$B$200,"&lt;&gt;Ingreso",Movimientos!$A$2:$A$200,"&gt;="&amp;DATE($C$4,$D$3,1),Movimientos!$A$2:$A$200,"&lt;"&amp;EDATE(DATE($C$4,$D$3,1),1))</x:f>
        <x:v>0</x:v>
      </x:c>
      <x:c r="Q11" s="45"/>
      <x:c r="R11" s="45"/>
      <x:c r="S11" s="45" t="str">
        <x:v>Octubre</x:v>
      </x:c>
      <x:c r="T11" s="46" t="n">
        <x:f>SUMIFS(Movimientos!$E$2:$E$200,Movimientos!$B$2:$B$200,"&lt;&gt;Ingreso",Movimientos!$A$2:$A$200,"&gt;="&amp;DATE($C$4,10,1),Movimientos!$A$2:$A$200,"&lt;"&amp;EDATE(DATE($C$4,10,1),1))</x:f>
        <x:v>0</x:v>
      </x:c>
    </x:row>
    <x:row r="12">
      <x:c r="A12" s="14"/>
      <x:c r="B12" s="16"/>
      <x:c r="C12" s="16"/>
      <x:c r="D12" s="36"/>
      <x:c r="E12" s="36"/>
      <x:c r="F12" s="36"/>
      <x:c r="G12" s="36"/>
      <x:c r="H12" s="36"/>
      <x:c r="I12" s="36"/>
      <x:c r="J12" s="36"/>
      <x:c r="K12" s="36"/>
      <x:c r="L12" s="14"/>
      <x:c r="N12" s="45" t="n">
        <x:v>11</x:v>
      </x:c>
      <x:c r="O12" s="45"/>
      <x:c r="P12" s="45"/>
      <x:c r="Q12" s="45"/>
      <x:c r="R12" s="45"/>
      <x:c r="S12" s="45" t="str">
        <x:v>Noviembre</x:v>
      </x:c>
      <x:c r="T12" s="46" t="n">
        <x:f>SUMIFS(Movimientos!$E$2:$E$200,Movimientos!$B$2:$B$200,"&lt;&gt;Ingreso",Movimientos!$A$2:$A$200,"&gt;="&amp;DATE($C$4,11,1),Movimientos!$A$2:$A$200,"&lt;"&amp;EDATE(DATE($C$4,11,1),1))</x:f>
        <x:v>0</x:v>
      </x:c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N13" s="45" t="n">
        <x:v>12</x:v>
      </x:c>
      <x:c r="O13" s="45"/>
      <x:c r="P13" s="45"/>
      <x:c r="Q13" s="45"/>
      <x:c r="R13" s="45"/>
      <x:c r="S13" s="45" t="str">
        <x:v>Diciembre</x:v>
      </x:c>
      <x:c r="T13" s="46" t="n">
        <x:f>SUMIFS(Movimientos!$E$2:$E$200,Movimientos!$B$2:$B$200,"&lt;&gt;Ingreso",Movimientos!$A$2:$A$200,"&gt;="&amp;DATE($C$4,12,1),Movimientos!$A$2:$A$200,"&lt;"&amp;EDATE(DATE($C$4,12,1),1))</x:f>
        <x:v>0</x:v>
      </x:c>
    </x:row>
    <x:row r="14" ht="18.75" customHeight="1">
      <x:c r="A14" s="14"/>
      <x:c r="B14" s="32" t="str">
        <x:v>Próximos pagos del mes</x:v>
      </x:c>
      <x:c r="C14" s="32"/>
      <x:c r="D14" s="32"/>
      <x:c r="E14" s="14"/>
      <x:c r="F14" s="41" t="str">
        <x:v>Productos para comprar</x:v>
      </x:c>
      <x:c r="G14" s="41"/>
      <x:c r="H14" s="41"/>
      <x:c r="I14" s="14"/>
      <x:c r="J14" s="14"/>
      <x:c r="K14" s="14"/>
      <x:c r="L14" s="14"/>
    </x:row>
    <x:row r="15">
      <x:c r="A15" s="14"/>
      <x:c r="B15" s="47" t="str">
        <x:v>Concepto</x:v>
      </x:c>
      <x:c r="C15" s="47" t="str">
        <x:v>Fecha</x:v>
      </x:c>
      <x:c r="D15" s="47" t="str">
        <x:v>Monto</x:v>
      </x:c>
      <x:c r="E15" s="48"/>
      <x:c r="F15" s="49" t="str">
        <x:v>Producto</x:v>
      </x:c>
      <x:c r="G15" s="49" t="str">
        <x:v>Última compra</x:v>
      </x:c>
      <x:c r="H15" s="49" t="str">
        <x:v>Estado</x:v>
      </x:c>
      <x:c r="I15" s="14"/>
      <x:c r="J15" s="14"/>
      <x:c r="K15" s="14"/>
      <x:c r="L15" s="14"/>
    </x:row>
    <x:row r="16" ht="15" customHeight="1">
      <x:c r="A16" s="14"/>
      <x:c r="B16" s="50" t="str">
        <x:f>IF('Pagos recurrentes'!A2="","",'Pagos recurrentes'!A2)</x:f>
        <x:v>Renta</x:v>
      </x:c>
      <x:c r="C16" s="51" t="n">
        <x:f>IF('Pagos recurrentes'!A2="","",DATE($C$4,$D$3,'Pagos recurrentes'!C2))</x:f>
        <x:v>46178</x:v>
      </x:c>
      <x:c r="D16" s="52" t="n">
        <x:f>IF('Pagos recurrentes'!A2="","",'Pagos recurrentes'!B2)</x:f>
        <x:v>800</x:v>
      </x:c>
      <x:c r="E16" s="48"/>
      <x:c r="F16" s="50" t="str">
        <x:f>IF(Mercado!C2="Comprar",Mercado!A2,"")</x:f>
        <x:v>Leche</x:v>
      </x:c>
      <x:c r="G16" s="51" t="n">
        <x:f>IF(Mercado!C2="Comprar",Mercado!B2,"")</x:f>
        <x:v>46174</x:v>
      </x:c>
      <x:c r="H16" s="50" t="str">
        <x:f>IF(Mercado!C2="Comprar","Comprar","")</x:f>
        <x:v>Comprar</x:v>
      </x:c>
      <x:c r="I16" s="14"/>
      <x:c r="J16" s="14"/>
      <x:c r="K16" s="14"/>
      <x:c r="L16" s="14"/>
    </x:row>
    <x:row r="17" ht="15" customHeight="1">
      <x:c r="A17" s="14"/>
      <x:c r="B17" s="50" t="str">
        <x:f>IF('Pagos recurrentes'!A3="","",'Pagos recurrentes'!A3)</x:f>
        <x:v>Internet</x:v>
      </x:c>
      <x:c r="C17" s="51" t="n">
        <x:f>IF('Pagos recurrentes'!A3="","",DATE($C$4,$D$3,'Pagos recurrentes'!C3))</x:f>
        <x:v>46183</x:v>
      </x:c>
      <x:c r="D17" s="52" t="n">
        <x:f>IF('Pagos recurrentes'!A3="","",'Pagos recurrentes'!B3)</x:f>
        <x:v>35</x:v>
      </x:c>
      <x:c r="E17" s="48"/>
      <x:c r="F17" s="50" t="str">
        <x:f>IF(Mercado!C3="Comprar",Mercado!A3,"")</x:f>
      </x:c>
      <x:c r="G17" s="51" t="str">
        <x:f>IF(Mercado!C3="Comprar",Mercado!B3,"")</x:f>
      </x:c>
      <x:c r="H17" s="50" t="str">
        <x:f>IF(Mercado!C3="Comprar","Comprar","")</x:f>
      </x:c>
      <x:c r="I17" s="14"/>
      <x:c r="J17" s="14"/>
      <x:c r="K17" s="14"/>
      <x:c r="L17" s="14"/>
    </x:row>
    <x:row r="18" ht="15" customHeight="1">
      <x:c r="A18" s="14"/>
      <x:c r="B18" s="50" t="str">
        <x:f>IF('Pagos recurrentes'!A4="","",'Pagos recurrentes'!A4)</x:f>
        <x:v>Luz</x:v>
      </x:c>
      <x:c r="C18" s="51" t="n">
        <x:f>IF('Pagos recurrentes'!A4="","",DATE($C$4,$D$3,'Pagos recurrentes'!C4))</x:f>
        <x:v>46188</x:v>
      </x:c>
      <x:c r="D18" s="52" t="n">
        <x:f>IF('Pagos recurrentes'!A4="","",'Pagos recurrentes'!B4)</x:f>
        <x:v>40</x:v>
      </x:c>
      <x:c r="E18" s="48"/>
      <x:c r="F18" s="50" t="str">
        <x:f>IF(Mercado!C4="Comprar",Mercado!A4,"")</x:f>
        <x:v>Huevos</x:v>
      </x:c>
      <x:c r="G18" s="51" t="n">
        <x:f>IF(Mercado!C4="Comprar",Mercado!B4,"")</x:f>
        <x:v>46170</x:v>
      </x:c>
      <x:c r="H18" s="50" t="str">
        <x:f>IF(Mercado!C4="Comprar","Comprar","")</x:f>
        <x:v>Comprar</x:v>
      </x:c>
      <x:c r="I18" s="14"/>
      <x:c r="J18" s="14"/>
      <x:c r="K18" s="14"/>
      <x:c r="L18" s="14"/>
    </x:row>
    <x:row r="19" ht="15" customHeight="1">
      <x:c r="A19" s="14"/>
      <x:c r="B19" s="50" t="str">
        <x:f>IF('Pagos recurrentes'!A5="","",'Pagos recurrentes'!A5)</x:f>
        <x:v>Teléfono</x:v>
      </x:c>
      <x:c r="C19" s="51" t="n">
        <x:f>IF('Pagos recurrentes'!A5="","",DATE($C$4,$D$3,'Pagos recurrentes'!C5))</x:f>
        <x:v>46191</x:v>
      </x:c>
      <x:c r="D19" s="52" t="n">
        <x:f>IF('Pagos recurrentes'!A5="","",'Pagos recurrentes'!B5)</x:f>
        <x:v>28</x:v>
      </x:c>
      <x:c r="E19" s="48"/>
      <x:c r="F19" s="50" t="str">
        <x:f>IF(Mercado!C5="Comprar",Mercado!A5,"")</x:f>
        <x:v>Papel higiénico</x:v>
      </x:c>
      <x:c r="G19" s="51" t="n">
        <x:f>IF(Mercado!C5="Comprar",Mercado!B5,"")</x:f>
        <x:v>46162</x:v>
      </x:c>
      <x:c r="H19" s="50" t="str">
        <x:f>IF(Mercado!C5="Comprar","Comprar","")</x:f>
        <x:v>Comprar</x:v>
      </x:c>
      <x:c r="I19" s="14"/>
      <x:c r="J19" s="14"/>
      <x:c r="K19" s="14"/>
      <x:c r="L19" s="14"/>
    </x:row>
    <x:row r="20" ht="15" customHeight="1">
      <x:c r="A20" s="14"/>
      <x:c r="B20" s="50" t="str">
        <x:f>IF('Pagos recurrentes'!A6="","",'Pagos recurrentes'!A6)</x:f>
        <x:v>Seguro</x:v>
      </x:c>
      <x:c r="C20" s="51" t="n">
        <x:f>IF('Pagos recurrentes'!A6="","",DATE($C$4,$D$3,'Pagos recurrentes'!C6))</x:f>
        <x:v>46195</x:v>
      </x:c>
      <x:c r="D20" s="52" t="n">
        <x:f>IF('Pagos recurrentes'!A6="","",'Pagos recurrentes'!B6)</x:f>
        <x:v>55</x:v>
      </x:c>
      <x:c r="E20" s="48"/>
      <x:c r="F20" s="50" t="str">
        <x:f>IF(Mercado!C6="Comprar",Mercado!A6,"")</x:f>
      </x:c>
      <x:c r="G20" s="51" t="str">
        <x:f>IF(Mercado!C6="Comprar",Mercado!B6,"")</x:f>
      </x:c>
      <x:c r="H20" s="50" t="str">
        <x:f>IF(Mercado!C6="Comprar","Comprar","")</x:f>
      </x:c>
      <x:c r="I20" s="14"/>
      <x:c r="J20" s="14"/>
      <x:c r="K20" s="14"/>
      <x:c r="L20" s="14"/>
    </x:row>
    <x:row r="21" ht="15" customHeight="1">
      <x:c r="A21" s="14"/>
      <x:c r="B21" s="50" t="str">
        <x:f>IF('Pagos recurrentes'!A7="","",'Pagos recurrentes'!A7)</x:f>
        <x:v>Streaming</x:v>
      </x:c>
      <x:c r="C21" s="51" t="n">
        <x:f>IF('Pagos recurrentes'!A7="","",DATE($C$4,$D$3,'Pagos recurrentes'!C7))</x:f>
        <x:v>46198</x:v>
      </x:c>
      <x:c r="D21" s="52" t="n">
        <x:f>IF('Pagos recurrentes'!A7="","",'Pagos recurrentes'!B7)</x:f>
        <x:v>14</x:v>
      </x:c>
      <x:c r="E21" s="48"/>
      <x:c r="F21" s="50" t="str">
        <x:f>IF(Mercado!C7="Comprar",Mercado!A7,"")</x:f>
        <x:v>Aceite</x:v>
      </x:c>
      <x:c r="G21" s="51" t="n">
        <x:f>IF(Mercado!C7="Comprar",Mercado!B7,"")</x:f>
        <x:v>46163</x:v>
      </x:c>
      <x:c r="H21" s="50" t="str">
        <x:f>IF(Mercado!C7="Comprar","Comprar","")</x:f>
        <x:v>Comprar</x:v>
      </x:c>
      <x:c r="I21" s="14"/>
      <x:c r="J21" s="14"/>
      <x:c r="K21" s="14"/>
      <x:c r="L21" s="14"/>
    </x:row>
    <x:row r="22" ht="15" customHeight="1">
      <x:c r="A22" s="14"/>
      <x:c r="B22" s="50" t="str">
        <x:f>IF('Pagos recurrentes'!A8="","",'Pagos recurrentes'!A8)</x:f>
        <x:v>Gimnasio</x:v>
      </x:c>
      <x:c r="C22" s="51" t="n">
        <x:f>IF('Pagos recurrentes'!A8="","",DATE($C$4,$D$3,'Pagos recurrentes'!C8))</x:f>
        <x:v>46201</x:v>
      </x:c>
      <x:c r="D22" s="52" t="n">
        <x:f>IF('Pagos recurrentes'!A8="","",'Pagos recurrentes'!B8)</x:f>
        <x:v>30</x:v>
      </x:c>
      <x:c r="E22" s="48"/>
      <x:c r="F22" s="50" t="str">
        <x:f>IF(Mercado!C8="Comprar",Mercado!A8,"")</x:f>
      </x:c>
      <x:c r="G22" s="51" t="str">
        <x:f>IF(Mercado!C8="Comprar",Mercado!B8,"")</x:f>
      </x:c>
      <x:c r="H22" s="50" t="str">
        <x:f>IF(Mercado!C8="Comprar","Comprar","")</x:f>
      </x:c>
      <x:c r="I22" s="14"/>
      <x:c r="J22" s="14"/>
      <x:c r="K22" s="14"/>
      <x:c r="L22" s="14"/>
    </x:row>
    <x:row r="23" ht="15" customHeight="1">
      <x:c r="A23" s="14"/>
      <x:c r="B23" s="50" t="str">
        <x:f>IF('Pagos recurrentes'!A9="","",'Pagos recurrentes'!A9)</x:f>
      </x:c>
      <x:c r="C23" s="51" t="str">
        <x:f>IF('Pagos recurrentes'!A9="","",DATE($C$4,$D$3,'Pagos recurrentes'!C9))</x:f>
      </x:c>
      <x:c r="D23" s="52" t="str">
        <x:f>IF('Pagos recurrentes'!A9="","",'Pagos recurrentes'!B9)</x:f>
      </x:c>
      <x:c r="E23" s="48"/>
      <x:c r="F23" s="50" t="str">
        <x:f>IF(Mercado!C9="Comprar",Mercado!A9,"")</x:f>
        <x:v>Jabón</x:v>
      </x:c>
      <x:c r="G23" s="51" t="n">
        <x:f>IF(Mercado!C9="Comprar",Mercado!B9,"")</x:f>
        <x:v>46171</x:v>
      </x:c>
      <x:c r="H23" s="50" t="str">
        <x:f>IF(Mercado!C9="Comprar","Comprar","")</x:f>
        <x:v>Comprar</x:v>
      </x:c>
      <x:c r="I23" s="14"/>
      <x:c r="J23" s="14"/>
      <x:c r="K23" s="14"/>
      <x:c r="L23" s="14"/>
    </x:row>
    <x:row r="24" ht="15" customHeight="1">
      <x:c r="A24" s="14"/>
      <x:c r="B24" s="50" t="str">
        <x:f>IF('Pagos recurrentes'!A10="","",'Pagos recurrentes'!A10)</x:f>
      </x:c>
      <x:c r="C24" s="51" t="str">
        <x:f>IF('Pagos recurrentes'!A10="","",DATE($C$4,$D$3,'Pagos recurrentes'!C10))</x:f>
      </x:c>
      <x:c r="D24" s="52" t="str">
        <x:f>IF('Pagos recurrentes'!A10="","",'Pagos recurrentes'!B10)</x:f>
      </x:c>
      <x:c r="E24" s="48"/>
      <x:c r="F24" s="50" t="str">
        <x:f>IF(Mercado!C10="Comprar",Mercado!A10,"")</x:f>
      </x:c>
      <x:c r="G24" s="51" t="str">
        <x:f>IF(Mercado!C10="Comprar",Mercado!B10,"")</x:f>
      </x:c>
      <x:c r="H24" s="50" t="str">
        <x:f>IF(Mercado!C10="Comprar","Comprar","")</x:f>
      </x:c>
      <x:c r="I24" s="14"/>
      <x:c r="J24" s="14"/>
      <x:c r="K24" s="14"/>
      <x:c r="L24" s="14"/>
    </x:row>
    <x:row r="25" ht="15" customHeight="1">
      <x:c r="A25" s="14"/>
      <x:c r="B25" s="50" t="str">
        <x:f>IF('Pagos recurrentes'!A11="","",'Pagos recurrentes'!A11)</x:f>
      </x:c>
      <x:c r="C25" s="51" t="str">
        <x:f>IF('Pagos recurrentes'!A11="","",DATE($C$4,$D$3,'Pagos recurrentes'!C11))</x:f>
      </x:c>
      <x:c r="D25" s="52" t="str">
        <x:f>IF('Pagos recurrentes'!A11="","",'Pagos recurrentes'!B11)</x:f>
      </x:c>
      <x:c r="E25" s="48"/>
      <x:c r="F25" s="50" t="str">
        <x:f>IF(Mercado!C11="Comprar",Mercado!A11,"")</x:f>
        <x:v>Fruta</x:v>
      </x:c>
      <x:c r="G25" s="51" t="n">
        <x:f>IF(Mercado!C11="Comprar",Mercado!B11,"")</x:f>
        <x:v>46177</x:v>
      </x:c>
      <x:c r="H25" s="50" t="str">
        <x:f>IF(Mercado!C11="Comprar","Comprar","")</x:f>
        <x:v>Comprar</x:v>
      </x:c>
      <x:c r="I25" s="14"/>
      <x:c r="J25" s="14"/>
      <x:c r="K25" s="14"/>
      <x:c r="L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</x:row>
  </x:sheetData>
  <x:mergeCells>
    <x:mergeCell ref="A1:L1"/>
    <x:mergeCell ref="B14:D14"/>
    <x:mergeCell ref="F14:H14"/>
  </x:mergeCells>
  <x:dataValidations count="1">
    <x:dataValidation type="list" sqref="C3">
      <x:formula1>"Enero,Febrero,Marzo,Abril,Mayo,Junio,Julio,Agosto,Septiembre,Octubre,Noviembre,Diciembre"</x:formula1>
    </x:dataValidation>
  </x:dataValidations>
  <x:pageMargins left="0.7" right="0.7" top="0.75" bottom="0.75" header="0.3" footer="0.3"/>
  <x:drawing xmlns:r="http://schemas.openxmlformats.org/officeDocument/2006/relationships" r:id="Rd8745acf9faf4dd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2.5" hidden="0" customWidth="1"/>
    <x:col min="3" max="3" width="16.25" hidden="0" customWidth="1"/>
    <x:col min="4" max="4" width="27.5" hidden="0" customWidth="1"/>
    <x:col min="5" max="5" width="13.75" hidden="0" customWidth="1"/>
  </x:cols>
  <x:sheetData>
    <x:row r="1">
      <x:c r="A1" s="10" t="str">
        <x:v>Fecha</x:v>
      </x:c>
      <x:c r="B1" s="10" t="str">
        <x:v>Tipo</x:v>
      </x:c>
      <x:c r="C1" s="10" t="str">
        <x:v>Categoría</x:v>
      </x:c>
      <x:c r="D1" s="10" t="str">
        <x:v>Descripción</x:v>
      </x:c>
      <x:c r="E1" s="10" t="str">
        <x:v>Monto</x:v>
      </x:c>
    </x:row>
    <x:row r="2">
      <x:c r="A2" s="7" t="n">
        <x:v>46027</x:v>
      </x:c>
      <x:c r="B2" s="8" t="str">
        <x:v>Fijo</x:v>
      </x:c>
      <x:c r="C2" s="8" t="str">
        <x:v>Renta</x:v>
      </x:c>
      <x:c r="D2" s="8" t="str">
        <x:v>Renta enero</x:v>
      </x:c>
      <x:c r="E2" s="9" t="n">
        <x:v>800</x:v>
      </x:c>
    </x:row>
    <x:row r="3">
      <x:c r="A3" s="7" t="n">
        <x:v>46030</x:v>
      </x:c>
      <x:c r="B3" s="8" t="str">
        <x:v>Variable</x:v>
      </x:c>
      <x:c r="C3" s="8" t="str">
        <x:v>Mercado</x:v>
      </x:c>
      <x:c r="D3" s="8" t="str">
        <x:v>Walmart</x:v>
      </x:c>
      <x:c r="E3" s="9" t="n">
        <x:v>120</x:v>
      </x:c>
    </x:row>
    <x:row r="4">
      <x:c r="A4" s="7" t="n">
        <x:v>46034</x:v>
      </x:c>
      <x:c r="B4" s="8" t="str">
        <x:v>Variable</x:v>
      </x:c>
      <x:c r="C4" s="8" t="str">
        <x:v>Helado</x:v>
      </x:c>
      <x:c r="D4" s="8" t="str">
        <x:v>Heladería</x:v>
      </x:c>
      <x:c r="E4" s="9" t="n">
        <x:v>5</x:v>
      </x:c>
    </x:row>
    <x:row r="5">
      <x:c r="A5" s="7" t="n">
        <x:v>46037</x:v>
      </x:c>
      <x:c r="B5" s="8" t="str">
        <x:v>Ingreso</x:v>
      </x:c>
      <x:c r="C5" s="8" t="str">
        <x:v>Salario</x:v>
      </x:c>
      <x:c r="D5" s="8" t="str">
        <x:v>Pago nómina</x:v>
      </x:c>
      <x:c r="E5" s="9" t="n">
        <x:v>2400</x:v>
      </x:c>
    </x:row>
    <x:row r="6">
      <x:c r="A6" s="7" t="n">
        <x:v>46058</x:v>
      </x:c>
      <x:c r="B6" s="8" t="str">
        <x:v>Fijo</x:v>
      </x:c>
      <x:c r="C6" s="8" t="str">
        <x:v>Renta</x:v>
      </x:c>
      <x:c r="D6" s="8" t="str">
        <x:v>Renta febrero</x:v>
      </x:c>
      <x:c r="E6" s="9" t="n">
        <x:v>800</x:v>
      </x:c>
    </x:row>
    <x:row r="7">
      <x:c r="A7" s="7" t="n">
        <x:v>46063</x:v>
      </x:c>
      <x:c r="B7" s="8" t="str">
        <x:v>Fijo</x:v>
      </x:c>
      <x:c r="C7" s="8" t="str">
        <x:v>Internet</x:v>
      </x:c>
      <x:c r="D7" s="8" t="str">
        <x:v>Internet febrero</x:v>
      </x:c>
      <x:c r="E7" s="9" t="n">
        <x:v>35</x:v>
      </x:c>
    </x:row>
    <x:row r="8">
      <x:c r="A8" s="7" t="n">
        <x:v>46069</x:v>
      </x:c>
      <x:c r="B8" s="8" t="str">
        <x:v>Variable</x:v>
      </x:c>
      <x:c r="C8" s="8" t="str">
        <x:v>Mercado</x:v>
      </x:c>
      <x:c r="D8" s="8" t="str">
        <x:v>Supermercado</x:v>
      </x:c>
      <x:c r="E8" s="9" t="n">
        <x:v>145</x:v>
      </x:c>
    </x:row>
    <x:row r="9">
      <x:c r="A9" s="7" t="n">
        <x:v>46071</x:v>
      </x:c>
      <x:c r="B9" s="8" t="str">
        <x:v>Variable</x:v>
      </x:c>
      <x:c r="C9" s="8" t="str">
        <x:v>Transporte</x:v>
      </x:c>
      <x:c r="D9" s="8" t="str">
        <x:v>Gasolina</x:v>
      </x:c>
      <x:c r="E9" s="9" t="n">
        <x:v>70</x:v>
      </x:c>
    </x:row>
    <x:row r="10">
      <x:c r="A10" s="7" t="n">
        <x:v>46081</x:v>
      </x:c>
      <x:c r="B10" s="8" t="str">
        <x:v>Ingreso</x:v>
      </x:c>
      <x:c r="C10" s="8" t="str">
        <x:v>Salario</x:v>
      </x:c>
      <x:c r="D10" s="8" t="str">
        <x:v>Pago nómina</x:v>
      </x:c>
      <x:c r="E10" s="9" t="n">
        <x:v>2400</x:v>
      </x:c>
    </x:row>
    <x:row r="11">
      <x:c r="A11" s="7" t="n">
        <x:v>46086</x:v>
      </x:c>
      <x:c r="B11" s="8" t="str">
        <x:v>Fijo</x:v>
      </x:c>
      <x:c r="C11" s="8" t="str">
        <x:v>Renta</x:v>
      </x:c>
      <x:c r="D11" s="8" t="str">
        <x:v>Renta marzo</x:v>
      </x:c>
      <x:c r="E11" s="9" t="n">
        <x:v>800</x:v>
      </x:c>
    </x:row>
    <x:row r="12">
      <x:c r="A12" s="7" t="n">
        <x:v>46093</x:v>
      </x:c>
      <x:c r="B12" s="8" t="str">
        <x:v>Variable</x:v>
      </x:c>
      <x:c r="C12" s="8" t="str">
        <x:v>Mercado</x:v>
      </x:c>
      <x:c r="D12" s="8" t="str">
        <x:v>Compra semanal</x:v>
      </x:c>
      <x:c r="E12" s="9" t="n">
        <x:v>130</x:v>
      </x:c>
    </x:row>
    <x:row r="13">
      <x:c r="A13" s="7" t="n">
        <x:v>46101</x:v>
      </x:c>
      <x:c r="B13" s="8" t="str">
        <x:v>Variable</x:v>
      </x:c>
      <x:c r="C13" s="8" t="str">
        <x:v>Ocio</x:v>
      </x:c>
      <x:c r="D13" s="8" t="str">
        <x:v>Cena</x:v>
      </x:c>
      <x:c r="E13" s="9" t="n">
        <x:v>55</x:v>
      </x:c>
    </x:row>
    <x:row r="14">
      <x:c r="A14" s="7" t="n">
        <x:v>46111</x:v>
      </x:c>
      <x:c r="B14" s="8" t="str">
        <x:v>Ingreso</x:v>
      </x:c>
      <x:c r="C14" s="8" t="str">
        <x:v>Salario</x:v>
      </x:c>
      <x:c r="D14" s="8" t="str">
        <x:v>Pago nómina</x:v>
      </x:c>
      <x:c r="E14" s="9" t="n">
        <x:v>2400</x:v>
      </x:c>
    </x:row>
    <x:row r="15">
      <x:c r="A15" s="7" t="n">
        <x:v>46117</x:v>
      </x:c>
      <x:c r="B15" s="8" t="str">
        <x:v>Fijo</x:v>
      </x:c>
      <x:c r="C15" s="8" t="str">
        <x:v>Renta</x:v>
      </x:c>
      <x:c r="D15" s="8" t="str">
        <x:v>Renta abril</x:v>
      </x:c>
      <x:c r="E15" s="9" t="n">
        <x:v>800</x:v>
      </x:c>
    </x:row>
    <x:row r="16">
      <x:c r="A16" s="7" t="n">
        <x:v>46123</x:v>
      </x:c>
      <x:c r="B16" s="8" t="str">
        <x:v>Variable</x:v>
      </x:c>
      <x:c r="C16" s="8" t="str">
        <x:v>Mercado</x:v>
      </x:c>
      <x:c r="D16" s="8" t="str">
        <x:v>Mercado abril</x:v>
      </x:c>
      <x:c r="E16" s="9" t="n">
        <x:v>155</x:v>
      </x:c>
    </x:row>
    <x:row r="17">
      <x:c r="A17" s="7" t="n">
        <x:v>46126</x:v>
      </x:c>
      <x:c r="B17" s="8" t="str">
        <x:v>Variable</x:v>
      </x:c>
      <x:c r="C17" s="8" t="str">
        <x:v>Salud</x:v>
      </x:c>
      <x:c r="D17" s="8" t="str">
        <x:v>Farmacia</x:v>
      </x:c>
      <x:c r="E17" s="9" t="n">
        <x:v>32</x:v>
      </x:c>
    </x:row>
    <x:row r="18">
      <x:c r="A18" s="7" t="n">
        <x:v>46142</x:v>
      </x:c>
      <x:c r="B18" s="8" t="str">
        <x:v>Ingreso</x:v>
      </x:c>
      <x:c r="C18" s="8" t="str">
        <x:v>Salario</x:v>
      </x:c>
      <x:c r="D18" s="8" t="str">
        <x:v>Pago nómina</x:v>
      </x:c>
      <x:c r="E18" s="9" t="n">
        <x:v>2400</x:v>
      </x:c>
    </x:row>
    <x:row r="19">
      <x:c r="A19" s="7" t="n">
        <x:v>46174</x:v>
      </x:c>
      <x:c r="B19" s="8" t="str">
        <x:v>Ingreso</x:v>
      </x:c>
      <x:c r="C19" s="8" t="str">
        <x:v>Salario</x:v>
      </x:c>
      <x:c r="D19" s="8" t="str">
        <x:v>Pago nómina junio</x:v>
      </x:c>
      <x:c r="E19" s="9" t="n">
        <x:v>2400</x:v>
      </x:c>
    </x:row>
    <x:row r="20">
      <x:c r="A20" s="7" t="n">
        <x:v>46176</x:v>
      </x:c>
      <x:c r="B20" s="8" t="str">
        <x:v>Variable</x:v>
      </x:c>
      <x:c r="C20" s="8" t="str">
        <x:v>Mercado</x:v>
      </x:c>
      <x:c r="D20" s="8" t="str">
        <x:v>Compra mensual</x:v>
      </x:c>
      <x:c r="E20" s="9" t="n">
        <x:v>165</x:v>
      </x:c>
    </x:row>
    <x:row r="21">
      <x:c r="A21" s="7"/>
      <x:c r="B21" s="8"/>
      <x:c r="C21" s="8"/>
      <x:c r="D21" s="8"/>
      <x:c r="E21" s="9"/>
    </x:row>
    <x:row r="22">
      <x:c r="A22" s="7"/>
      <x:c r="B22" s="8"/>
      <x:c r="C22" s="8"/>
      <x:c r="D22" s="8"/>
      <x:c r="E22" s="9"/>
    </x:row>
    <x:row r="23">
      <x:c r="A23" s="7"/>
      <x:c r="B23" s="8"/>
      <x:c r="C23" s="8"/>
      <x:c r="D23" s="8"/>
      <x:c r="E23" s="9"/>
    </x:row>
    <x:row r="24">
      <x:c r="A24" s="7"/>
      <x:c r="B24" s="8"/>
      <x:c r="C24" s="8"/>
      <x:c r="D24" s="8"/>
      <x:c r="E24" s="9"/>
    </x:row>
    <x:row r="25">
      <x:c r="A25" s="7"/>
      <x:c r="B25" s="8"/>
      <x:c r="C25" s="8"/>
      <x:c r="D25" s="8"/>
      <x:c r="E25" s="9"/>
    </x:row>
    <x:row r="26">
      <x:c r="A26" s="7"/>
      <x:c r="B26" s="8"/>
      <x:c r="C26" s="8"/>
      <x:c r="D26" s="8"/>
      <x:c r="E26" s="9"/>
    </x:row>
    <x:row r="27">
      <x:c r="A27" s="7"/>
      <x:c r="B27" s="8"/>
      <x:c r="C27" s="8"/>
      <x:c r="D27" s="8"/>
      <x:c r="E27" s="9"/>
    </x:row>
    <x:row r="28">
      <x:c r="A28" s="7"/>
      <x:c r="B28" s="8"/>
      <x:c r="C28" s="8"/>
      <x:c r="D28" s="8"/>
      <x:c r="E28" s="9"/>
    </x:row>
    <x:row r="29">
      <x:c r="A29" s="7"/>
      <x:c r="B29" s="8"/>
      <x:c r="C29" s="8"/>
      <x:c r="D29" s="8"/>
      <x:c r="E29" s="9"/>
    </x:row>
    <x:row r="30">
      <x:c r="A30" s="7"/>
      <x:c r="B30" s="8"/>
      <x:c r="C30" s="8"/>
      <x:c r="D30" s="8"/>
      <x:c r="E30" s="9"/>
    </x:row>
    <x:row r="31">
      <x:c r="A31" s="7"/>
      <x:c r="B31" s="8"/>
      <x:c r="C31" s="8"/>
      <x:c r="D31" s="8"/>
      <x:c r="E31" s="9"/>
    </x:row>
    <x:row r="32">
      <x:c r="A32" s="7"/>
      <x:c r="B32" s="8"/>
      <x:c r="C32" s="8"/>
      <x:c r="D32" s="8"/>
      <x:c r="E32" s="9"/>
    </x:row>
    <x:row r="33">
      <x:c r="A33" s="7"/>
      <x:c r="B33" s="8"/>
      <x:c r="C33" s="8"/>
      <x:c r="D33" s="8"/>
      <x:c r="E33" s="9"/>
    </x:row>
    <x:row r="34">
      <x:c r="A34" s="7"/>
      <x:c r="B34" s="8"/>
      <x:c r="C34" s="8"/>
      <x:c r="D34" s="8"/>
      <x:c r="E34" s="9"/>
    </x:row>
    <x:row r="35">
      <x:c r="A35" s="7"/>
      <x:c r="B35" s="8"/>
      <x:c r="C35" s="8"/>
      <x:c r="D35" s="8"/>
      <x:c r="E35" s="9"/>
    </x:row>
    <x:row r="36">
      <x:c r="A36" s="7"/>
      <x:c r="B36" s="8"/>
      <x:c r="C36" s="8"/>
      <x:c r="D36" s="8"/>
      <x:c r="E36" s="9"/>
    </x:row>
    <x:row r="37">
      <x:c r="A37" s="7"/>
      <x:c r="B37" s="8"/>
      <x:c r="C37" s="8"/>
      <x:c r="D37" s="8"/>
      <x:c r="E37" s="9"/>
    </x:row>
    <x:row r="38">
      <x:c r="A38" s="7"/>
      <x:c r="B38" s="8"/>
      <x:c r="C38" s="8"/>
      <x:c r="D38" s="8"/>
      <x:c r="E38" s="9"/>
    </x:row>
    <x:row r="39">
      <x:c r="A39" s="7"/>
      <x:c r="B39" s="8"/>
      <x:c r="C39" s="8"/>
      <x:c r="D39" s="8"/>
      <x:c r="E39" s="9"/>
    </x:row>
    <x:row r="40">
      <x:c r="A40" s="7"/>
      <x:c r="B40" s="8"/>
      <x:c r="C40" s="8"/>
      <x:c r="D40" s="8"/>
      <x:c r="E40" s="9"/>
    </x:row>
    <x:row r="41">
      <x:c r="A41" s="7"/>
      <x:c r="B41" s="8"/>
      <x:c r="C41" s="8"/>
      <x:c r="D41" s="8"/>
      <x:c r="E41" s="9"/>
    </x:row>
    <x:row r="42">
      <x:c r="A42" s="7"/>
      <x:c r="B42" s="8"/>
      <x:c r="C42" s="8"/>
      <x:c r="D42" s="8"/>
      <x:c r="E42" s="9"/>
    </x:row>
    <x:row r="43">
      <x:c r="A43" s="7"/>
      <x:c r="B43" s="8"/>
      <x:c r="C43" s="8"/>
      <x:c r="D43" s="8"/>
      <x:c r="E43" s="9"/>
    </x:row>
    <x:row r="44">
      <x:c r="A44" s="7"/>
      <x:c r="B44" s="8"/>
      <x:c r="C44" s="8"/>
      <x:c r="D44" s="8"/>
      <x:c r="E44" s="9"/>
    </x:row>
    <x:row r="45">
      <x:c r="A45" s="7"/>
      <x:c r="B45" s="8"/>
      <x:c r="C45" s="8"/>
      <x:c r="D45" s="8"/>
      <x:c r="E45" s="9"/>
    </x:row>
    <x:row r="46">
      <x:c r="A46" s="7"/>
      <x:c r="B46" s="8"/>
      <x:c r="C46" s="8"/>
      <x:c r="D46" s="8"/>
      <x:c r="E46" s="9"/>
    </x:row>
    <x:row r="47">
      <x:c r="A47" s="7"/>
      <x:c r="B47" s="8"/>
      <x:c r="C47" s="8"/>
      <x:c r="D47" s="8"/>
      <x:c r="E47" s="9"/>
    </x:row>
    <x:row r="48">
      <x:c r="A48" s="7"/>
      <x:c r="B48" s="8"/>
      <x:c r="C48" s="8"/>
      <x:c r="D48" s="8"/>
      <x:c r="E48" s="9"/>
    </x:row>
    <x:row r="49">
      <x:c r="A49" s="7"/>
      <x:c r="B49" s="8"/>
      <x:c r="C49" s="8"/>
      <x:c r="D49" s="8"/>
      <x:c r="E49" s="9"/>
    </x:row>
    <x:row r="50">
      <x:c r="A50" s="7"/>
      <x:c r="B50" s="8"/>
      <x:c r="C50" s="8"/>
      <x:c r="D50" s="8"/>
      <x:c r="E50" s="9"/>
    </x:row>
    <x:row r="51">
      <x:c r="A51" s="7"/>
      <x:c r="B51" s="8"/>
      <x:c r="C51" s="8"/>
      <x:c r="D51" s="8"/>
      <x:c r="E51" s="9"/>
    </x:row>
    <x:row r="52">
      <x:c r="A52" s="7"/>
      <x:c r="B52" s="8"/>
      <x:c r="C52" s="8"/>
      <x:c r="D52" s="8"/>
      <x:c r="E52" s="9"/>
    </x:row>
    <x:row r="53">
      <x:c r="A53" s="7"/>
      <x:c r="B53" s="8"/>
      <x:c r="C53" s="8"/>
      <x:c r="D53" s="8"/>
      <x:c r="E53" s="9"/>
    </x:row>
    <x:row r="54">
      <x:c r="A54" s="7"/>
      <x:c r="B54" s="8"/>
      <x:c r="C54" s="8"/>
      <x:c r="D54" s="8"/>
      <x:c r="E54" s="9"/>
    </x:row>
    <x:row r="55">
      <x:c r="A55" s="7"/>
      <x:c r="B55" s="8"/>
      <x:c r="C55" s="8"/>
      <x:c r="D55" s="8"/>
      <x:c r="E55" s="9"/>
    </x:row>
    <x:row r="56">
      <x:c r="A56" s="7"/>
      <x:c r="B56" s="8"/>
      <x:c r="C56" s="8"/>
      <x:c r="D56" s="8"/>
      <x:c r="E56" s="9"/>
    </x:row>
    <x:row r="57">
      <x:c r="A57" s="7"/>
      <x:c r="B57" s="8"/>
      <x:c r="C57" s="8"/>
      <x:c r="D57" s="8"/>
      <x:c r="E57" s="9"/>
    </x:row>
    <x:row r="58">
      <x:c r="A58" s="7"/>
      <x:c r="B58" s="8"/>
      <x:c r="C58" s="8"/>
      <x:c r="D58" s="8"/>
      <x:c r="E58" s="9"/>
    </x:row>
    <x:row r="59">
      <x:c r="A59" s="7"/>
      <x:c r="B59" s="8"/>
      <x:c r="C59" s="8"/>
      <x:c r="D59" s="8"/>
      <x:c r="E59" s="9"/>
    </x:row>
    <x:row r="60">
      <x:c r="A60" s="7"/>
      <x:c r="B60" s="8"/>
      <x:c r="C60" s="8"/>
      <x:c r="D60" s="8"/>
      <x:c r="E60" s="9"/>
    </x:row>
    <x:row r="61">
      <x:c r="A61" s="7"/>
      <x:c r="B61" s="8"/>
      <x:c r="C61" s="8"/>
      <x:c r="D61" s="8"/>
      <x:c r="E61" s="9"/>
    </x:row>
    <x:row r="62">
      <x:c r="A62" s="7"/>
      <x:c r="B62" s="8"/>
      <x:c r="C62" s="8"/>
      <x:c r="D62" s="8"/>
      <x:c r="E62" s="9"/>
    </x:row>
    <x:row r="63">
      <x:c r="A63" s="7"/>
      <x:c r="B63" s="8"/>
      <x:c r="C63" s="8"/>
      <x:c r="D63" s="8"/>
      <x:c r="E63" s="9"/>
    </x:row>
    <x:row r="64">
      <x:c r="A64" s="7"/>
      <x:c r="B64" s="8"/>
      <x:c r="C64" s="8"/>
      <x:c r="D64" s="8"/>
      <x:c r="E64" s="9"/>
    </x:row>
    <x:row r="65">
      <x:c r="A65" s="7"/>
      <x:c r="B65" s="8"/>
      <x:c r="C65" s="8"/>
      <x:c r="D65" s="8"/>
      <x:c r="E65" s="9"/>
    </x:row>
    <x:row r="66">
      <x:c r="A66" s="7"/>
      <x:c r="B66" s="8"/>
      <x:c r="C66" s="8"/>
      <x:c r="D66" s="8"/>
      <x:c r="E66" s="9"/>
    </x:row>
    <x:row r="67">
      <x:c r="A67" s="7"/>
      <x:c r="B67" s="8"/>
      <x:c r="C67" s="8"/>
      <x:c r="D67" s="8"/>
      <x:c r="E67" s="9"/>
    </x:row>
    <x:row r="68">
      <x:c r="A68" s="7"/>
      <x:c r="B68" s="8"/>
      <x:c r="C68" s="8"/>
      <x:c r="D68" s="8"/>
      <x:c r="E68" s="9"/>
    </x:row>
    <x:row r="69">
      <x:c r="A69" s="7"/>
      <x:c r="B69" s="8"/>
      <x:c r="C69" s="8"/>
      <x:c r="D69" s="8"/>
      <x:c r="E69" s="9"/>
    </x:row>
    <x:row r="70">
      <x:c r="A70" s="7"/>
      <x:c r="B70" s="8"/>
      <x:c r="C70" s="8"/>
      <x:c r="D70" s="8"/>
      <x:c r="E70" s="9"/>
    </x:row>
    <x:row r="71">
      <x:c r="A71" s="7"/>
      <x:c r="B71" s="8"/>
      <x:c r="C71" s="8"/>
      <x:c r="D71" s="8"/>
      <x:c r="E71" s="9"/>
    </x:row>
    <x:row r="72">
      <x:c r="A72" s="7"/>
      <x:c r="B72" s="8"/>
      <x:c r="C72" s="8"/>
      <x:c r="D72" s="8"/>
      <x:c r="E72" s="9"/>
    </x:row>
    <x:row r="73">
      <x:c r="A73" s="7"/>
      <x:c r="B73" s="8"/>
      <x:c r="C73" s="8"/>
      <x:c r="D73" s="8"/>
      <x:c r="E73" s="9"/>
    </x:row>
    <x:row r="74">
      <x:c r="A74" s="7"/>
      <x:c r="B74" s="8"/>
      <x:c r="C74" s="8"/>
      <x:c r="D74" s="8"/>
      <x:c r="E74" s="9"/>
    </x:row>
    <x:row r="75">
      <x:c r="A75" s="7"/>
      <x:c r="B75" s="8"/>
      <x:c r="C75" s="8"/>
      <x:c r="D75" s="8"/>
      <x:c r="E75" s="9"/>
    </x:row>
    <x:row r="76">
      <x:c r="A76" s="7"/>
      <x:c r="B76" s="8"/>
      <x:c r="C76" s="8"/>
      <x:c r="D76" s="8"/>
      <x:c r="E76" s="9"/>
    </x:row>
    <x:row r="77">
      <x:c r="A77" s="7"/>
      <x:c r="B77" s="8"/>
      <x:c r="C77" s="8"/>
      <x:c r="D77" s="8"/>
      <x:c r="E77" s="9"/>
    </x:row>
    <x:row r="78">
      <x:c r="A78" s="7"/>
      <x:c r="B78" s="8"/>
      <x:c r="C78" s="8"/>
      <x:c r="D78" s="8"/>
      <x:c r="E78" s="9"/>
    </x:row>
    <x:row r="79">
      <x:c r="A79" s="7"/>
      <x:c r="B79" s="8"/>
      <x:c r="C79" s="8"/>
      <x:c r="D79" s="8"/>
      <x:c r="E79" s="9"/>
    </x:row>
    <x:row r="80">
      <x:c r="A80" s="7"/>
      <x:c r="B80" s="8"/>
      <x:c r="C80" s="8"/>
      <x:c r="D80" s="8"/>
      <x:c r="E80" s="9"/>
    </x:row>
    <x:row r="81">
      <x:c r="A81" s="7"/>
      <x:c r="B81" s="8"/>
      <x:c r="C81" s="8"/>
      <x:c r="D81" s="8"/>
      <x:c r="E81" s="9"/>
    </x:row>
    <x:row r="82">
      <x:c r="A82" s="7"/>
      <x:c r="B82" s="8"/>
      <x:c r="C82" s="8"/>
      <x:c r="D82" s="8"/>
      <x:c r="E82" s="9"/>
    </x:row>
    <x:row r="83">
      <x:c r="A83" s="7"/>
      <x:c r="B83" s="8"/>
      <x:c r="C83" s="8"/>
      <x:c r="D83" s="8"/>
      <x:c r="E83" s="9"/>
    </x:row>
    <x:row r="84">
      <x:c r="A84" s="7"/>
      <x:c r="B84" s="8"/>
      <x:c r="C84" s="8"/>
      <x:c r="D84" s="8"/>
      <x:c r="E84" s="9"/>
    </x:row>
    <x:row r="85">
      <x:c r="A85" s="7"/>
      <x:c r="B85" s="8"/>
      <x:c r="C85" s="8"/>
      <x:c r="D85" s="8"/>
      <x:c r="E85" s="9"/>
    </x:row>
    <x:row r="86">
      <x:c r="A86" s="7"/>
      <x:c r="B86" s="8"/>
      <x:c r="C86" s="8"/>
      <x:c r="D86" s="8"/>
      <x:c r="E86" s="9"/>
    </x:row>
    <x:row r="87">
      <x:c r="A87" s="7"/>
      <x:c r="B87" s="8"/>
      <x:c r="C87" s="8"/>
      <x:c r="D87" s="8"/>
      <x:c r="E87" s="9"/>
    </x:row>
    <x:row r="88">
      <x:c r="A88" s="7"/>
      <x:c r="B88" s="8"/>
      <x:c r="C88" s="8"/>
      <x:c r="D88" s="8"/>
      <x:c r="E88" s="9"/>
    </x:row>
    <x:row r="89">
      <x:c r="A89" s="7"/>
      <x:c r="B89" s="8"/>
      <x:c r="C89" s="8"/>
      <x:c r="D89" s="8"/>
      <x:c r="E89" s="9"/>
    </x:row>
    <x:row r="90">
      <x:c r="A90" s="7"/>
      <x:c r="B90" s="8"/>
      <x:c r="C90" s="8"/>
      <x:c r="D90" s="8"/>
      <x:c r="E90" s="9"/>
    </x:row>
    <x:row r="91">
      <x:c r="A91" s="7"/>
      <x:c r="B91" s="8"/>
      <x:c r="C91" s="8"/>
      <x:c r="D91" s="8"/>
      <x:c r="E91" s="9"/>
    </x:row>
    <x:row r="92">
      <x:c r="A92" s="7"/>
      <x:c r="B92" s="8"/>
      <x:c r="C92" s="8"/>
      <x:c r="D92" s="8"/>
      <x:c r="E92" s="9"/>
    </x:row>
    <x:row r="93">
      <x:c r="A93" s="7"/>
      <x:c r="B93" s="8"/>
      <x:c r="C93" s="8"/>
      <x:c r="D93" s="8"/>
      <x:c r="E93" s="9"/>
    </x:row>
    <x:row r="94">
      <x:c r="A94" s="7"/>
      <x:c r="B94" s="8"/>
      <x:c r="C94" s="8"/>
      <x:c r="D94" s="8"/>
      <x:c r="E94" s="9"/>
    </x:row>
    <x:row r="95">
      <x:c r="A95" s="7"/>
      <x:c r="B95" s="8"/>
      <x:c r="C95" s="8"/>
      <x:c r="D95" s="8"/>
      <x:c r="E95" s="9"/>
    </x:row>
    <x:row r="96">
      <x:c r="A96" s="7"/>
      <x:c r="B96" s="8"/>
      <x:c r="C96" s="8"/>
      <x:c r="D96" s="8"/>
      <x:c r="E96" s="9"/>
    </x:row>
    <x:row r="97">
      <x:c r="A97" s="7"/>
      <x:c r="B97" s="8"/>
      <x:c r="C97" s="8"/>
      <x:c r="D97" s="8"/>
      <x:c r="E97" s="9"/>
    </x:row>
    <x:row r="98">
      <x:c r="A98" s="7"/>
      <x:c r="B98" s="8"/>
      <x:c r="C98" s="8"/>
      <x:c r="D98" s="8"/>
      <x:c r="E98" s="9"/>
    </x:row>
    <x:row r="99">
      <x:c r="A99" s="7"/>
      <x:c r="B99" s="8"/>
      <x:c r="C99" s="8"/>
      <x:c r="D99" s="8"/>
      <x:c r="E99" s="9"/>
    </x:row>
    <x:row r="100">
      <x:c r="A100" s="7"/>
      <x:c r="B100" s="8"/>
      <x:c r="C100" s="8"/>
      <x:c r="D100" s="8"/>
      <x:c r="E100" s="9"/>
    </x:row>
    <x:row r="101">
      <x:c r="A101" s="7"/>
      <x:c r="B101" s="8"/>
      <x:c r="C101" s="8"/>
      <x:c r="D101" s="8"/>
      <x:c r="E101" s="9"/>
    </x:row>
    <x:row r="102">
      <x:c r="A102" s="7"/>
      <x:c r="B102" s="8"/>
      <x:c r="C102" s="8"/>
      <x:c r="D102" s="8"/>
      <x:c r="E102" s="9"/>
    </x:row>
    <x:row r="103">
      <x:c r="A103" s="7"/>
      <x:c r="B103" s="8"/>
      <x:c r="C103" s="8"/>
      <x:c r="D103" s="8"/>
      <x:c r="E103" s="9"/>
    </x:row>
    <x:row r="104">
      <x:c r="A104" s="7"/>
      <x:c r="B104" s="8"/>
      <x:c r="C104" s="8"/>
      <x:c r="D104" s="8"/>
      <x:c r="E104" s="9"/>
    </x:row>
    <x:row r="105">
      <x:c r="A105" s="7"/>
      <x:c r="B105" s="8"/>
      <x:c r="C105" s="8"/>
      <x:c r="D105" s="8"/>
      <x:c r="E105" s="9"/>
    </x:row>
    <x:row r="106">
      <x:c r="A106" s="7"/>
      <x:c r="B106" s="8"/>
      <x:c r="C106" s="8"/>
      <x:c r="D106" s="8"/>
      <x:c r="E106" s="9"/>
    </x:row>
    <x:row r="107">
      <x:c r="A107" s="7"/>
      <x:c r="B107" s="8"/>
      <x:c r="C107" s="8"/>
      <x:c r="D107" s="8"/>
      <x:c r="E107" s="9"/>
    </x:row>
    <x:row r="108">
      <x:c r="A108" s="7"/>
      <x:c r="B108" s="8"/>
      <x:c r="C108" s="8"/>
      <x:c r="D108" s="8"/>
      <x:c r="E108" s="9"/>
    </x:row>
    <x:row r="109">
      <x:c r="A109" s="7"/>
      <x:c r="B109" s="8"/>
      <x:c r="C109" s="8"/>
      <x:c r="D109" s="8"/>
      <x:c r="E109" s="9"/>
    </x:row>
    <x:row r="110">
      <x:c r="A110" s="7"/>
      <x:c r="B110" s="8"/>
      <x:c r="C110" s="8"/>
      <x:c r="D110" s="8"/>
      <x:c r="E110" s="9"/>
    </x:row>
    <x:row r="111">
      <x:c r="A111" s="7"/>
      <x:c r="B111" s="8"/>
      <x:c r="C111" s="8"/>
      <x:c r="D111" s="8"/>
      <x:c r="E111" s="9"/>
    </x:row>
    <x:row r="112">
      <x:c r="A112" s="7"/>
      <x:c r="B112" s="8"/>
      <x:c r="C112" s="8"/>
      <x:c r="D112" s="8"/>
      <x:c r="E112" s="9"/>
    </x:row>
    <x:row r="113">
      <x:c r="A113" s="7"/>
      <x:c r="B113" s="8"/>
      <x:c r="C113" s="8"/>
      <x:c r="D113" s="8"/>
      <x:c r="E113" s="9"/>
    </x:row>
    <x:row r="114">
      <x:c r="A114" s="7"/>
      <x:c r="B114" s="8"/>
      <x:c r="C114" s="8"/>
      <x:c r="D114" s="8"/>
      <x:c r="E114" s="9"/>
    </x:row>
    <x:row r="115">
      <x:c r="A115" s="7"/>
      <x:c r="B115" s="8"/>
      <x:c r="C115" s="8"/>
      <x:c r="D115" s="8"/>
      <x:c r="E115" s="9"/>
    </x:row>
    <x:row r="116">
      <x:c r="A116" s="7"/>
      <x:c r="B116" s="8"/>
      <x:c r="C116" s="8"/>
      <x:c r="D116" s="8"/>
      <x:c r="E116" s="9"/>
    </x:row>
    <x:row r="117">
      <x:c r="A117" s="7"/>
      <x:c r="B117" s="8"/>
      <x:c r="C117" s="8"/>
      <x:c r="D117" s="8"/>
      <x:c r="E117" s="9"/>
    </x:row>
    <x:row r="118">
      <x:c r="A118" s="7"/>
      <x:c r="B118" s="8"/>
      <x:c r="C118" s="8"/>
      <x:c r="D118" s="8"/>
      <x:c r="E118" s="9"/>
    </x:row>
    <x:row r="119">
      <x:c r="A119" s="7"/>
      <x:c r="B119" s="8"/>
      <x:c r="C119" s="8"/>
      <x:c r="D119" s="8"/>
      <x:c r="E119" s="9"/>
    </x:row>
    <x:row r="120">
      <x:c r="A120" s="7"/>
      <x:c r="B120" s="8"/>
      <x:c r="C120" s="8"/>
      <x:c r="D120" s="8"/>
      <x:c r="E120" s="9"/>
    </x:row>
    <x:row r="121">
      <x:c r="A121" s="7"/>
      <x:c r="B121" s="8"/>
      <x:c r="C121" s="8"/>
      <x:c r="D121" s="8"/>
      <x:c r="E121" s="9"/>
    </x:row>
    <x:row r="122">
      <x:c r="A122" s="7"/>
      <x:c r="B122" s="8"/>
      <x:c r="C122" s="8"/>
      <x:c r="D122" s="8"/>
      <x:c r="E122" s="9"/>
    </x:row>
    <x:row r="123">
      <x:c r="A123" s="7"/>
      <x:c r="B123" s="8"/>
      <x:c r="C123" s="8"/>
      <x:c r="D123" s="8"/>
      <x:c r="E123" s="9"/>
    </x:row>
    <x:row r="124">
      <x:c r="A124" s="7"/>
      <x:c r="B124" s="8"/>
      <x:c r="C124" s="8"/>
      <x:c r="D124" s="8"/>
      <x:c r="E124" s="9"/>
    </x:row>
    <x:row r="125">
      <x:c r="A125" s="7"/>
      <x:c r="B125" s="8"/>
      <x:c r="C125" s="8"/>
      <x:c r="D125" s="8"/>
      <x:c r="E125" s="9"/>
    </x:row>
    <x:row r="126">
      <x:c r="A126" s="7"/>
      <x:c r="B126" s="8"/>
      <x:c r="C126" s="8"/>
      <x:c r="D126" s="8"/>
      <x:c r="E126" s="9"/>
    </x:row>
    <x:row r="127">
      <x:c r="A127" s="7"/>
      <x:c r="B127" s="8"/>
      <x:c r="C127" s="8"/>
      <x:c r="D127" s="8"/>
      <x:c r="E127" s="9"/>
    </x:row>
    <x:row r="128">
      <x:c r="A128" s="7"/>
      <x:c r="B128" s="8"/>
      <x:c r="C128" s="8"/>
      <x:c r="D128" s="8"/>
      <x:c r="E128" s="9"/>
    </x:row>
    <x:row r="129">
      <x:c r="A129" s="7"/>
      <x:c r="B129" s="8"/>
      <x:c r="C129" s="8"/>
      <x:c r="D129" s="8"/>
      <x:c r="E129" s="9"/>
    </x:row>
    <x:row r="130">
      <x:c r="A130" s="7"/>
      <x:c r="B130" s="8"/>
      <x:c r="C130" s="8"/>
      <x:c r="D130" s="8"/>
      <x:c r="E130" s="9"/>
    </x:row>
    <x:row r="131">
      <x:c r="A131" s="7"/>
      <x:c r="B131" s="8"/>
      <x:c r="C131" s="8"/>
      <x:c r="D131" s="8"/>
      <x:c r="E131" s="9"/>
    </x:row>
    <x:row r="132">
      <x:c r="A132" s="7"/>
      <x:c r="B132" s="8"/>
      <x:c r="C132" s="8"/>
      <x:c r="D132" s="8"/>
      <x:c r="E132" s="9"/>
    </x:row>
    <x:row r="133">
      <x:c r="A133" s="7"/>
      <x:c r="B133" s="8"/>
      <x:c r="C133" s="8"/>
      <x:c r="D133" s="8"/>
      <x:c r="E133" s="9"/>
    </x:row>
    <x:row r="134">
      <x:c r="A134" s="7"/>
      <x:c r="B134" s="8"/>
      <x:c r="C134" s="8"/>
      <x:c r="D134" s="8"/>
      <x:c r="E134" s="9"/>
    </x:row>
    <x:row r="135">
      <x:c r="A135" s="7"/>
      <x:c r="B135" s="8"/>
      <x:c r="C135" s="8"/>
      <x:c r="D135" s="8"/>
      <x:c r="E135" s="9"/>
    </x:row>
    <x:row r="136">
      <x:c r="A136" s="7"/>
      <x:c r="B136" s="8"/>
      <x:c r="C136" s="8"/>
      <x:c r="D136" s="8"/>
      <x:c r="E136" s="9"/>
    </x:row>
    <x:row r="137">
      <x:c r="A137" s="7"/>
      <x:c r="B137" s="8"/>
      <x:c r="C137" s="8"/>
      <x:c r="D137" s="8"/>
      <x:c r="E137" s="9"/>
    </x:row>
    <x:row r="138">
      <x:c r="A138" s="7"/>
      <x:c r="B138" s="8"/>
      <x:c r="C138" s="8"/>
      <x:c r="D138" s="8"/>
      <x:c r="E138" s="9"/>
    </x:row>
    <x:row r="139">
      <x:c r="A139" s="7"/>
      <x:c r="B139" s="8"/>
      <x:c r="C139" s="8"/>
      <x:c r="D139" s="8"/>
      <x:c r="E139" s="9"/>
    </x:row>
    <x:row r="140">
      <x:c r="A140" s="7"/>
      <x:c r="B140" s="8"/>
      <x:c r="C140" s="8"/>
      <x:c r="D140" s="8"/>
      <x:c r="E140" s="9"/>
    </x:row>
    <x:row r="141">
      <x:c r="A141" s="7"/>
      <x:c r="B141" s="8"/>
      <x:c r="C141" s="8"/>
      <x:c r="D141" s="8"/>
      <x:c r="E141" s="9"/>
    </x:row>
    <x:row r="142">
      <x:c r="A142" s="7"/>
      <x:c r="B142" s="8"/>
      <x:c r="C142" s="8"/>
      <x:c r="D142" s="8"/>
      <x:c r="E142" s="9"/>
    </x:row>
    <x:row r="143">
      <x:c r="A143" s="7"/>
      <x:c r="B143" s="8"/>
      <x:c r="C143" s="8"/>
      <x:c r="D143" s="8"/>
      <x:c r="E143" s="9"/>
    </x:row>
    <x:row r="144">
      <x:c r="A144" s="7"/>
      <x:c r="B144" s="8"/>
      <x:c r="C144" s="8"/>
      <x:c r="D144" s="8"/>
      <x:c r="E144" s="9"/>
    </x:row>
    <x:row r="145">
      <x:c r="A145" s="7"/>
      <x:c r="B145" s="8"/>
      <x:c r="C145" s="8"/>
      <x:c r="D145" s="8"/>
      <x:c r="E145" s="9"/>
    </x:row>
    <x:row r="146">
      <x:c r="A146" s="7"/>
      <x:c r="B146" s="8"/>
      <x:c r="C146" s="8"/>
      <x:c r="D146" s="8"/>
      <x:c r="E146" s="9"/>
    </x:row>
    <x:row r="147">
      <x:c r="A147" s="7"/>
      <x:c r="B147" s="8"/>
      <x:c r="C147" s="8"/>
      <x:c r="D147" s="8"/>
      <x:c r="E147" s="9"/>
    </x:row>
    <x:row r="148">
      <x:c r="A148" s="7"/>
      <x:c r="B148" s="8"/>
      <x:c r="C148" s="8"/>
      <x:c r="D148" s="8"/>
      <x:c r="E148" s="9"/>
    </x:row>
    <x:row r="149">
      <x:c r="A149" s="7"/>
      <x:c r="B149" s="8"/>
      <x:c r="C149" s="8"/>
      <x:c r="D149" s="8"/>
      <x:c r="E149" s="9"/>
    </x:row>
    <x:row r="150">
      <x:c r="A150" s="7"/>
      <x:c r="B150" s="8"/>
      <x:c r="C150" s="8"/>
      <x:c r="D150" s="8"/>
      <x:c r="E150" s="9"/>
    </x:row>
    <x:row r="151">
      <x:c r="A151" s="7"/>
      <x:c r="B151" s="8"/>
      <x:c r="C151" s="8"/>
      <x:c r="D151" s="8"/>
      <x:c r="E151" s="9"/>
    </x:row>
    <x:row r="152">
      <x:c r="A152" s="7"/>
      <x:c r="B152" s="8"/>
      <x:c r="C152" s="8"/>
      <x:c r="D152" s="8"/>
      <x:c r="E152" s="9"/>
    </x:row>
    <x:row r="153">
      <x:c r="A153" s="7"/>
      <x:c r="B153" s="8"/>
      <x:c r="C153" s="8"/>
      <x:c r="D153" s="8"/>
      <x:c r="E153" s="9"/>
    </x:row>
    <x:row r="154">
      <x:c r="A154" s="7"/>
      <x:c r="B154" s="8"/>
      <x:c r="C154" s="8"/>
      <x:c r="D154" s="8"/>
      <x:c r="E154" s="9"/>
    </x:row>
    <x:row r="155">
      <x:c r="A155" s="7"/>
      <x:c r="B155" s="8"/>
      <x:c r="C155" s="8"/>
      <x:c r="D155" s="8"/>
      <x:c r="E155" s="9"/>
    </x:row>
    <x:row r="156">
      <x:c r="A156" s="7"/>
      <x:c r="B156" s="8"/>
      <x:c r="C156" s="8"/>
      <x:c r="D156" s="8"/>
      <x:c r="E156" s="9"/>
    </x:row>
    <x:row r="157">
      <x:c r="A157" s="7"/>
      <x:c r="B157" s="8"/>
      <x:c r="C157" s="8"/>
      <x:c r="D157" s="8"/>
      <x:c r="E157" s="9"/>
    </x:row>
    <x:row r="158">
      <x:c r="A158" s="7"/>
      <x:c r="B158" s="8"/>
      <x:c r="C158" s="8"/>
      <x:c r="D158" s="8"/>
      <x:c r="E158" s="9"/>
    </x:row>
    <x:row r="159">
      <x:c r="A159" s="7"/>
      <x:c r="B159" s="8"/>
      <x:c r="C159" s="8"/>
      <x:c r="D159" s="8"/>
      <x:c r="E159" s="9"/>
    </x:row>
    <x:row r="160">
      <x:c r="A160" s="7"/>
      <x:c r="B160" s="8"/>
      <x:c r="C160" s="8"/>
      <x:c r="D160" s="8"/>
      <x:c r="E160" s="9"/>
    </x:row>
    <x:row r="161">
      <x:c r="A161" s="7"/>
      <x:c r="B161" s="8"/>
      <x:c r="C161" s="8"/>
      <x:c r="D161" s="8"/>
      <x:c r="E161" s="9"/>
    </x:row>
    <x:row r="162">
      <x:c r="A162" s="7"/>
      <x:c r="B162" s="8"/>
      <x:c r="C162" s="8"/>
      <x:c r="D162" s="8"/>
      <x:c r="E162" s="9"/>
    </x:row>
    <x:row r="163">
      <x:c r="A163" s="7"/>
      <x:c r="B163" s="8"/>
      <x:c r="C163" s="8"/>
      <x:c r="D163" s="8"/>
      <x:c r="E163" s="9"/>
    </x:row>
    <x:row r="164">
      <x:c r="A164" s="7"/>
      <x:c r="B164" s="8"/>
      <x:c r="C164" s="8"/>
      <x:c r="D164" s="8"/>
      <x:c r="E164" s="9"/>
    </x:row>
    <x:row r="165">
      <x:c r="A165" s="7"/>
      <x:c r="B165" s="8"/>
      <x:c r="C165" s="8"/>
      <x:c r="D165" s="8"/>
      <x:c r="E165" s="9"/>
    </x:row>
    <x:row r="166">
      <x:c r="A166" s="7"/>
      <x:c r="B166" s="8"/>
      <x:c r="C166" s="8"/>
      <x:c r="D166" s="8"/>
      <x:c r="E166" s="9"/>
    </x:row>
    <x:row r="167">
      <x:c r="A167" s="7"/>
      <x:c r="B167" s="8"/>
      <x:c r="C167" s="8"/>
      <x:c r="D167" s="8"/>
      <x:c r="E167" s="9"/>
    </x:row>
    <x:row r="168">
      <x:c r="A168" s="7"/>
      <x:c r="B168" s="8"/>
      <x:c r="C168" s="8"/>
      <x:c r="D168" s="8"/>
      <x:c r="E168" s="9"/>
    </x:row>
    <x:row r="169">
      <x:c r="A169" s="7"/>
      <x:c r="B169" s="8"/>
      <x:c r="C169" s="8"/>
      <x:c r="D169" s="8"/>
      <x:c r="E169" s="9"/>
    </x:row>
    <x:row r="170">
      <x:c r="A170" s="7"/>
      <x:c r="B170" s="8"/>
      <x:c r="C170" s="8"/>
      <x:c r="D170" s="8"/>
      <x:c r="E170" s="9"/>
    </x:row>
    <x:row r="171">
      <x:c r="A171" s="7"/>
      <x:c r="B171" s="8"/>
      <x:c r="C171" s="8"/>
      <x:c r="D171" s="8"/>
      <x:c r="E171" s="9"/>
    </x:row>
    <x:row r="172">
      <x:c r="A172" s="7"/>
      <x:c r="B172" s="8"/>
      <x:c r="C172" s="8"/>
      <x:c r="D172" s="8"/>
      <x:c r="E172" s="9"/>
    </x:row>
    <x:row r="173">
      <x:c r="A173" s="7"/>
      <x:c r="B173" s="8"/>
      <x:c r="C173" s="8"/>
      <x:c r="D173" s="8"/>
      <x:c r="E173" s="9"/>
    </x:row>
    <x:row r="174">
      <x:c r="A174" s="7"/>
      <x:c r="B174" s="8"/>
      <x:c r="C174" s="8"/>
      <x:c r="D174" s="8"/>
      <x:c r="E174" s="9"/>
    </x:row>
    <x:row r="175">
      <x:c r="A175" s="7"/>
      <x:c r="B175" s="8"/>
      <x:c r="C175" s="8"/>
      <x:c r="D175" s="8"/>
      <x:c r="E175" s="9"/>
    </x:row>
    <x:row r="176">
      <x:c r="A176" s="7"/>
      <x:c r="B176" s="8"/>
      <x:c r="C176" s="8"/>
      <x:c r="D176" s="8"/>
      <x:c r="E176" s="9"/>
    </x:row>
    <x:row r="177">
      <x:c r="A177" s="7"/>
      <x:c r="B177" s="8"/>
      <x:c r="C177" s="8"/>
      <x:c r="D177" s="8"/>
      <x:c r="E177" s="9"/>
    </x:row>
    <x:row r="178">
      <x:c r="A178" s="7"/>
      <x:c r="B178" s="8"/>
      <x:c r="C178" s="8"/>
      <x:c r="D178" s="8"/>
      <x:c r="E178" s="9"/>
    </x:row>
    <x:row r="179">
      <x:c r="A179" s="7"/>
      <x:c r="B179" s="8"/>
      <x:c r="C179" s="8"/>
      <x:c r="D179" s="8"/>
      <x:c r="E179" s="9"/>
    </x:row>
    <x:row r="180">
      <x:c r="A180" s="7"/>
      <x:c r="B180" s="8"/>
      <x:c r="C180" s="8"/>
      <x:c r="D180" s="8"/>
      <x:c r="E180" s="9"/>
    </x:row>
    <x:row r="181">
      <x:c r="A181" s="7"/>
      <x:c r="B181" s="8"/>
      <x:c r="C181" s="8"/>
      <x:c r="D181" s="8"/>
      <x:c r="E181" s="9"/>
    </x:row>
    <x:row r="182">
      <x:c r="A182" s="7"/>
      <x:c r="B182" s="8"/>
      <x:c r="C182" s="8"/>
      <x:c r="D182" s="8"/>
      <x:c r="E182" s="9"/>
    </x:row>
    <x:row r="183">
      <x:c r="A183" s="7"/>
      <x:c r="B183" s="8"/>
      <x:c r="C183" s="8"/>
      <x:c r="D183" s="8"/>
      <x:c r="E183" s="9"/>
    </x:row>
    <x:row r="184">
      <x:c r="A184" s="7"/>
      <x:c r="B184" s="8"/>
      <x:c r="C184" s="8"/>
      <x:c r="D184" s="8"/>
      <x:c r="E184" s="9"/>
    </x:row>
    <x:row r="185">
      <x:c r="A185" s="7"/>
      <x:c r="B185" s="8"/>
      <x:c r="C185" s="8"/>
      <x:c r="D185" s="8"/>
      <x:c r="E185" s="9"/>
    </x:row>
    <x:row r="186">
      <x:c r="A186" s="7"/>
      <x:c r="B186" s="8"/>
      <x:c r="C186" s="8"/>
      <x:c r="D186" s="8"/>
      <x:c r="E186" s="9"/>
    </x:row>
    <x:row r="187">
      <x:c r="A187" s="7"/>
      <x:c r="B187" s="8"/>
      <x:c r="C187" s="8"/>
      <x:c r="D187" s="8"/>
      <x:c r="E187" s="9"/>
    </x:row>
    <x:row r="188">
      <x:c r="A188" s="7"/>
      <x:c r="B188" s="8"/>
      <x:c r="C188" s="8"/>
      <x:c r="D188" s="8"/>
      <x:c r="E188" s="9"/>
    </x:row>
    <x:row r="189">
      <x:c r="A189" s="7"/>
      <x:c r="B189" s="8"/>
      <x:c r="C189" s="8"/>
      <x:c r="D189" s="8"/>
      <x:c r="E189" s="9"/>
    </x:row>
    <x:row r="190">
      <x:c r="A190" s="7"/>
      <x:c r="B190" s="8"/>
      <x:c r="C190" s="8"/>
      <x:c r="D190" s="8"/>
      <x:c r="E190" s="9"/>
    </x:row>
    <x:row r="191">
      <x:c r="A191" s="7"/>
      <x:c r="B191" s="8"/>
      <x:c r="C191" s="8"/>
      <x:c r="D191" s="8"/>
      <x:c r="E191" s="9"/>
    </x:row>
    <x:row r="192">
      <x:c r="A192" s="7"/>
      <x:c r="B192" s="8"/>
      <x:c r="C192" s="8"/>
      <x:c r="D192" s="8"/>
      <x:c r="E192" s="9"/>
    </x:row>
    <x:row r="193">
      <x:c r="A193" s="7"/>
      <x:c r="B193" s="8"/>
      <x:c r="C193" s="8"/>
      <x:c r="D193" s="8"/>
      <x:c r="E193" s="9"/>
    </x:row>
    <x:row r="194">
      <x:c r="A194" s="7"/>
      <x:c r="B194" s="8"/>
      <x:c r="C194" s="8"/>
      <x:c r="D194" s="8"/>
      <x:c r="E194" s="9"/>
    </x:row>
    <x:row r="195">
      <x:c r="A195" s="7"/>
      <x:c r="B195" s="8"/>
      <x:c r="C195" s="8"/>
      <x:c r="D195" s="8"/>
      <x:c r="E195" s="9"/>
    </x:row>
    <x:row r="196">
      <x:c r="A196" s="7"/>
      <x:c r="B196" s="8"/>
      <x:c r="C196" s="8"/>
      <x:c r="D196" s="8"/>
      <x:c r="E196" s="9"/>
    </x:row>
    <x:row r="197">
      <x:c r="A197" s="7"/>
      <x:c r="B197" s="8"/>
      <x:c r="C197" s="8"/>
      <x:c r="D197" s="8"/>
      <x:c r="E197" s="9"/>
    </x:row>
    <x:row r="198">
      <x:c r="A198" s="7"/>
      <x:c r="B198" s="8"/>
      <x:c r="C198" s="8"/>
      <x:c r="D198" s="8"/>
      <x:c r="E198" s="9"/>
    </x:row>
    <x:row r="199">
      <x:c r="A199" s="7"/>
      <x:c r="B199" s="8"/>
      <x:c r="C199" s="8"/>
      <x:c r="D199" s="8"/>
      <x:c r="E199" s="9"/>
    </x:row>
    <x:row r="200">
      <x:c r="A200" s="7"/>
      <x:c r="B200" s="8"/>
      <x:c r="C200" s="8"/>
      <x:c r="D200" s="8"/>
      <x:c r="E200" s="9"/>
    </x:row>
  </x:sheetData>
  <x:dataValidations count="2">
    <x:dataValidation type="list" sqref="B2:B200">
      <x:formula1>"Ingreso,Fijo,Variable"</x:formula1>
    </x:dataValidation>
    <x:dataValidation type="list" sqref="C2:C200">
      <x:formula1>"Salario,Renta,Internet,Luz,Mercado,Transporte,Salud,Ocio,Helado,Otros"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4b83a8aae64d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3.75" hidden="0" customWidth="1"/>
    <x:col min="3" max="3" width="15" hidden="0" customWidth="1"/>
  </x:cols>
  <x:sheetData>
    <x:row r="1">
      <x:c r="A1" s="6" t="str">
        <x:v>Concepto</x:v>
      </x:c>
      <x:c r="B1" s="6" t="str">
        <x:v>Monto</x:v>
      </x:c>
      <x:c r="C1" s="6" t="str">
        <x:v>Día de pago</x:v>
      </x:c>
    </x:row>
    <x:row r="2">
      <x:c r="A2" s="8" t="str">
        <x:v>Renta</x:v>
      </x:c>
      <x:c r="B2" s="9" t="n">
        <x:v>800</x:v>
      </x:c>
      <x:c r="C2" s="12" t="n">
        <x:v>5</x:v>
      </x:c>
    </x:row>
    <x:row r="3">
      <x:c r="A3" s="8" t="str">
        <x:v>Internet</x:v>
      </x:c>
      <x:c r="B3" s="9" t="n">
        <x:v>35</x:v>
      </x:c>
      <x:c r="C3" s="12" t="n">
        <x:v>10</x:v>
      </x:c>
    </x:row>
    <x:row r="4">
      <x:c r="A4" s="8" t="str">
        <x:v>Luz</x:v>
      </x:c>
      <x:c r="B4" s="9" t="n">
        <x:v>40</x:v>
      </x:c>
      <x:c r="C4" s="12" t="n">
        <x:v>15</x:v>
      </x:c>
    </x:row>
    <x:row r="5">
      <x:c r="A5" s="8" t="str">
        <x:v>Teléfono</x:v>
      </x:c>
      <x:c r="B5" s="9" t="n">
        <x:v>28</x:v>
      </x:c>
      <x:c r="C5" s="12" t="n">
        <x:v>18</x:v>
      </x:c>
    </x:row>
    <x:row r="6">
      <x:c r="A6" s="8" t="str">
        <x:v>Seguro</x:v>
      </x:c>
      <x:c r="B6" s="9" t="n">
        <x:v>55</x:v>
      </x:c>
      <x:c r="C6" s="12" t="n">
        <x:v>22</x:v>
      </x:c>
    </x:row>
    <x:row r="7">
      <x:c r="A7" s="8" t="str">
        <x:v>Streaming</x:v>
      </x:c>
      <x:c r="B7" s="9" t="n">
        <x:v>14</x:v>
      </x:c>
      <x:c r="C7" s="12" t="n">
        <x:v>25</x:v>
      </x:c>
    </x:row>
    <x:row r="8">
      <x:c r="A8" s="8" t="str">
        <x:v>Gimnasio</x:v>
      </x:c>
      <x:c r="B8" s="9" t="n">
        <x:v>30</x:v>
      </x:c>
      <x:c r="C8" s="12" t="n">
        <x:v>28</x:v>
      </x:c>
    </x:row>
    <x:row r="9">
      <x:c r="A9" s="8"/>
      <x:c r="B9" s="9"/>
      <x:c r="C9" s="12"/>
    </x:row>
    <x:row r="10">
      <x:c r="A10" s="8"/>
      <x:c r="B10" s="9"/>
      <x:c r="C10" s="12"/>
    </x:row>
    <x:row r="11">
      <x:c r="A11" s="8"/>
      <x:c r="B11" s="9"/>
      <x:c r="C11" s="12"/>
    </x:row>
    <x:row r="12">
      <x:c r="A12" s="8"/>
      <x:c r="B12" s="9"/>
      <x:c r="C12" s="12"/>
    </x:row>
    <x:row r="13">
      <x:c r="A13" s="8"/>
      <x:c r="B13" s="9"/>
      <x:c r="C13" s="12"/>
    </x:row>
    <x:row r="14">
      <x:c r="A14" s="8"/>
      <x:c r="B14" s="9"/>
      <x:c r="C14" s="12"/>
    </x:row>
    <x:row r="15">
      <x:c r="A15" s="8"/>
      <x:c r="B15" s="9"/>
      <x:c r="C15" s="12"/>
    </x:row>
    <x:row r="16">
      <x:c r="A16" s="8"/>
      <x:c r="B16" s="9"/>
      <x:c r="C16" s="12"/>
    </x:row>
    <x:row r="17">
      <x:c r="A17" s="8"/>
      <x:c r="B17" s="9"/>
      <x:c r="C17" s="12"/>
    </x:row>
    <x:row r="18">
      <x:c r="A18" s="8"/>
      <x:c r="B18" s="9"/>
      <x:c r="C18" s="12"/>
    </x:row>
    <x:row r="19">
      <x:c r="A19" s="8"/>
      <x:c r="B19" s="9"/>
      <x:c r="C19" s="12"/>
    </x:row>
    <x:row r="20">
      <x:c r="A20" s="8"/>
      <x:c r="B20" s="9"/>
      <x:c r="C20" s="12"/>
    </x:row>
    <x:row r="21">
      <x:c r="A21" s="8"/>
      <x:c r="B21" s="9"/>
      <x:c r="C21" s="12"/>
    </x:row>
    <x:row r="22">
      <x:c r="A22" s="8"/>
      <x:c r="B22" s="9"/>
      <x:c r="C22" s="12"/>
    </x:row>
    <x:row r="23">
      <x:c r="A23" s="8"/>
      <x:c r="B23" s="9"/>
      <x:c r="C23" s="12"/>
    </x:row>
    <x:row r="24">
      <x:c r="A24" s="8"/>
      <x:c r="B24" s="9"/>
      <x:c r="C24" s="12"/>
    </x:row>
    <x:row r="25">
      <x:c r="A25" s="8"/>
      <x:c r="B25" s="9"/>
      <x:c r="C25" s="12"/>
    </x:row>
    <x:row r="26">
      <x:c r="A26" s="8"/>
      <x:c r="B26" s="9"/>
      <x:c r="C26" s="12"/>
    </x:row>
    <x:row r="27">
      <x:c r="A27" s="8"/>
      <x:c r="B27" s="9"/>
      <x:c r="C27" s="12"/>
    </x:row>
    <x:row r="28">
      <x:c r="A28" s="8"/>
      <x:c r="B28" s="9"/>
      <x:c r="C28" s="12"/>
    </x:row>
    <x:row r="29">
      <x:c r="A29" s="8"/>
      <x:c r="B29" s="9"/>
      <x:c r="C29" s="12"/>
    </x:row>
    <x:row r="30">
      <x:c r="A30" s="8"/>
      <x:c r="B30" s="9"/>
      <x:c r="C30" s="12"/>
    </x:row>
    <x:row r="31">
      <x:c r="A31" s="8"/>
      <x:c r="B31" s="9"/>
      <x:c r="C31" s="12"/>
    </x:row>
    <x:row r="32">
      <x:c r="A32" s="8"/>
      <x:c r="B32" s="9"/>
      <x:c r="C32" s="12"/>
    </x:row>
    <x:row r="33">
      <x:c r="A33" s="8"/>
      <x:c r="B33" s="9"/>
      <x:c r="C33" s="12"/>
    </x:row>
    <x:row r="34">
      <x:c r="A34" s="8"/>
      <x:c r="B34" s="9"/>
      <x:c r="C34" s="12"/>
    </x:row>
    <x:row r="35">
      <x:c r="A35" s="8"/>
      <x:c r="B35" s="9"/>
      <x:c r="C35" s="12"/>
    </x:row>
    <x:row r="36">
      <x:c r="A36" s="8"/>
      <x:c r="B36" s="9"/>
      <x:c r="C36" s="12"/>
    </x:row>
    <x:row r="37">
      <x:c r="A37" s="8"/>
      <x:c r="B37" s="9"/>
      <x:c r="C37" s="12"/>
    </x:row>
    <x:row r="38">
      <x:c r="A38" s="8"/>
      <x:c r="B38" s="9"/>
      <x:c r="C38" s="12"/>
    </x:row>
    <x:row r="39">
      <x:c r="A39" s="8"/>
      <x:c r="B39" s="9"/>
      <x:c r="C39" s="12"/>
    </x:row>
    <x:row r="40">
      <x:c r="A40" s="8"/>
      <x:c r="B40" s="9"/>
      <x:c r="C40" s="12"/>
    </x:row>
    <x:row r="41">
      <x:c r="A41" s="8"/>
      <x:c r="B41" s="9"/>
      <x:c r="C41" s="12"/>
    </x:row>
    <x:row r="42">
      <x:c r="A42" s="8"/>
      <x:c r="B42" s="9"/>
      <x:c r="C42" s="12"/>
    </x:row>
    <x:row r="43">
      <x:c r="A43" s="8"/>
      <x:c r="B43" s="9"/>
      <x:c r="C43" s="12"/>
    </x:row>
    <x:row r="44">
      <x:c r="A44" s="8"/>
      <x:c r="B44" s="9"/>
      <x:c r="C44" s="12"/>
    </x:row>
    <x:row r="45">
      <x:c r="A45" s="8"/>
      <x:c r="B45" s="9"/>
      <x:c r="C45" s="12"/>
    </x:row>
    <x:row r="46">
      <x:c r="A46" s="8"/>
      <x:c r="B46" s="9"/>
      <x:c r="C46" s="12"/>
    </x:row>
    <x:row r="47">
      <x:c r="A47" s="8"/>
      <x:c r="B47" s="9"/>
      <x:c r="C47" s="12"/>
    </x:row>
    <x:row r="48">
      <x:c r="A48" s="8"/>
      <x:c r="B48" s="9"/>
      <x:c r="C48" s="12"/>
    </x:row>
    <x:row r="49">
      <x:c r="A49" s="8"/>
      <x:c r="B49" s="9"/>
      <x:c r="C49" s="12"/>
    </x:row>
    <x:row r="50">
      <x:c r="A50" s="8"/>
      <x:c r="B50" s="9"/>
      <x:c r="C50" s="12"/>
    </x:row>
    <x:row r="51">
      <x:c r="A51" s="8"/>
      <x:c r="B51" s="9"/>
      <x:c r="C51" s="12"/>
    </x:row>
    <x:row r="52">
      <x:c r="A52" s="8"/>
      <x:c r="B52" s="9"/>
      <x:c r="C52" s="12"/>
    </x:row>
    <x:row r="53">
      <x:c r="A53" s="8"/>
      <x:c r="B53" s="9"/>
      <x:c r="C53" s="12"/>
    </x:row>
    <x:row r="54">
      <x:c r="A54" s="8"/>
      <x:c r="B54" s="9"/>
      <x:c r="C54" s="12"/>
    </x:row>
    <x:row r="55">
      <x:c r="A55" s="8"/>
      <x:c r="B55" s="9"/>
      <x:c r="C55" s="12"/>
    </x:row>
    <x:row r="56">
      <x:c r="A56" s="8"/>
      <x:c r="B56" s="9"/>
      <x:c r="C56" s="12"/>
    </x:row>
    <x:row r="57">
      <x:c r="A57" s="8"/>
      <x:c r="B57" s="9"/>
      <x:c r="C57" s="12"/>
    </x:row>
    <x:row r="58">
      <x:c r="A58" s="8"/>
      <x:c r="B58" s="9"/>
      <x:c r="C58" s="12"/>
    </x:row>
    <x:row r="59">
      <x:c r="A59" s="8"/>
      <x:c r="B59" s="9"/>
      <x:c r="C59" s="12"/>
    </x:row>
    <x:row r="60">
      <x:c r="A60" s="8"/>
      <x:c r="B60" s="9"/>
      <x:c r="C60" s="12"/>
    </x:row>
    <x:row r="61">
      <x:c r="A61" s="8"/>
      <x:c r="B61" s="9"/>
      <x:c r="C61" s="12"/>
    </x:row>
    <x:row r="62">
      <x:c r="A62" s="8"/>
      <x:c r="B62" s="9"/>
      <x:c r="C62" s="12"/>
    </x:row>
    <x:row r="63">
      <x:c r="A63" s="8"/>
      <x:c r="B63" s="9"/>
      <x:c r="C63" s="12"/>
    </x:row>
    <x:row r="64">
      <x:c r="A64" s="8"/>
      <x:c r="B64" s="9"/>
      <x:c r="C64" s="12"/>
    </x:row>
    <x:row r="65">
      <x:c r="A65" s="8"/>
      <x:c r="B65" s="9"/>
      <x:c r="C65" s="12"/>
    </x:row>
    <x:row r="66">
      <x:c r="A66" s="8"/>
      <x:c r="B66" s="9"/>
      <x:c r="C66" s="12"/>
    </x:row>
    <x:row r="67">
      <x:c r="A67" s="8"/>
      <x:c r="B67" s="9"/>
      <x:c r="C67" s="12"/>
    </x:row>
    <x:row r="68">
      <x:c r="A68" s="8"/>
      <x:c r="B68" s="9"/>
      <x:c r="C68" s="12"/>
    </x:row>
    <x:row r="69">
      <x:c r="A69" s="8"/>
      <x:c r="B69" s="9"/>
      <x:c r="C69" s="12"/>
    </x:row>
    <x:row r="70">
      <x:c r="A70" s="8"/>
      <x:c r="B70" s="9"/>
      <x:c r="C70" s="12"/>
    </x:row>
    <x:row r="71">
      <x:c r="A71" s="8"/>
      <x:c r="B71" s="9"/>
      <x:c r="C71" s="12"/>
    </x:row>
    <x:row r="72">
      <x:c r="A72" s="8"/>
      <x:c r="B72" s="9"/>
      <x:c r="C72" s="12"/>
    </x:row>
    <x:row r="73">
      <x:c r="A73" s="8"/>
      <x:c r="B73" s="9"/>
      <x:c r="C73" s="12"/>
    </x:row>
    <x:row r="74">
      <x:c r="A74" s="8"/>
      <x:c r="B74" s="9"/>
      <x:c r="C74" s="12"/>
    </x:row>
    <x:row r="75">
      <x:c r="A75" s="8"/>
      <x:c r="B75" s="9"/>
      <x:c r="C75" s="12"/>
    </x:row>
    <x:row r="76">
      <x:c r="A76" s="8"/>
      <x:c r="B76" s="9"/>
      <x:c r="C76" s="12"/>
    </x:row>
    <x:row r="77">
      <x:c r="A77" s="8"/>
      <x:c r="B77" s="9"/>
      <x:c r="C77" s="12"/>
    </x:row>
    <x:row r="78">
      <x:c r="A78" s="8"/>
      <x:c r="B78" s="9"/>
      <x:c r="C78" s="12"/>
    </x:row>
    <x:row r="79">
      <x:c r="A79" s="8"/>
      <x:c r="B79" s="9"/>
      <x:c r="C79" s="12"/>
    </x:row>
    <x:row r="80">
      <x:c r="A80" s="8"/>
      <x:c r="B80" s="9"/>
      <x:c r="C80" s="12"/>
    </x:row>
    <x:row r="81">
      <x:c r="A81" s="8"/>
      <x:c r="B81" s="9"/>
      <x:c r="C81" s="12"/>
    </x:row>
    <x:row r="82">
      <x:c r="A82" s="8"/>
      <x:c r="B82" s="9"/>
      <x:c r="C82" s="12"/>
    </x:row>
    <x:row r="83">
      <x:c r="A83" s="8"/>
      <x:c r="B83" s="9"/>
      <x:c r="C83" s="12"/>
    </x:row>
    <x:row r="84">
      <x:c r="A84" s="8"/>
      <x:c r="B84" s="9"/>
      <x:c r="C84" s="12"/>
    </x:row>
    <x:row r="85">
      <x:c r="A85" s="8"/>
      <x:c r="B85" s="9"/>
      <x:c r="C85" s="12"/>
    </x:row>
    <x:row r="86">
      <x:c r="A86" s="8"/>
      <x:c r="B86" s="9"/>
      <x:c r="C86" s="12"/>
    </x:row>
    <x:row r="87">
      <x:c r="A87" s="8"/>
      <x:c r="B87" s="9"/>
      <x:c r="C87" s="12"/>
    </x:row>
    <x:row r="88">
      <x:c r="A88" s="8"/>
      <x:c r="B88" s="9"/>
      <x:c r="C88" s="12"/>
    </x:row>
    <x:row r="89">
      <x:c r="A89" s="8"/>
      <x:c r="B89" s="9"/>
      <x:c r="C89" s="12"/>
    </x:row>
    <x:row r="90">
      <x:c r="A90" s="8"/>
      <x:c r="B90" s="9"/>
      <x:c r="C90" s="12"/>
    </x:row>
    <x:row r="91">
      <x:c r="A91" s="8"/>
      <x:c r="B91" s="9"/>
      <x:c r="C91" s="12"/>
    </x:row>
    <x:row r="92">
      <x:c r="A92" s="8"/>
      <x:c r="B92" s="9"/>
      <x:c r="C92" s="12"/>
    </x:row>
    <x:row r="93">
      <x:c r="A93" s="8"/>
      <x:c r="B93" s="9"/>
      <x:c r="C93" s="12"/>
    </x:row>
    <x:row r="94">
      <x:c r="A94" s="8"/>
      <x:c r="B94" s="9"/>
      <x:c r="C94" s="12"/>
    </x:row>
    <x:row r="95">
      <x:c r="A95" s="8"/>
      <x:c r="B95" s="9"/>
      <x:c r="C95" s="12"/>
    </x:row>
    <x:row r="96">
      <x:c r="A96" s="8"/>
      <x:c r="B96" s="9"/>
      <x:c r="C96" s="12"/>
    </x:row>
    <x:row r="97">
      <x:c r="A97" s="8"/>
      <x:c r="B97" s="9"/>
      <x:c r="C97" s="12"/>
    </x:row>
    <x:row r="98">
      <x:c r="A98" s="8"/>
      <x:c r="B98" s="9"/>
      <x:c r="C98" s="12"/>
    </x:row>
    <x:row r="99">
      <x:c r="A99" s="8"/>
      <x:c r="B99" s="9"/>
      <x:c r="C99" s="12"/>
    </x:row>
    <x:row r="100">
      <x:c r="A100" s="8"/>
      <x:c r="B100" s="9"/>
      <x:c r="C100" s="12"/>
    </x:row>
  </x:sheetData>
  <x:dataValidations count="1">
    <x:dataValidation type="whole" operator="between" sqref="C2:C100">
      <x:formula1>1</x:formula1>
      <x:formula2>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2c4734e0c0e49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6.25" hidden="0" customWidth="1"/>
    <x:col min="3" max="3" width="15" hidden="0" customWidth="1"/>
  </x:cols>
  <x:sheetData>
    <x:row r="1">
      <x:c r="A1" s="6" t="str">
        <x:v>Producto</x:v>
      </x:c>
      <x:c r="B1" s="6" t="str">
        <x:v>Última compra</x:v>
      </x:c>
      <x:c r="C1" s="6" t="str">
        <x:v>Estado</x:v>
      </x:c>
    </x:row>
    <x:row r="2">
      <x:c r="A2" s="8" t="str">
        <x:v>Leche</x:v>
      </x:c>
      <x:c r="B2" s="7" t="n">
        <x:v>46174</x:v>
      </x:c>
      <x:c r="C2" s="8" t="str">
        <x:v>Comprar</x:v>
      </x:c>
    </x:row>
    <x:row r="3">
      <x:c r="A3" s="8" t="str">
        <x:v>Arroz</x:v>
      </x:c>
      <x:c r="B3" s="7" t="n">
        <x:v>46167</x:v>
      </x:c>
      <x:c r="C3" s="8" t="str">
        <x:v>Disponible</x:v>
      </x:c>
    </x:row>
    <x:row r="4">
      <x:c r="A4" s="8" t="str">
        <x:v>Huevos</x:v>
      </x:c>
      <x:c r="B4" s="7" t="n">
        <x:v>46170</x:v>
      </x:c>
      <x:c r="C4" s="8" t="str">
        <x:v>Comprar</x:v>
      </x:c>
    </x:row>
    <x:row r="5">
      <x:c r="A5" s="8" t="str">
        <x:v>Papel higiénico</x:v>
      </x:c>
      <x:c r="B5" s="7" t="n">
        <x:v>46162</x:v>
      </x:c>
      <x:c r="C5" s="8" t="str">
        <x:v>Comprar</x:v>
      </x:c>
    </x:row>
    <x:row r="6">
      <x:c r="A6" s="8" t="str">
        <x:v>Café</x:v>
      </x:c>
      <x:c r="B6" s="7" t="n">
        <x:v>46175</x:v>
      </x:c>
      <x:c r="C6" s="8" t="str">
        <x:v>Disponible</x:v>
      </x:c>
    </x:row>
    <x:row r="7">
      <x:c r="A7" s="8" t="str">
        <x:v>Aceite</x:v>
      </x:c>
      <x:c r="B7" s="7" t="n">
        <x:v>46163</x:v>
      </x:c>
      <x:c r="C7" s="8" t="str">
        <x:v>Comprar</x:v>
      </x:c>
    </x:row>
    <x:row r="8">
      <x:c r="A8" s="8" t="str">
        <x:v>Pasta</x:v>
      </x:c>
      <x:c r="B8" s="7" t="n">
        <x:v>46176</x:v>
      </x:c>
      <x:c r="C8" s="8" t="str">
        <x:v>Disponible</x:v>
      </x:c>
    </x:row>
    <x:row r="9">
      <x:c r="A9" s="8" t="str">
        <x:v>Jabón</x:v>
      </x:c>
      <x:c r="B9" s="7" t="n">
        <x:v>46171</x:v>
      </x:c>
      <x:c r="C9" s="8" t="str">
        <x:v>Comprar</x:v>
      </x:c>
    </x:row>
    <x:row r="10">
      <x:c r="A10" s="8" t="str">
        <x:v>Detergente</x:v>
      </x:c>
      <x:c r="B10" s="7" t="n">
        <x:v>46178</x:v>
      </x:c>
      <x:c r="C10" s="8" t="str">
        <x:v>Disponible</x:v>
      </x:c>
    </x:row>
    <x:row r="11">
      <x:c r="A11" s="8" t="str">
        <x:v>Fruta</x:v>
      </x:c>
      <x:c r="B11" s="7" t="n">
        <x:v>46177</x:v>
      </x:c>
      <x:c r="C11" s="8" t="str">
        <x:v>Comprar</x:v>
      </x:c>
    </x:row>
    <x:row r="12">
      <x:c r="A12" s="8" t="str">
        <x:v>Verduras</x:v>
      </x:c>
      <x:c r="B12" s="7" t="n">
        <x:v>46177</x:v>
      </x:c>
      <x:c r="C12" s="8" t="str">
        <x:v>Comprar</x:v>
      </x:c>
    </x:row>
    <x:row r="13">
      <x:c r="A13" s="8" t="str">
        <x:v>Yogur</x:v>
      </x:c>
      <x:c r="B13" s="7" t="n">
        <x:v>46174</x:v>
      </x:c>
      <x:c r="C13" s="8" t="str">
        <x:v>Disponible</x:v>
      </x:c>
    </x:row>
    <x:row r="14">
      <x:c r="A14" s="8"/>
      <x:c r="B14" s="7"/>
      <x:c r="C14" s="8"/>
    </x:row>
    <x:row r="15">
      <x:c r="A15" s="8"/>
      <x:c r="B15" s="7"/>
      <x:c r="C15" s="8"/>
    </x:row>
    <x:row r="16">
      <x:c r="A16" s="8"/>
      <x:c r="B16" s="7"/>
      <x:c r="C16" s="8"/>
    </x:row>
    <x:row r="17">
      <x:c r="A17" s="8"/>
      <x:c r="B17" s="7"/>
      <x:c r="C17" s="8"/>
    </x:row>
    <x:row r="18">
      <x:c r="A18" s="8"/>
      <x:c r="B18" s="7"/>
      <x:c r="C18" s="8"/>
    </x:row>
    <x:row r="19">
      <x:c r="A19" s="8"/>
      <x:c r="B19" s="7"/>
      <x:c r="C19" s="8"/>
    </x:row>
    <x:row r="20">
      <x:c r="A20" s="8"/>
      <x:c r="B20" s="7"/>
      <x:c r="C20" s="8"/>
    </x:row>
    <x:row r="21">
      <x:c r="A21" s="8"/>
      <x:c r="B21" s="7"/>
      <x:c r="C21" s="8"/>
    </x:row>
    <x:row r="22">
      <x:c r="A22" s="8"/>
      <x:c r="B22" s="7"/>
      <x:c r="C22" s="8"/>
    </x:row>
    <x:row r="23">
      <x:c r="A23" s="8"/>
      <x:c r="B23" s="7"/>
      <x:c r="C23" s="8"/>
    </x:row>
    <x:row r="24">
      <x:c r="A24" s="8"/>
      <x:c r="B24" s="7"/>
      <x:c r="C24" s="8"/>
    </x:row>
    <x:row r="25">
      <x:c r="A25" s="8"/>
      <x:c r="B25" s="7"/>
      <x:c r="C25" s="8"/>
    </x:row>
    <x:row r="26">
      <x:c r="A26" s="8"/>
      <x:c r="B26" s="7"/>
      <x:c r="C26" s="8"/>
    </x:row>
    <x:row r="27">
      <x:c r="A27" s="8"/>
      <x:c r="B27" s="7"/>
      <x:c r="C27" s="8"/>
    </x:row>
    <x:row r="28">
      <x:c r="A28" s="8"/>
      <x:c r="B28" s="7"/>
      <x:c r="C28" s="8"/>
    </x:row>
    <x:row r="29">
      <x:c r="A29" s="8"/>
      <x:c r="B29" s="7"/>
      <x:c r="C29" s="8"/>
    </x:row>
    <x:row r="30">
      <x:c r="A30" s="8"/>
      <x:c r="B30" s="7"/>
      <x:c r="C30" s="8"/>
    </x:row>
    <x:row r="31">
      <x:c r="A31" s="8"/>
      <x:c r="B31" s="7"/>
      <x:c r="C31" s="8"/>
    </x:row>
    <x:row r="32">
      <x:c r="A32" s="8"/>
      <x:c r="B32" s="7"/>
      <x:c r="C32" s="8"/>
    </x:row>
    <x:row r="33">
      <x:c r="A33" s="8"/>
      <x:c r="B33" s="7"/>
      <x:c r="C33" s="8"/>
    </x:row>
    <x:row r="34">
      <x:c r="A34" s="8"/>
      <x:c r="B34" s="7"/>
      <x:c r="C34" s="8"/>
    </x:row>
    <x:row r="35">
      <x:c r="A35" s="8"/>
      <x:c r="B35" s="7"/>
      <x:c r="C35" s="8"/>
    </x:row>
    <x:row r="36">
      <x:c r="A36" s="8"/>
      <x:c r="B36" s="7"/>
      <x:c r="C36" s="8"/>
    </x:row>
    <x:row r="37">
      <x:c r="A37" s="8"/>
      <x:c r="B37" s="7"/>
      <x:c r="C37" s="8"/>
    </x:row>
    <x:row r="38">
      <x:c r="A38" s="8"/>
      <x:c r="B38" s="7"/>
      <x:c r="C38" s="8"/>
    </x:row>
    <x:row r="39">
      <x:c r="A39" s="8"/>
      <x:c r="B39" s="7"/>
      <x:c r="C39" s="8"/>
    </x:row>
    <x:row r="40">
      <x:c r="A40" s="8"/>
      <x:c r="B40" s="7"/>
      <x:c r="C40" s="8"/>
    </x:row>
    <x:row r="41">
      <x:c r="A41" s="8"/>
      <x:c r="B41" s="7"/>
      <x:c r="C41" s="8"/>
    </x:row>
    <x:row r="42">
      <x:c r="A42" s="8"/>
      <x:c r="B42" s="7"/>
      <x:c r="C42" s="8"/>
    </x:row>
    <x:row r="43">
      <x:c r="A43" s="8"/>
      <x:c r="B43" s="7"/>
      <x:c r="C43" s="8"/>
    </x:row>
    <x:row r="44">
      <x:c r="A44" s="8"/>
      <x:c r="B44" s="7"/>
      <x:c r="C44" s="8"/>
    </x:row>
    <x:row r="45">
      <x:c r="A45" s="8"/>
      <x:c r="B45" s="7"/>
      <x:c r="C45" s="8"/>
    </x:row>
    <x:row r="46">
      <x:c r="A46" s="8"/>
      <x:c r="B46" s="7"/>
      <x:c r="C46" s="8"/>
    </x:row>
    <x:row r="47">
      <x:c r="A47" s="8"/>
      <x:c r="B47" s="7"/>
      <x:c r="C47" s="8"/>
    </x:row>
    <x:row r="48">
      <x:c r="A48" s="8"/>
      <x:c r="B48" s="7"/>
      <x:c r="C48" s="8"/>
    </x:row>
    <x:row r="49">
      <x:c r="A49" s="8"/>
      <x:c r="B49" s="7"/>
      <x:c r="C49" s="8"/>
    </x:row>
    <x:row r="50">
      <x:c r="A50" s="8"/>
      <x:c r="B50" s="7"/>
      <x:c r="C50" s="8"/>
    </x:row>
    <x:row r="51">
      <x:c r="A51" s="8"/>
      <x:c r="B51" s="7"/>
      <x:c r="C51" s="8"/>
    </x:row>
    <x:row r="52">
      <x:c r="A52" s="8"/>
      <x:c r="B52" s="7"/>
      <x:c r="C52" s="8"/>
    </x:row>
    <x:row r="53">
      <x:c r="A53" s="8"/>
      <x:c r="B53" s="7"/>
      <x:c r="C53" s="8"/>
    </x:row>
    <x:row r="54">
      <x:c r="A54" s="8"/>
      <x:c r="B54" s="7"/>
      <x:c r="C54" s="8"/>
    </x:row>
    <x:row r="55">
      <x:c r="A55" s="8"/>
      <x:c r="B55" s="7"/>
      <x:c r="C55" s="8"/>
    </x:row>
    <x:row r="56">
      <x:c r="A56" s="8"/>
      <x:c r="B56" s="7"/>
      <x:c r="C56" s="8"/>
    </x:row>
    <x:row r="57">
      <x:c r="A57" s="8"/>
      <x:c r="B57" s="7"/>
      <x:c r="C57" s="8"/>
    </x:row>
    <x:row r="58">
      <x:c r="A58" s="8"/>
      <x:c r="B58" s="7"/>
      <x:c r="C58" s="8"/>
    </x:row>
    <x:row r="59">
      <x:c r="A59" s="8"/>
      <x:c r="B59" s="7"/>
      <x:c r="C59" s="8"/>
    </x:row>
    <x:row r="60">
      <x:c r="A60" s="8"/>
      <x:c r="B60" s="7"/>
      <x:c r="C60" s="8"/>
    </x:row>
    <x:row r="61">
      <x:c r="A61" s="8"/>
      <x:c r="B61" s="7"/>
      <x:c r="C61" s="8"/>
    </x:row>
    <x:row r="62">
      <x:c r="A62" s="8"/>
      <x:c r="B62" s="7"/>
      <x:c r="C62" s="8"/>
    </x:row>
    <x:row r="63">
      <x:c r="A63" s="8"/>
      <x:c r="B63" s="7"/>
      <x:c r="C63" s="8"/>
    </x:row>
    <x:row r="64">
      <x:c r="A64" s="8"/>
      <x:c r="B64" s="7"/>
      <x:c r="C64" s="8"/>
    </x:row>
    <x:row r="65">
      <x:c r="A65" s="8"/>
      <x:c r="B65" s="7"/>
      <x:c r="C65" s="8"/>
    </x:row>
    <x:row r="66">
      <x:c r="A66" s="8"/>
      <x:c r="B66" s="7"/>
      <x:c r="C66" s="8"/>
    </x:row>
    <x:row r="67">
      <x:c r="A67" s="8"/>
      <x:c r="B67" s="7"/>
      <x:c r="C67" s="8"/>
    </x:row>
    <x:row r="68">
      <x:c r="A68" s="8"/>
      <x:c r="B68" s="7"/>
      <x:c r="C68" s="8"/>
    </x:row>
    <x:row r="69">
      <x:c r="A69" s="8"/>
      <x:c r="B69" s="7"/>
      <x:c r="C69" s="8"/>
    </x:row>
    <x:row r="70">
      <x:c r="A70" s="8"/>
      <x:c r="B70" s="7"/>
      <x:c r="C70" s="8"/>
    </x:row>
    <x:row r="71">
      <x:c r="A71" s="8"/>
      <x:c r="B71" s="7"/>
      <x:c r="C71" s="8"/>
    </x:row>
    <x:row r="72">
      <x:c r="A72" s="8"/>
      <x:c r="B72" s="7"/>
      <x:c r="C72" s="8"/>
    </x:row>
    <x:row r="73">
      <x:c r="A73" s="8"/>
      <x:c r="B73" s="7"/>
      <x:c r="C73" s="8"/>
    </x:row>
    <x:row r="74">
      <x:c r="A74" s="8"/>
      <x:c r="B74" s="7"/>
      <x:c r="C74" s="8"/>
    </x:row>
    <x:row r="75">
      <x:c r="A75" s="8"/>
      <x:c r="B75" s="7"/>
      <x:c r="C75" s="8"/>
    </x:row>
    <x:row r="76">
      <x:c r="A76" s="8"/>
      <x:c r="B76" s="7"/>
      <x:c r="C76" s="8"/>
    </x:row>
    <x:row r="77">
      <x:c r="A77" s="8"/>
      <x:c r="B77" s="7"/>
      <x:c r="C77" s="8"/>
    </x:row>
    <x:row r="78">
      <x:c r="A78" s="8"/>
      <x:c r="B78" s="7"/>
      <x:c r="C78" s="8"/>
    </x:row>
    <x:row r="79">
      <x:c r="A79" s="8"/>
      <x:c r="B79" s="7"/>
      <x:c r="C79" s="8"/>
    </x:row>
    <x:row r="80">
      <x:c r="A80" s="8"/>
      <x:c r="B80" s="7"/>
      <x:c r="C80" s="8"/>
    </x:row>
    <x:row r="81">
      <x:c r="A81" s="8"/>
      <x:c r="B81" s="7"/>
      <x:c r="C81" s="8"/>
    </x:row>
    <x:row r="82">
      <x:c r="A82" s="8"/>
      <x:c r="B82" s="7"/>
      <x:c r="C82" s="8"/>
    </x:row>
    <x:row r="83">
      <x:c r="A83" s="8"/>
      <x:c r="B83" s="7"/>
      <x:c r="C83" s="8"/>
    </x:row>
    <x:row r="84">
      <x:c r="A84" s="8"/>
      <x:c r="B84" s="7"/>
      <x:c r="C84" s="8"/>
    </x:row>
    <x:row r="85">
      <x:c r="A85" s="8"/>
      <x:c r="B85" s="7"/>
      <x:c r="C85" s="8"/>
    </x:row>
    <x:row r="86">
      <x:c r="A86" s="8"/>
      <x:c r="B86" s="7"/>
      <x:c r="C86" s="8"/>
    </x:row>
    <x:row r="87">
      <x:c r="A87" s="8"/>
      <x:c r="B87" s="7"/>
      <x:c r="C87" s="8"/>
    </x:row>
    <x:row r="88">
      <x:c r="A88" s="8"/>
      <x:c r="B88" s="7"/>
      <x:c r="C88" s="8"/>
    </x:row>
    <x:row r="89">
      <x:c r="A89" s="8"/>
      <x:c r="B89" s="7"/>
      <x:c r="C89" s="8"/>
    </x:row>
    <x:row r="90">
      <x:c r="A90" s="8"/>
      <x:c r="B90" s="7"/>
      <x:c r="C90" s="8"/>
    </x:row>
    <x:row r="91">
      <x:c r="A91" s="8"/>
      <x:c r="B91" s="7"/>
      <x:c r="C91" s="8"/>
    </x:row>
    <x:row r="92">
      <x:c r="A92" s="8"/>
      <x:c r="B92" s="7"/>
      <x:c r="C92" s="8"/>
    </x:row>
    <x:row r="93">
      <x:c r="A93" s="8"/>
      <x:c r="B93" s="7"/>
      <x:c r="C93" s="8"/>
    </x:row>
    <x:row r="94">
      <x:c r="A94" s="8"/>
      <x:c r="B94" s="7"/>
      <x:c r="C94" s="8"/>
    </x:row>
    <x:row r="95">
      <x:c r="A95" s="8"/>
      <x:c r="B95" s="7"/>
      <x:c r="C95" s="8"/>
    </x:row>
    <x:row r="96">
      <x:c r="A96" s="8"/>
      <x:c r="B96" s="7"/>
      <x:c r="C96" s="8"/>
    </x:row>
    <x:row r="97">
      <x:c r="A97" s="8"/>
      <x:c r="B97" s="7"/>
      <x:c r="C97" s="8"/>
    </x:row>
    <x:row r="98">
      <x:c r="A98" s="8"/>
      <x:c r="B98" s="7"/>
      <x:c r="C98" s="8"/>
    </x:row>
    <x:row r="99">
      <x:c r="A99" s="8"/>
      <x:c r="B99" s="7"/>
      <x:c r="C99" s="8"/>
    </x:row>
    <x:row r="100">
      <x:c r="A100" s="8"/>
      <x:c r="B100" s="7"/>
      <x:c r="C100" s="8"/>
    </x:row>
  </x:sheetData>
  <x:conditionalFormatting sqref="A2:C100">
    <x:cfRule type="containsText" dxfId="0" priority="1" operator="containsText" text="Comprar"/>
  </x:conditionalFormatting>
  <x:dataValidations count="1">
    <x:dataValidation type="list" sqref="C2:C100">
      <x:formula1>"Comprar,Disponible"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4ed9f9acb643b6"/>
  </x:tableParts>
</x:worksheet>
</file>