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0ce17765647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816031f9bef4b4b"/>
    <x:sheet xmlns:r="http://schemas.openxmlformats.org/officeDocument/2006/relationships" name="Movimientos" sheetId="2" r:id="Rfdc3dd33f1954931"/>
    <x:sheet xmlns:r="http://schemas.openxmlformats.org/officeDocument/2006/relationships" name="Gastos Fijos" sheetId="3" r:id="R297ac8f9733e4f32"/>
    <x:sheet xmlns:r="http://schemas.openxmlformats.org/officeDocument/2006/relationships" name="Mercado" sheetId="4" r:id="Rd0fe75e738ec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#,##0.0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b/>
      <x:sz val="11"/>
      <x:color rgb="FF2563EB"/>
      <x:name val="Carlito"/>
    </x:font>
    <x:font>
      <x:b/>
      <x:sz val="10"/>
      <x:color rgb="FF667085"/>
      <x:name val="Carlito"/>
    </x:font>
    <x:font>
      <x:b/>
      <x:sz val="16"/>
      <x:color rgb="FF172033"/>
      <x:name val="Carlito"/>
    </x:font>
    <x:font>
      <x:b/>
      <x:sz val="12"/>
      <x:color rgb="FF172033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FFFFF"/>
      </x:patternFill>
    </x:fill>
    <x:fill>
      <x:patternFill patternType="solid">
        <x:fgColor rgb="FFF7F8FA"/>
      </x:patternFill>
    </x:fill>
    <x:fill>
      <x:patternFill patternType="solid">
        <x:fgColor rgb="FFDBEAFE"/>
      </x:patternFill>
    </x:fill>
    <x:fill>
      <x:patternFill patternType="solid">
        <x:fgColor rgb="FFCCFBF1"/>
      </x:patternFill>
    </x:fill>
    <x:fill>
      <x:patternFill patternType="solid">
        <x:fgColor rgb="FFFEE2E2"/>
      </x:patternFill>
    </x:fill>
  </x:fills>
  <x:borders count="31">
    <x:border/>
    <x:border>
      <x:left style="thin">
        <x:color rgb="FFD9E1EC"/>
      </x:left>
      <x:right style="thin">
        <x:color rgb="FFD9E1EC"/>
      </x:right>
      <x:top style="thin">
        <x:color rgb="FFD9E1EC"/>
      </x:top>
      <x:bottom style="thin">
        <x:color rgb="FFD9E1EC"/>
      </x:bottom>
    </x:border>
    <x:border>
      <x:left style="medium">
        <x:color rgb="FF2563EB"/>
      </x:left>
      <x:top style="medium">
        <x:color rgb="FF2563EB"/>
      </x:top>
    </x:border>
    <x:border>
      <x:right style="medium">
        <x:color rgb="FF2563EB"/>
      </x:right>
      <x:top style="medium">
        <x:color rgb="FF2563EB"/>
      </x:top>
    </x:border>
    <x:border>
      <x:left style="medium">
        <x:color rgb="FF2563EB"/>
      </x:left>
    </x:border>
    <x:border>
      <x:right style="medium">
        <x:color rgb="FF2563EB"/>
      </x:right>
    </x:border>
    <x:border>
      <x:left style="medium">
        <x:color rgb="FF2563EB"/>
      </x:left>
      <x:bottom style="medium">
        <x:color rgb="FF2563EB"/>
      </x:bottom>
    </x:border>
    <x:border>
      <x:right style="medium">
        <x:color rgb="FF2563EB"/>
      </x:right>
      <x:bottom style="medium">
        <x:color rgb="FF2563EB"/>
      </x:bottom>
    </x:border>
    <x:border>
      <x:left style="medium">
        <x:color rgb="FF7C3AED"/>
      </x:left>
      <x:top style="medium">
        <x:color rgb="FF7C3AED"/>
      </x:top>
    </x:border>
    <x:border>
      <x:right style="medium">
        <x:color rgb="FF7C3AED"/>
      </x:right>
      <x:top style="medium">
        <x:color rgb="FF7C3AED"/>
      </x:top>
    </x:border>
    <x:border>
      <x:left style="medium">
        <x:color rgb="FF7C3AED"/>
      </x:left>
    </x:border>
    <x:border>
      <x:right style="medium">
        <x:color rgb="FF7C3AED"/>
      </x:right>
    </x:border>
    <x:border>
      <x:left style="medium">
        <x:color rgb="FF7C3AED"/>
      </x:left>
      <x:bottom style="medium">
        <x:color rgb="FF7C3AED"/>
      </x:bottom>
    </x:border>
    <x:border>
      <x:right style="medium">
        <x:color rgb="FF7C3AED"/>
      </x:right>
      <x:bottom style="medium">
        <x:color rgb="FF7C3AED"/>
      </x:bottom>
    </x:border>
    <x:border>
      <x:left style="medium">
        <x:color rgb="FF0F766E"/>
      </x:left>
      <x:top style="medium">
        <x:color rgb="FF0F766E"/>
      </x:top>
    </x:border>
    <x:border>
      <x:right style="medium">
        <x:color rgb="FF0F766E"/>
      </x:right>
      <x:top style="medium">
        <x:color rgb="FF0F766E"/>
      </x:top>
    </x:border>
    <x:border>
      <x:left style="medium">
        <x:color rgb="FF0F766E"/>
      </x:left>
    </x:border>
    <x:border>
      <x:right style="medium">
        <x:color rgb="FF0F766E"/>
      </x:right>
    </x:border>
    <x:border>
      <x:left style="medium">
        <x:color rgb="FF0F766E"/>
      </x:left>
      <x:bottom style="medium">
        <x:color rgb="FF0F766E"/>
      </x:bottom>
    </x:border>
    <x:border>
      <x:right style="medium">
        <x:color rgb="FF0F766E"/>
      </x:right>
      <x:bottom style="medium">
        <x:color rgb="FF0F766E"/>
      </x:bottom>
    </x:border>
    <x:border>
      <x:left style="medium">
        <x:color rgb="FFF59E0B"/>
      </x:left>
      <x:top style="medium">
        <x:color rgb="FFF59E0B"/>
      </x:top>
    </x:border>
    <x:border>
      <x:top style="medium">
        <x:color rgb="FFF59E0B"/>
      </x:top>
    </x:border>
    <x:border>
      <x:right style="medium">
        <x:color rgb="FFF59E0B"/>
      </x:right>
      <x:top style="medium">
        <x:color rgb="FFF59E0B"/>
      </x:top>
    </x:border>
    <x:border>
      <x:left style="medium">
        <x:color rgb="FFF59E0B"/>
      </x:left>
    </x:border>
    <x:border>
      <x:right style="medium">
        <x:color rgb="FFF59E0B"/>
      </x:right>
    </x:border>
    <x:border>
      <x:left style="medium">
        <x:color rgb="FFF59E0B"/>
      </x:left>
      <x:bottom style="medium">
        <x:color rgb="FFF59E0B"/>
      </x:bottom>
    </x:border>
    <x:border>
      <x:bottom style="medium">
        <x:color rgb="FFF59E0B"/>
      </x:bottom>
    </x:border>
    <x:border>
      <x:right style="medium">
        <x:color rgb="FFF59E0B"/>
      </x:right>
      <x:bottom style="medium">
        <x:color rgb="FFF59E0B"/>
      </x:bottom>
    </x:border>
    <x:border>
      <x:left style="thin">
        <x:color rgb="FFD9E1EC"/>
      </x:left>
      <x:top style="thin">
        <x:color rgb="FFD9E1EC"/>
      </x:top>
      <x:bottom style="thin">
        <x:color rgb="FFD9E1EC"/>
      </x:bottom>
    </x:border>
    <x:border>
      <x:top style="thin">
        <x:color rgb="FFD9E1EC"/>
      </x:top>
      <x:bottom style="thin">
        <x:color rgb="FFD9E1EC"/>
      </x:bottom>
    </x:border>
    <x:border>
      <x:right style="thin">
        <x:color rgb="FFD9E1EC"/>
      </x:right>
      <x:top style="thin">
        <x:color rgb="FFD9E1EC"/>
      </x:top>
      <x:bottom style="thin">
        <x:color rgb="FFD9E1EC"/>
      </x:bottom>
    </x:border>
  </x:borders>
  <x:cellStyleXfs count="1">
    <x:xf numFmtId="0" fontId="0" fillId="0" borderId="0"/>
  </x:cellStyleXfs>
  <x:cellXfs count="2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3" borderId="1" xfId="0" applyNumberFormat="1" applyFont="1" applyFill="1" applyBorder="1"/>
    <x:xf numFmtId="0" fontId="0" fillId="3" borderId="1" xfId="0" applyNumberFormat="1" applyFont="1" applyFill="1" applyBorder="1"/>
    <x:xf numFmtId="201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2" xfId="0" applyNumberFormat="1" applyFont="1" applyFill="1" applyBorder="1" applyAlignment="1">
      <x:alignment vertical="center"/>
    </x:xf>
    <x:xf numFmtId="0" fontId="0" fillId="3" borderId="3" xfId="0" applyNumberFormat="1" applyFont="1" applyFill="1" applyBorder="1" applyAlignment="1">
      <x:alignment vertical="center"/>
    </x:xf>
    <x:xf numFmtId="0" fontId="0" fillId="3" borderId="4" xfId="0" applyNumberFormat="1" applyFont="1" applyFill="1" applyBorder="1" applyAlignment="1">
      <x:alignment vertical="center"/>
    </x:xf>
    <x:xf numFmtId="0" fontId="0" fillId="3" borderId="5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7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0" fontId="5" fillId="3" borderId="3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horizontal="center" vertical="center"/>
    </x:xf>
    <x:xf numFmtId="0" fontId="5" fillId="3" borderId="3" xfId="0" applyNumberFormat="1" applyFont="1" applyFill="1" applyBorder="1" applyAlignment="1">
      <x:alignment horizontal="center"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6" xfId="0" applyNumberFormat="1" applyFont="1" applyFill="1" applyBorder="1" applyAlignment="1">
      <x:alignment vertical="center"/>
    </x:xf>
    <x:xf numFmtId="0" fontId="6" fillId="3" borderId="7" xfId="0" applyNumberFormat="1" applyFont="1" applyFill="1" applyBorder="1" applyAlignment="1">
      <x:alignment vertical="center"/>
    </x:xf>
    <x:xf numFmtId="201" fontId="6" fillId="3" borderId="4" xfId="0" applyNumberFormat="1" applyFont="1" applyFill="1" applyBorder="1" applyAlignment="1">
      <x:alignment vertical="center"/>
    </x:xf>
    <x:xf numFmtId="201" fontId="6" fillId="3" borderId="5" xfId="0" applyNumberFormat="1" applyFont="1" applyFill="1" applyBorder="1" applyAlignment="1">
      <x:alignment vertical="center"/>
    </x:xf>
    <x:xf numFmtId="201" fontId="6" fillId="3" borderId="6" xfId="0" applyNumberFormat="1" applyFont="1" applyFill="1" applyBorder="1" applyAlignment="1">
      <x:alignment vertical="center"/>
    </x:xf>
    <x:xf numFmtId="201" fontId="6" fillId="3" borderId="7" xfId="0" applyNumberFormat="1" applyFont="1" applyFill="1" applyBorder="1" applyAlignment="1">
      <x:alignment vertical="center"/>
    </x:xf>
    <x:xf numFmtId="201" fontId="6" fillId="3" borderId="4" xfId="0" applyNumberFormat="1" applyFont="1" applyFill="1" applyBorder="1" applyAlignment="1">
      <x:alignment horizontal="center" vertical="center"/>
    </x:xf>
    <x:xf numFmtId="201" fontId="6" fillId="3" borderId="5" xfId="0" applyNumberFormat="1" applyFont="1" applyFill="1" applyBorder="1" applyAlignment="1">
      <x:alignment horizontal="center" vertical="center"/>
    </x:xf>
    <x:xf numFmtId="201" fontId="6" fillId="3" borderId="6" xfId="0" applyNumberFormat="1" applyFont="1" applyFill="1" applyBorder="1" applyAlignment="1">
      <x:alignment horizontal="center" vertical="center"/>
    </x:xf>
    <x:xf numFmtId="201" fontId="6" fillId="3" borderId="7" xfId="0" applyNumberFormat="1" applyFont="1" applyFill="1" applyBorder="1" applyAlignment="1">
      <x:alignment horizontal="center" vertical="center"/>
    </x:xf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0" fillId="3" borderId="8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0" fillId="3" borderId="10" xfId="0" applyNumberFormat="1" applyFont="1" applyFill="1" applyBorder="1" applyAlignment="1">
      <x:alignment vertical="center"/>
    </x:xf>
    <x:xf numFmtId="0" fontId="0" fillId="3" borderId="11" xfId="0" applyNumberFormat="1" applyFont="1" applyFill="1" applyBorder="1" applyAlignment="1">
      <x:alignment vertical="center"/>
    </x:xf>
    <x:xf numFmtId="0" fontId="0" fillId="3" borderId="12" xfId="0" applyNumberFormat="1" applyFont="1" applyFill="1" applyBorder="1" applyAlignment="1">
      <x:alignment vertical="center"/>
    </x:xf>
    <x:xf numFmtId="0" fontId="0" fillId="3" borderId="13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vertical="center"/>
    </x:xf>
    <x:xf numFmtId="0" fontId="5" fillId="3" borderId="9" xfId="0" applyNumberFormat="1" applyFont="1" applyFill="1" applyBorder="1" applyAlignment="1">
      <x:alignment vertical="center"/>
    </x:xf>
    <x:xf numFmtId="0" fontId="5" fillId="3" borderId="8" xfId="0" applyNumberFormat="1" applyFont="1" applyFill="1" applyBorder="1" applyAlignment="1">
      <x:alignment horizontal="center" vertical="center"/>
    </x:xf>
    <x:xf numFmtId="0" fontId="5" fillId="3" borderId="9" xfId="0" applyNumberFormat="1" applyFont="1" applyFill="1" applyBorder="1" applyAlignment="1">
      <x:alignment horizontal="center" vertical="center"/>
    </x:xf>
    <x:xf numFmtId="0" fontId="6" fillId="3" borderId="10" xfId="0" applyNumberFormat="1" applyFont="1" applyFill="1" applyBorder="1" applyAlignment="1">
      <x:alignment vertical="center"/>
    </x:xf>
    <x:xf numFmtId="0" fontId="6" fillId="3" borderId="11" xfId="0" applyNumberFormat="1" applyFont="1" applyFill="1" applyBorder="1" applyAlignment="1">
      <x:alignment vertical="center"/>
    </x:xf>
    <x:xf numFmtId="0" fontId="6" fillId="3" borderId="12" xfId="0" applyNumberFormat="1" applyFont="1" applyFill="1" applyBorder="1" applyAlignment="1">
      <x:alignment vertical="center"/>
    </x:xf>
    <x:xf numFmtId="0" fontId="6" fillId="3" borderId="13" xfId="0" applyNumberFormat="1" applyFont="1" applyFill="1" applyBorder="1" applyAlignment="1">
      <x:alignment vertical="center"/>
    </x:xf>
    <x:xf numFmtId="201" fontId="6" fillId="3" borderId="10" xfId="0" applyNumberFormat="1" applyFont="1" applyFill="1" applyBorder="1" applyAlignment="1">
      <x:alignment vertical="center"/>
    </x:xf>
    <x:xf numFmtId="201" fontId="6" fillId="3" borderId="11" xfId="0" applyNumberFormat="1" applyFont="1" applyFill="1" applyBorder="1" applyAlignment="1">
      <x:alignment vertical="center"/>
    </x:xf>
    <x:xf numFmtId="201" fontId="6" fillId="3" borderId="12" xfId="0" applyNumberFormat="1" applyFont="1" applyFill="1" applyBorder="1" applyAlignment="1">
      <x:alignment vertical="center"/>
    </x:xf>
    <x:xf numFmtId="201" fontId="6" fillId="3" borderId="13" xfId="0" applyNumberFormat="1" applyFont="1" applyFill="1" applyBorder="1" applyAlignment="1">
      <x:alignment vertical="center"/>
    </x:xf>
    <x:xf numFmtId="201" fontId="6" fillId="3" borderId="10" xfId="0" applyNumberFormat="1" applyFont="1" applyFill="1" applyBorder="1" applyAlignment="1">
      <x:alignment horizontal="center" vertical="center"/>
    </x:xf>
    <x:xf numFmtId="201" fontId="6" fillId="3" borderId="11" xfId="0" applyNumberFormat="1" applyFont="1" applyFill="1" applyBorder="1" applyAlignment="1">
      <x:alignment horizontal="center" vertical="center"/>
    </x:xf>
    <x:xf numFmtId="201" fontId="6" fillId="3" borderId="12" xfId="0" applyNumberFormat="1" applyFont="1" applyFill="1" applyBorder="1" applyAlignment="1">
      <x:alignment horizontal="center" vertical="center"/>
    </x:xf>
    <x:xf numFmtId="201" fontId="6" fillId="3" borderId="13" xfId="0" applyNumberFormat="1" applyFont="1" applyFill="1" applyBorder="1" applyAlignment="1">
      <x:alignment horizontal="center" vertical="center"/>
    </x:xf>
    <x:xf numFmtId="0" fontId="0" fillId="3" borderId="14" xfId="0" applyNumberFormat="1" applyFont="1" applyFill="1" applyBorder="1"/>
    <x:xf numFmtId="0" fontId="0" fillId="3" borderId="15" xfId="0" applyNumberFormat="1" applyFont="1" applyFill="1" applyBorder="1"/>
    <x:xf numFmtId="0" fontId="0" fillId="3" borderId="16" xfId="0" applyNumberFormat="1" applyFont="1" applyFill="1" applyBorder="1"/>
    <x:xf numFmtId="0" fontId="0" fillId="3" borderId="17" xfId="0" applyNumberFormat="1" applyFont="1" applyFill="1" applyBorder="1"/>
    <x:xf numFmtId="0" fontId="0" fillId="3" borderId="18" xfId="0" applyNumberFormat="1" applyFont="1" applyFill="1" applyBorder="1"/>
    <x:xf numFmtId="0" fontId="0" fillId="3" borderId="19" xfId="0" applyNumberFormat="1" applyFont="1" applyFill="1" applyBorder="1"/>
    <x:xf numFmtId="0" fontId="0" fillId="3" borderId="14" xfId="0" applyNumberFormat="1" applyFont="1" applyFill="1" applyBorder="1" applyAlignment="1">
      <x:alignment vertical="center"/>
    </x:xf>
    <x:xf numFmtId="0" fontId="0" fillId="3" borderId="15" xfId="0" applyNumberFormat="1" applyFont="1" applyFill="1" applyBorder="1" applyAlignment="1">
      <x:alignment vertical="center"/>
    </x:xf>
    <x:xf numFmtId="0" fontId="0" fillId="3" borderId="16" xfId="0" applyNumberFormat="1" applyFont="1" applyFill="1" applyBorder="1" applyAlignment="1">
      <x:alignment vertical="center"/>
    </x:xf>
    <x:xf numFmtId="0" fontId="0" fillId="3" borderId="17" xfId="0" applyNumberFormat="1" applyFont="1" applyFill="1" applyBorder="1" applyAlignment="1">
      <x:alignment vertical="center"/>
    </x:xf>
    <x:xf numFmtId="0" fontId="0" fillId="3" borderId="18" xfId="0" applyNumberFormat="1" applyFont="1" applyFill="1" applyBorder="1" applyAlignment="1">
      <x:alignment vertical="center"/>
    </x:xf>
    <x:xf numFmtId="0" fontId="0" fillId="3" borderId="19" xfId="0" applyNumberFormat="1" applyFont="1" applyFill="1" applyBorder="1" applyAlignment="1">
      <x:alignment vertical="center"/>
    </x:xf>
    <x:xf numFmtId="0" fontId="5" fillId="3" borderId="14" xfId="0" applyNumberFormat="1" applyFont="1" applyFill="1" applyBorder="1" applyAlignment="1">
      <x:alignment vertical="center"/>
    </x:xf>
    <x:xf numFmtId="0" fontId="5" fillId="3" borderId="15" xfId="0" applyNumberFormat="1" applyFont="1" applyFill="1" applyBorder="1" applyAlignment="1">
      <x:alignment vertical="center"/>
    </x:xf>
    <x:xf numFmtId="0" fontId="5" fillId="3" borderId="14" xfId="0" applyNumberFormat="1" applyFont="1" applyFill="1" applyBorder="1" applyAlignment="1">
      <x:alignment horizontal="center" vertical="center"/>
    </x:xf>
    <x:xf numFmtId="0" fontId="5" fillId="3" borderId="15" xfId="0" applyNumberFormat="1" applyFont="1" applyFill="1" applyBorder="1" applyAlignment="1">
      <x:alignment horizontal="center" vertical="center"/>
    </x:xf>
    <x:xf numFmtId="0" fontId="6" fillId="3" borderId="16" xfId="0" applyNumberFormat="1" applyFont="1" applyFill="1" applyBorder="1" applyAlignment="1">
      <x:alignment vertical="center"/>
    </x:xf>
    <x:xf numFmtId="0" fontId="6" fillId="3" borderId="17" xfId="0" applyNumberFormat="1" applyFont="1" applyFill="1" applyBorder="1" applyAlignment="1">
      <x:alignment vertical="center"/>
    </x:xf>
    <x:xf numFmtId="0" fontId="6" fillId="3" borderId="18" xfId="0" applyNumberFormat="1" applyFont="1" applyFill="1" applyBorder="1" applyAlignment="1">
      <x:alignment vertical="center"/>
    </x:xf>
    <x:xf numFmtId="0" fontId="6" fillId="3" borderId="19" xfId="0" applyNumberFormat="1" applyFont="1" applyFill="1" applyBorder="1" applyAlignment="1">
      <x:alignment vertical="center"/>
    </x:xf>
    <x:xf numFmtId="201" fontId="6" fillId="3" borderId="16" xfId="0" applyNumberFormat="1" applyFont="1" applyFill="1" applyBorder="1" applyAlignment="1">
      <x:alignment vertical="center"/>
    </x:xf>
    <x:xf numFmtId="201" fontId="6" fillId="3" borderId="17" xfId="0" applyNumberFormat="1" applyFont="1" applyFill="1" applyBorder="1" applyAlignment="1">
      <x:alignment vertical="center"/>
    </x:xf>
    <x:xf numFmtId="201" fontId="6" fillId="3" borderId="18" xfId="0" applyNumberFormat="1" applyFont="1" applyFill="1" applyBorder="1" applyAlignment="1">
      <x:alignment vertical="center"/>
    </x:xf>
    <x:xf numFmtId="201" fontId="6" fillId="3" borderId="19" xfId="0" applyNumberFormat="1" applyFont="1" applyFill="1" applyBorder="1" applyAlignment="1">
      <x:alignment vertical="center"/>
    </x:xf>
    <x:xf numFmtId="201" fontId="6" fillId="3" borderId="16" xfId="0" applyNumberFormat="1" applyFont="1" applyFill="1" applyBorder="1" applyAlignment="1">
      <x:alignment horizontal="center" vertical="center"/>
    </x:xf>
    <x:xf numFmtId="201" fontId="6" fillId="3" borderId="17" xfId="0" applyNumberFormat="1" applyFont="1" applyFill="1" applyBorder="1" applyAlignment="1">
      <x:alignment horizontal="center" vertical="center"/>
    </x:xf>
    <x:xf numFmtId="201" fontId="6" fillId="3" borderId="18" xfId="0" applyNumberFormat="1" applyFont="1" applyFill="1" applyBorder="1" applyAlignment="1">
      <x:alignment horizontal="center" vertical="center"/>
    </x:xf>
    <x:xf numFmtId="201" fontId="6" fillId="3" borderId="19" xfId="0" applyNumberFormat="1" applyFont="1" applyFill="1" applyBorder="1" applyAlignment="1">
      <x:alignment horizontal="center" vertical="center"/>
    </x:xf>
    <x:xf numFmtId="0" fontId="0" fillId="3" borderId="20" xfId="0" applyNumberFormat="1" applyFont="1" applyFill="1" applyBorder="1"/>
    <x:xf numFmtId="0" fontId="0" fillId="3" borderId="21" xfId="0" applyNumberFormat="1" applyFont="1" applyFill="1" applyBorder="1"/>
    <x:xf numFmtId="0" fontId="0" fillId="3" borderId="22" xfId="0" applyNumberFormat="1" applyFont="1" applyFill="1" applyBorder="1"/>
    <x:xf numFmtId="0" fontId="0" fillId="3" borderId="23" xfId="0" applyNumberFormat="1" applyFont="1" applyFill="1" applyBorder="1"/>
    <x:xf numFmtId="0" fontId="0" fillId="3" borderId="24" xfId="0" applyNumberFormat="1" applyFont="1" applyFill="1" applyBorder="1"/>
    <x:xf numFmtId="0" fontId="0" fillId="3" borderId="25" xfId="0" applyNumberFormat="1" applyFont="1" applyFill="1" applyBorder="1"/>
    <x:xf numFmtId="0" fontId="0" fillId="3" borderId="26" xfId="0" applyNumberFormat="1" applyFont="1" applyFill="1" applyBorder="1"/>
    <x:xf numFmtId="0" fontId="0" fillId="3" borderId="27" xfId="0" applyNumberFormat="1" applyFont="1" applyFill="1" applyBorder="1"/>
    <x:xf numFmtId="0" fontId="0" fillId="3" borderId="20" xfId="0" applyNumberFormat="1" applyFont="1" applyFill="1" applyBorder="1" applyAlignment="1">
      <x:alignment vertical="center"/>
    </x:xf>
    <x:xf numFmtId="0" fontId="0" fillId="3" borderId="21" xfId="0" applyNumberFormat="1" applyFont="1" applyFill="1" applyBorder="1" applyAlignment="1">
      <x:alignment vertical="center"/>
    </x:xf>
    <x:xf numFmtId="0" fontId="0" fillId="3" borderId="22" xfId="0" applyNumberFormat="1" applyFont="1" applyFill="1" applyBorder="1" applyAlignment="1">
      <x:alignment vertical="center"/>
    </x:xf>
    <x:xf numFmtId="0" fontId="0" fillId="3" borderId="2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0" fillId="3" borderId="24" xfId="0" applyNumberFormat="1" applyFont="1" applyFill="1" applyBorder="1" applyAlignment="1">
      <x:alignment vertical="center"/>
    </x:xf>
    <x:xf numFmtId="0" fontId="0" fillId="3" borderId="25" xfId="0" applyNumberFormat="1" applyFont="1" applyFill="1" applyBorder="1" applyAlignment="1">
      <x:alignment vertical="center"/>
    </x:xf>
    <x:xf numFmtId="0" fontId="0" fillId="3" borderId="26" xfId="0" applyNumberFormat="1" applyFont="1" applyFill="1" applyBorder="1" applyAlignment="1">
      <x:alignment vertical="center"/>
    </x:xf>
    <x:xf numFmtId="0" fontId="0" fillId="3" borderId="27" xfId="0" applyNumberFormat="1" applyFont="1" applyFill="1" applyBorder="1" applyAlignment="1">
      <x:alignment vertical="center"/>
    </x:xf>
    <x:xf numFmtId="0" fontId="5" fillId="3" borderId="20" xfId="0" applyNumberFormat="1" applyFont="1" applyFill="1" applyBorder="1" applyAlignment="1">
      <x:alignment vertical="center"/>
    </x:xf>
    <x:xf numFmtId="0" fontId="5" fillId="3" borderId="21" xfId="0" applyNumberFormat="1" applyFont="1" applyFill="1" applyBorder="1" applyAlignment="1">
      <x:alignment vertical="center"/>
    </x:xf>
    <x:xf numFmtId="0" fontId="5" fillId="3" borderId="22" xfId="0" applyNumberFormat="1" applyFont="1" applyFill="1" applyBorder="1" applyAlignment="1">
      <x:alignment vertical="center"/>
    </x:xf>
    <x:xf numFmtId="0" fontId="5" fillId="3" borderId="20" xfId="0" applyNumberFormat="1" applyFont="1" applyFill="1" applyBorder="1" applyAlignment="1">
      <x:alignment horizontal="center" vertical="center"/>
    </x:xf>
    <x:xf numFmtId="0" fontId="5" fillId="3" borderId="21" xfId="0" applyNumberFormat="1" applyFont="1" applyFill="1" applyBorder="1" applyAlignment="1">
      <x:alignment horizontal="center" vertical="center"/>
    </x:xf>
    <x:xf numFmtId="0" fontId="5" fillId="3" borderId="22" xfId="0" applyNumberFormat="1" applyFont="1" applyFill="1" applyBorder="1" applyAlignment="1">
      <x:alignment horizontal="center" vertical="center"/>
    </x:xf>
    <x:xf numFmtId="0" fontId="6" fillId="3" borderId="23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24" xfId="0" applyNumberFormat="1" applyFont="1" applyFill="1" applyBorder="1" applyAlignment="1">
      <x:alignment vertical="center"/>
    </x:xf>
    <x:xf numFmtId="0" fontId="6" fillId="3" borderId="25" xfId="0" applyNumberFormat="1" applyFont="1" applyFill="1" applyBorder="1" applyAlignment="1">
      <x:alignment vertical="center"/>
    </x:xf>
    <x:xf numFmtId="0" fontId="6" fillId="3" borderId="26" xfId="0" applyNumberFormat="1" applyFont="1" applyFill="1" applyBorder="1" applyAlignment="1">
      <x:alignment vertical="center"/>
    </x:xf>
    <x:xf numFmtId="0" fontId="6" fillId="3" borderId="27" xfId="0" applyNumberFormat="1" applyFont="1" applyFill="1" applyBorder="1" applyAlignment="1">
      <x:alignment vertical="center"/>
    </x:xf>
    <x:xf numFmtId="201" fontId="6" fillId="3" borderId="23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201" fontId="6" fillId="3" borderId="24" xfId="0" applyNumberFormat="1" applyFont="1" applyFill="1" applyBorder="1" applyAlignment="1">
      <x:alignment vertical="center"/>
    </x:xf>
    <x:xf numFmtId="201" fontId="6" fillId="3" borderId="25" xfId="0" applyNumberFormat="1" applyFont="1" applyFill="1" applyBorder="1" applyAlignment="1">
      <x:alignment vertical="center"/>
    </x:xf>
    <x:xf numFmtId="201" fontId="6" fillId="3" borderId="26" xfId="0" applyNumberFormat="1" applyFont="1" applyFill="1" applyBorder="1" applyAlignment="1">
      <x:alignment vertical="center"/>
    </x:xf>
    <x:xf numFmtId="201" fontId="6" fillId="3" borderId="27" xfId="0" applyNumberFormat="1" applyFont="1" applyFill="1" applyBorder="1" applyAlignment="1">
      <x:alignment vertical="center"/>
    </x:xf>
    <x:xf numFmtId="201" fontId="6" fillId="3" borderId="23" xfId="0" applyNumberFormat="1" applyFont="1" applyFill="1" applyBorder="1" applyAlignment="1">
      <x:alignment horizontal="center" vertical="center"/>
    </x:xf>
    <x:xf numFmtId="201" fontId="6" fillId="3" borderId="0" xfId="0" applyNumberFormat="1" applyFont="1" applyFill="1" applyBorder="1" applyAlignment="1">
      <x:alignment horizontal="center" vertical="center"/>
    </x:xf>
    <x:xf numFmtId="201" fontId="6" fillId="3" borderId="24" xfId="0" applyNumberFormat="1" applyFont="1" applyFill="1" applyBorder="1" applyAlignment="1">
      <x:alignment horizontal="center" vertical="center"/>
    </x:xf>
    <x:xf numFmtId="201" fontId="6" fillId="3" borderId="25" xfId="0" applyNumberFormat="1" applyFont="1" applyFill="1" applyBorder="1" applyAlignment="1">
      <x:alignment horizontal="center" vertical="center"/>
    </x:xf>
    <x:xf numFmtId="201" fontId="6" fillId="3" borderId="26" xfId="0" applyNumberFormat="1" applyFont="1" applyFill="1" applyBorder="1" applyAlignment="1">
      <x:alignment horizontal="center" vertical="center"/>
    </x:xf>
    <x:xf numFmtId="201" fontId="6" fillId="3" borderId="27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14" xfId="0" applyNumberFormat="1" applyFont="1" applyFill="1" applyBorder="1"/>
    <x:xf numFmtId="0" fontId="0" fillId="6" borderId="15" xfId="0" applyNumberFormat="1" applyFont="1" applyFill="1" applyBorder="1"/>
    <x:xf numFmtId="0" fontId="0" fillId="6" borderId="16" xfId="0" applyNumberFormat="1" applyFont="1" applyFill="1" applyBorder="1"/>
    <x:xf numFmtId="0" fontId="0" fillId="6" borderId="17" xfId="0" applyNumberFormat="1" applyFont="1" applyFill="1" applyBorder="1"/>
    <x:xf numFmtId="0" fontId="0" fillId="6" borderId="18" xfId="0" applyNumberFormat="1" applyFont="1" applyFill="1" applyBorder="1"/>
    <x:xf numFmtId="0" fontId="0" fillId="6" borderId="19" xfId="0" applyNumberFormat="1" applyFont="1" applyFill="1" applyBorder="1"/>
    <x:xf numFmtId="0" fontId="0" fillId="6" borderId="14" xfId="0" applyNumberFormat="1" applyFont="1" applyFill="1" applyBorder="1" applyAlignment="1">
      <x:alignment vertical="center"/>
    </x:xf>
    <x:xf numFmtId="0" fontId="0" fillId="6" borderId="15" xfId="0" applyNumberFormat="1" applyFont="1" applyFill="1" applyBorder="1" applyAlignment="1">
      <x:alignment vertical="center"/>
    </x:xf>
    <x:xf numFmtId="0" fontId="0" fillId="6" borderId="16" xfId="0" applyNumberFormat="1" applyFont="1" applyFill="1" applyBorder="1" applyAlignment="1">
      <x:alignment vertical="center"/>
    </x:xf>
    <x:xf numFmtId="0" fontId="0" fillId="6" borderId="17" xfId="0" applyNumberFormat="1" applyFont="1" applyFill="1" applyBorder="1" applyAlignment="1">
      <x:alignment vertical="center"/>
    </x:xf>
    <x:xf numFmtId="0" fontId="0" fillId="6" borderId="18" xfId="0" applyNumberFormat="1" applyFont="1" applyFill="1" applyBorder="1" applyAlignment="1">
      <x:alignment vertical="center"/>
    </x:xf>
    <x:xf numFmtId="0" fontId="0" fillId="6" borderId="19" xfId="0" applyNumberFormat="1" applyFont="1" applyFill="1" applyBorder="1" applyAlignment="1">
      <x:alignment vertical="center"/>
    </x:xf>
    <x:xf numFmtId="0" fontId="5" fillId="6" borderId="14" xfId="0" applyNumberFormat="1" applyFont="1" applyFill="1" applyBorder="1" applyAlignment="1">
      <x:alignment vertical="center"/>
    </x:xf>
    <x:xf numFmtId="0" fontId="5" fillId="6" borderId="15" xfId="0" applyNumberFormat="1" applyFont="1" applyFill="1" applyBorder="1" applyAlignment="1">
      <x:alignment vertical="center"/>
    </x:xf>
    <x:xf numFmtId="0" fontId="5" fillId="6" borderId="14" xfId="0" applyNumberFormat="1" applyFont="1" applyFill="1" applyBorder="1" applyAlignment="1">
      <x:alignment horizontal="center" vertical="center"/>
    </x:xf>
    <x:xf numFmtId="0" fontId="5" fillId="6" borderId="15" xfId="0" applyNumberFormat="1" applyFont="1" applyFill="1" applyBorder="1" applyAlignment="1">
      <x:alignment horizontal="center" vertical="center"/>
    </x:xf>
    <x:xf numFmtId="0" fontId="6" fillId="6" borderId="16" xfId="0" applyNumberFormat="1" applyFont="1" applyFill="1" applyBorder="1" applyAlignment="1">
      <x:alignment vertical="center"/>
    </x:xf>
    <x:xf numFmtId="0" fontId="6" fillId="6" borderId="17" xfId="0" applyNumberFormat="1" applyFont="1" applyFill="1" applyBorder="1" applyAlignment="1">
      <x:alignment vertical="center"/>
    </x:xf>
    <x:xf numFmtId="0" fontId="6" fillId="6" borderId="18" xfId="0" applyNumberFormat="1" applyFont="1" applyFill="1" applyBorder="1" applyAlignment="1">
      <x:alignment vertical="center"/>
    </x:xf>
    <x:xf numFmtId="0" fontId="6" fillId="6" borderId="19" xfId="0" applyNumberFormat="1" applyFont="1" applyFill="1" applyBorder="1" applyAlignment="1">
      <x:alignment vertical="center"/>
    </x:xf>
    <x:xf numFmtId="201" fontId="6" fillId="6" borderId="16" xfId="0" applyNumberFormat="1" applyFont="1" applyFill="1" applyBorder="1" applyAlignment="1">
      <x:alignment vertical="center"/>
    </x:xf>
    <x:xf numFmtId="201" fontId="6" fillId="6" borderId="17" xfId="0" applyNumberFormat="1" applyFont="1" applyFill="1" applyBorder="1" applyAlignment="1">
      <x:alignment vertical="center"/>
    </x:xf>
    <x:xf numFmtId="201" fontId="6" fillId="6" borderId="18" xfId="0" applyNumberFormat="1" applyFont="1" applyFill="1" applyBorder="1" applyAlignment="1">
      <x:alignment vertical="center"/>
    </x:xf>
    <x:xf numFmtId="201" fontId="6" fillId="6" borderId="19" xfId="0" applyNumberFormat="1" applyFont="1" applyFill="1" applyBorder="1" applyAlignment="1">
      <x:alignment vertical="center"/>
    </x:xf>
    <x:xf numFmtId="201" fontId="6" fillId="6" borderId="16" xfId="0" applyNumberFormat="1" applyFont="1" applyFill="1" applyBorder="1" applyAlignment="1">
      <x:alignment horizontal="center" vertical="center"/>
    </x:xf>
    <x:xf numFmtId="201" fontId="6" fillId="6" borderId="17" xfId="0" applyNumberFormat="1" applyFont="1" applyFill="1" applyBorder="1" applyAlignment="1">
      <x:alignment horizontal="center" vertical="center"/>
    </x:xf>
    <x:xf numFmtId="201" fontId="6" fillId="6" borderId="18" xfId="0" applyNumberFormat="1" applyFont="1" applyFill="1" applyBorder="1" applyAlignment="1">
      <x:alignment horizontal="center" vertical="center"/>
    </x:xf>
    <x:xf numFmtId="201" fontId="6" fillId="6" borderId="19" xfId="0" applyNumberFormat="1" applyFont="1" applyFill="1" applyBorder="1" applyAlignment="1">
      <x:alignment horizontal="center" vertical="center"/>
    </x:xf>
    <x:xf numFmtId="0" fontId="7" fillId="5" borderId="0" xfId="0" applyNumberFormat="1" applyFont="1" applyFill="1" applyBorder="1"/>
    <x:xf numFmtId="0" fontId="7" fillId="5" borderId="28" xfId="0" applyNumberFormat="1" applyFont="1" applyFill="1" applyBorder="1"/>
    <x:xf numFmtId="0" fontId="7" fillId="5" borderId="29" xfId="0" applyNumberFormat="1" applyFont="1" applyFill="1" applyBorder="1"/>
    <x:xf numFmtId="0" fontId="7" fillId="5" borderId="30" xfId="0" applyNumberFormat="1" applyFont="1" applyFill="1" applyBorder="1"/>
    <x:xf numFmtId="0" fontId="7" fillId="5" borderId="28" xfId="0" applyNumberFormat="1" applyFont="1" applyFill="1" applyBorder="1" applyAlignment="1">
      <x:alignment horizontal="left"/>
    </x:xf>
    <x:xf numFmtId="0" fontId="7" fillId="5" borderId="29" xfId="0" applyNumberFormat="1" applyFont="1" applyFill="1" applyBorder="1" applyAlignment="1">
      <x:alignment horizontal="left"/>
    </x:xf>
    <x:xf numFmtId="0" fontId="7" fillId="5" borderId="30" xfId="0" applyNumberFormat="1" applyFont="1" applyFill="1" applyBorder="1" applyAlignment="1">
      <x:alignment horizontal="left"/>
    </x:xf>
    <x:xf numFmtId="0" fontId="7" fillId="5" borderId="28" xfId="0" applyNumberFormat="1" applyFont="1" applyFill="1" applyBorder="1" applyAlignment="1">
      <x:alignment horizontal="left" vertical="center"/>
    </x:xf>
    <x:xf numFmtId="0" fontId="7" fillId="5" borderId="29" xfId="0" applyNumberFormat="1" applyFont="1" applyFill="1" applyBorder="1" applyAlignment="1">
      <x:alignment horizontal="left" vertical="center"/>
    </x:xf>
    <x:xf numFmtId="0" fontId="7" fillId="5" borderId="30" xfId="0" applyNumberFormat="1" applyFont="1" applyFill="1" applyBorder="1" applyAlignment="1">
      <x:alignment horizontal="left" vertical="center"/>
    </x:xf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201" fontId="0" fillId="4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28" xfId="0" applyNumberFormat="1" applyFont="1" applyFill="1" applyBorder="1"/>
    <x:xf numFmtId="0" fontId="7" fillId="7" borderId="29" xfId="0" applyNumberFormat="1" applyFont="1" applyFill="1" applyBorder="1"/>
    <x:xf numFmtId="0" fontId="7" fillId="7" borderId="30" xfId="0" applyNumberFormat="1" applyFont="1" applyFill="1" applyBorder="1"/>
    <x:xf numFmtId="0" fontId="7" fillId="7" borderId="28" xfId="0" applyNumberFormat="1" applyFont="1" applyFill="1" applyBorder="1" applyAlignment="1">
      <x:alignment horizontal="left"/>
    </x:xf>
    <x:xf numFmtId="0" fontId="7" fillId="7" borderId="29" xfId="0" applyNumberFormat="1" applyFont="1" applyFill="1" applyBorder="1" applyAlignment="1">
      <x:alignment horizontal="left"/>
    </x:xf>
    <x:xf numFmtId="0" fontId="7" fillId="7" borderId="30" xfId="0" applyNumberFormat="1" applyFont="1" applyFill="1" applyBorder="1" applyAlignment="1">
      <x:alignment horizontal="left"/>
    </x:xf>
    <x:xf numFmtId="0" fontId="7" fillId="7" borderId="28" xfId="0" applyNumberFormat="1" applyFont="1" applyFill="1" applyBorder="1" applyAlignment="1">
      <x:alignment horizontal="left" vertical="center"/>
    </x:xf>
    <x:xf numFmtId="0" fontId="7" fillId="7" borderId="29" xfId="0" applyNumberFormat="1" applyFont="1" applyFill="1" applyBorder="1" applyAlignment="1">
      <x:alignment horizontal="left" vertical="center"/>
    </x:xf>
    <x:xf numFmtId="0" fontId="7" fillId="7" borderId="3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</x:cellXfs>
  <x:cellStyles count="1">
    <x:cellStyle name="Normal" xfId="0"/>
  </x:cellStyles>
  <x:dxfs count="9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fd9a7b3fc4439" /><Relationship Type="http://schemas.openxmlformats.org/officeDocument/2006/relationships/theme" Target="/xl/theme/theme1.xml" Id="Rec6cb65bb8494823" /><Relationship Type="http://schemas.openxmlformats.org/officeDocument/2006/relationships/sharedStrings" Target="/xl/sharedStrings.xml" Id="Re46addefba6343bf" /><Relationship Type="http://schemas.openxmlformats.org/officeDocument/2006/relationships/worksheet" Target="/xl/worksheets/sheet1.xml" Id="Rc816031f9bef4b4b" /><Relationship Type="http://schemas.openxmlformats.org/officeDocument/2006/relationships/worksheet" Target="/xl/worksheets/sheet2.xml" Id="Rfdc3dd33f1954931" /><Relationship Type="http://schemas.openxmlformats.org/officeDocument/2006/relationships/worksheet" Target="/xl/worksheets/sheet3.xml" Id="R297ac8f9733e4f32" /><Relationship Type="http://schemas.openxmlformats.org/officeDocument/2006/relationships/worksheet" Target="/xl/worksheets/sheet4.xml" Id="Rd0fe75e738ec422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51b084c9504ad6" /><Relationship Type="http://schemas.openxmlformats.org/officeDocument/2006/relationships/chart" Target="/xl/drawings/charts/chart2.xml" Id="Raeb0b7fed0c1428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¿En qué estoy gastando?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Monto</c:v>
          </c:tx>
          <c:cat>
            <c:strRef>
              <c:f>'Dashboard'!$B$24:$B$30</c:f>
              <c:strCache>
                <c:ptCount val="0"/>
              </c:strCache>
            </c:strRef>
          </c:cat>
          <c:val>
            <c:numRef>
              <c:f>'Dashboard'!$C$24:$C$30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Fijos vs variables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Monto</c:v>
          </c:tx>
          <c:cat>
            <c:strRef>
              <c:f>'Dashboard'!$B$18:$B$19</c:f>
              <c:strCache>
                <c:ptCount val="0"/>
              </c:strCache>
            </c:strRef>
          </c:cat>
          <c:val>
            <c:numRef>
              <c:f>'Dashboard'!$C$18:$C$19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21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51b084c9504ad6"/>
        </a:graphicData>
      </a:graphic>
    </xdr:graphicFrame>
    <xdr:clientData/>
  </xdr:twoCellAnchor>
  <xdr:twoCellAnchor>
    <xdr:from>
      <xdr:col>10</xdr:col>
      <xdr:colOff>0</xdr:colOff>
      <xdr:row>23</xdr:row>
      <xdr:rowOff>0</xdr:rowOff>
    </xdr:from>
    <xdr:to>
      <xdr:col>13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eb0b7fed0c1428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Movimientos" displayName="tblMovimientos" ref="A4:F204" headerRowCount="1">
  <x:tableColumns count="6">
    <x:tableColumn id="1" name="Fecha"/>
    <x:tableColumn id="2" name="Tipo"/>
    <x:tableColumn id="3" name="Categoría"/>
    <x:tableColumn id="4" name="Descripción"/>
    <x:tableColumn id="5" name="Monto"/>
    <x:tableColumn id="6" name="Mes"/>
  </x:tableColumns>
  <x:tableStyleInfo name="TableStyleMedium2" showRowStripes="1"/>
</x:table>
</file>

<file path=xl/tables/table2.xml><?xml version="1.0" encoding="utf-8"?>
<x:table xmlns:x="http://schemas.openxmlformats.org/spreadsheetml/2006/main" id="2" name="tblGastosFijos" displayName="tblGastosFijos" ref="A4:F104" headerRowCount="1">
  <x:tableColumns count="6">
    <x:tableColumn id="1" name="Concepto"/>
    <x:tableColumn id="2" name="Monto"/>
    <x:tableColumn id="3" name="Día de pago"/>
    <x:tableColumn id="4" name="Fecha de vencimiento"/>
    <x:tableColumn id="5" name="Días restantes"/>
    <x:tableColumn id="6" name="Estado"/>
  </x:tableColumns>
  <x:tableStyleInfo name="TableStyleMedium4" showRowStripes="1"/>
</x:table>
</file>

<file path=xl/tables/table3.xml><?xml version="1.0" encoding="utf-8"?>
<x:table xmlns:x="http://schemas.openxmlformats.org/spreadsheetml/2006/main" id="3" name="tblMercado" displayName="tblMercado" ref="A4:G104" headerRowCount="1">
  <x:tableColumns count="7">
    <x:tableColumn id="1" name="Producto"/>
    <x:tableColumn id="2" name="Categoría"/>
    <x:tableColumn id="3" name="Último precio pagado"/>
    <x:tableColumn id="4" name="Fecha última compra"/>
    <x:tableColumn id="5" name="Cantidad actual"/>
    <x:tableColumn id="6" name="Cantidad mínima"/>
    <x:tableColumn id="7" name="Reponer"/>
  </x:tableColumns>
  <x:tableStyleInfo name="TableStyleMedium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37e8cc44b4746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fbd2ebb95941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e24833126e4a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605eab3cf749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18.75" hidden="0" customWidth="1"/>
    <x:col min="3" max="3" width="18.75" hidden="0" customWidth="1"/>
    <x:col min="4" max="4" width="2.5" hidden="0" customWidth="1"/>
    <x:col min="5" max="5" width="18.75" hidden="0" customWidth="1"/>
    <x:col min="6" max="6" width="18.75" hidden="0" customWidth="1"/>
    <x:col min="7" max="7" width="12.5" hidden="0" customWidth="1"/>
    <x:col min="8" max="8" width="15" hidden="0" customWidth="1"/>
    <x:col min="9" max="9" width="19.3799991607666" hidden="0" customWidth="1"/>
    <x:col min="10" max="10" width="19.3799991607666" hidden="0" customWidth="1"/>
    <x:col min="11" max="11" width="19.3799991607666" hidden="0" customWidth="1"/>
    <x:col min="12" max="12" width="19.3799991607666" hidden="0" customWidth="1"/>
    <x:col min="13" max="13" width="19.3799991607666" hidden="0" customWidth="1"/>
  </x:cols>
  <x:sheetData>
    <x:row r="1" ht="18" customHeight="1">
      <x:c r="A1" s="18"/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</x:row>
    <x:row r="2" ht="25.5" customHeight="1">
      <x:c r="A2" s="18"/>
      <x:c r="B2" s="5" t="str">
        <x:v>Dashboard de Finanzas Personales
Resumen mensual, próximos pagos y lista automática de compras pendientes.</x:v>
      </x:c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5.5" customHeight="1">
      <x:c r="A3" s="18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</x:row>
    <x:row r="4" ht="18" customHeight="1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</x:row>
    <x:row r="5" ht="18" customHeight="1">
      <x:c r="A5" s="18"/>
      <x:c r="B5" s="21" t="str">
        <x:v>Mes seleccionado</x:v>
      </x:c>
      <x:c r="C5" s="25" t="str">
        <x:v>junio</x:v>
      </x:c>
      <x:c r="D5" s="18"/>
      <x:c r="E5" s="18"/>
      <x:c r="F5" s="18"/>
      <x:c r="G5" s="18"/>
      <x:c r="H5" s="18"/>
      <x:c r="I5" s="18"/>
      <x:c r="J5" s="18"/>
      <x:c r="K5" s="18"/>
      <x:c r="L5" s="18"/>
      <x:c r="M5" s="18"/>
    </x:row>
    <x:row r="6" ht="18" customHeight="1">
      <x:c r="A6" s="18"/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</x:row>
    <x:row r="7" ht="21" customHeight="1">
      <x:c r="A7" s="18"/>
      <x:c r="B7" s="40" t="str">
        <x:v>Ingresos del mes</x:v>
      </x:c>
      <x:c r="C7" s="41"/>
      <x:c r="D7" s="18"/>
      <x:c r="E7" s="68" t="str">
        <x:v>Gastos variables</x:v>
      </x:c>
      <x:c r="F7" s="69"/>
      <x:c r="G7" s="18"/>
      <x:c r="H7" s="96" t="str">
        <x:v>Gastos fijos</x:v>
      </x:c>
      <x:c r="I7" s="97"/>
      <x:c r="J7" s="18"/>
      <x:c r="K7" s="130" t="str">
        <x:v>Total mercado</x:v>
      </x:c>
      <x:c r="L7" s="131"/>
      <x:c r="M7" s="132"/>
    </x:row>
    <x:row r="8" ht="21" customHeight="1">
      <x:c r="A8" s="18"/>
      <x:c r="B8" s="50" t="n">
        <x:f>SUMIFS(Movimientos!$E$5:$E$204,Movimientos!$B$5:$B$204,"Ingreso",Movimientos!$F$5:$F$204,$C$5)</x:f>
        <x:v>2500</x:v>
      </x:c>
      <x:c r="C8" s="51"/>
      <x:c r="D8" s="18"/>
      <x:c r="E8" s="78" t="n">
        <x:f>SUMIFS(Movimientos!$E$5:$E$204,Movimientos!$B$5:$B$204,"Gasto",Movimientos!$F$5:$F$204,$C$5)</x:f>
        <x:v>264.7</x:v>
      </x:c>
      <x:c r="F8" s="79"/>
      <x:c r="G8" s="18"/>
      <x:c r="H8" s="106" t="n">
        <x:f>SUM('Gastos Fijos'!$B$5:$B$104)</x:f>
        <x:v>1191</x:v>
      </x:c>
      <x:c r="I8" s="107"/>
      <x:c r="J8" s="18"/>
      <x:c r="K8" s="145" t="n">
        <x:f>SUMIFS(Movimientos!$E$5:$E$204,Movimientos!$B$5:$B$204,"Gasto",Movimientos!$C$5:$C$204,"Mercado",Movimientos!$F$5:$F$204,$C$5)</x:f>
        <x:v>118.55</x:v>
      </x:c>
      <x:c r="L8" s="146"/>
      <x:c r="M8" s="147"/>
    </x:row>
    <x:row r="9" ht="21" customHeight="1">
      <x:c r="A9" s="18"/>
      <x:c r="B9" s="52"/>
      <x:c r="C9" s="53"/>
      <x:c r="D9" s="18"/>
      <x:c r="E9" s="80"/>
      <x:c r="F9" s="81"/>
      <x:c r="G9" s="18"/>
      <x:c r="H9" s="108"/>
      <x:c r="I9" s="109"/>
      <x:c r="J9" s="18"/>
      <x:c r="K9" s="148"/>
      <x:c r="L9" s="149"/>
      <x:c r="M9" s="150"/>
    </x:row>
    <x:row r="10" ht="21" customHeight="1">
      <x:c r="A10" s="18"/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  <x:c r="M10" s="18"/>
    </x:row>
    <x:row r="11" ht="21" customHeight="1">
      <x:c r="A11" s="18"/>
      <x:c r="B11" s="166" t="str">
        <x:v>Dinero disponible</x:v>
      </x:c>
      <x:c r="C11" s="167"/>
      <x:c r="D11" s="18"/>
      <x:c r="E11" s="187" t="str">
        <x:v>Próximos pagos</x:v>
      </x:c>
      <x:c r="F11" s="188"/>
      <x:c r="G11" s="188"/>
      <x:c r="H11" s="188"/>
      <x:c r="I11" s="189"/>
      <x:c r="J11" s="18"/>
      <x:c r="K11" s="203" t="str">
        <x:v>Lista de compras pendientes</x:v>
      </x:c>
      <x:c r="L11" s="204"/>
      <x:c r="M11" s="205"/>
    </x:row>
    <x:row r="12" ht="21" customHeight="1">
      <x:c r="A12" s="18"/>
      <x:c r="B12" s="176" t="n">
        <x:f>B8-H8-E8</x:f>
        <x:v>1044.3</x:v>
      </x:c>
      <x:c r="C12" s="177"/>
      <x:c r="D12" s="18"/>
      <x:c r="E12" s="9" t="str">
        <x:v>Concepto</x:v>
      </x:c>
      <x:c r="F12" s="9" t="str">
        <x:v>Fecha de pago</x:v>
      </x:c>
      <x:c r="G12" s="9" t="str">
        <x:v>Monto</x:v>
      </x:c>
      <x:c r="H12" s="9" t="str">
        <x:v>Estado</x:v>
      </x:c>
      <x:c r="I12" s="18"/>
      <x:c r="J12" s="18"/>
      <x:c r="K12" s="9" t="str">
        <x:v>Producto</x:v>
      </x:c>
      <x:c r="L12" s="9" t="str">
        <x:v>Actual / mínimo</x:v>
      </x:c>
      <x:c r="M12" s="9" t="str">
        <x:v>Estado</x:v>
      </x:c>
    </x:row>
    <x:row r="13" ht="21" customHeight="1">
      <x:c r="A13" s="18"/>
      <x:c r="B13" s="178"/>
      <x:c r="C13" s="179"/>
      <x:c r="D13" s="18"/>
      <x:c r="E13" s="16" t="str">
        <x:f>'Gastos Fijos'!A5</x:f>
        <x:v>Renta</x:v>
      </x:c>
      <x:c r="F13" s="15" t="str">
        <x:f>TEXT('Gastos Fijos'!D5,"dd/mm/yyyy")</x:f>
        <x:v>01/06/2026</x:v>
      </x:c>
      <x:c r="G13" s="17" t="n">
        <x:f>'Gastos Fijos'!B5</x:f>
        <x:v>850</x:v>
      </x:c>
      <x:c r="H13" s="16" t="str">
        <x:f>'Gastos Fijos'!F5</x:f>
        <x:v>Urgente</x:v>
      </x:c>
      <x:c r="I13" s="18"/>
      <x:c r="J13" s="18"/>
      <x:c r="K13" s="16" t="str">
        <x:f>IF(Mercado!G5="Sí",Mercado!A5,"")</x:f>
        <x:v>Leche</x:v>
      </x:c>
      <x:c r="L13" s="16" t="str">
        <x:f>IF(Mercado!G5="Sí",Mercado!E5&amp;" / "&amp;Mercado!F5,"")</x:f>
        <x:v>1 / 2</x:v>
      </x:c>
      <x:c r="M13" s="16" t="str">
        <x:f>IF(Mercado!G5="Sí","RECOMPRAR","")</x:f>
        <x:v>RECOMPRAR</x:v>
      </x:c>
    </x:row>
    <x:row r="14" ht="18" customHeight="1">
      <x:c r="A14" s="18"/>
      <x:c r="B14" s="18"/>
      <x:c r="C14" s="18"/>
      <x:c r="D14" s="18"/>
      <x:c r="E14" s="16" t="str">
        <x:f>'Gastos Fijos'!A6</x:f>
        <x:v>Internet</x:v>
      </x:c>
      <x:c r="F14" s="15" t="str">
        <x:f>TEXT('Gastos Fijos'!D6,"dd/mm/yyyy")</x:f>
        <x:v>10/06/2026</x:v>
      </x:c>
      <x:c r="G14" s="17" t="n">
        <x:f>'Gastos Fijos'!B6</x:f>
        <x:v>45</x:v>
      </x:c>
      <x:c r="H14" s="16" t="str">
        <x:f>'Gastos Fijos'!F6</x:f>
        <x:v>Urgente</x:v>
      </x:c>
      <x:c r="I14" s="18"/>
      <x:c r="J14" s="18"/>
      <x:c r="K14" s="16" t="str">
        <x:f>IF(Mercado!G6="Sí",Mercado!A6,"")</x:f>
      </x:c>
      <x:c r="L14" s="16" t="str">
        <x:f>IF(Mercado!G6="Sí",Mercado!E6&amp;" / "&amp;Mercado!F6,"")</x:f>
      </x:c>
      <x:c r="M14" s="16" t="str">
        <x:f>IF(Mercado!G6="Sí","RECOMPRAR","")</x:f>
      </x:c>
    </x:row>
    <x:row r="15" ht="18" customHeight="1">
      <x:c r="A15" s="18"/>
      <x:c r="B15" s="18"/>
      <x:c r="C15" s="18"/>
      <x:c r="D15" s="18"/>
      <x:c r="E15" s="16" t="str">
        <x:f>'Gastos Fijos'!A7</x:f>
        <x:v>Teléfono</x:v>
      </x:c>
      <x:c r="F15" s="15" t="str">
        <x:f>TEXT('Gastos Fijos'!D7,"dd/mm/yyyy")</x:f>
        <x:v>15/06/2026</x:v>
      </x:c>
      <x:c r="G15" s="17" t="n">
        <x:f>'Gastos Fijos'!B7</x:f>
        <x:v>30</x:v>
      </x:c>
      <x:c r="H15" s="16" t="str">
        <x:f>'Gastos Fijos'!F7</x:f>
        <x:v>Próximo</x:v>
      </x:c>
      <x:c r="I15" s="18"/>
      <x:c r="J15" s="18"/>
      <x:c r="K15" s="16" t="str">
        <x:f>IF(Mercado!G7="Sí",Mercado!A7,"")</x:f>
        <x:v>Arroz</x:v>
      </x:c>
      <x:c r="L15" s="16" t="str">
        <x:f>IF(Mercado!G7="Sí",Mercado!E7&amp;" / "&amp;Mercado!F7,"")</x:f>
        <x:v>1 / 1</x:v>
      </x:c>
      <x:c r="M15" s="16" t="str">
        <x:f>IF(Mercado!G7="Sí","RECOMPRAR","")</x:f>
        <x:v>RECOMPRAR</x:v>
      </x:c>
    </x:row>
    <x:row r="16" ht="18" customHeight="1">
      <x:c r="A16" s="18"/>
      <x:c r="B16" s="187" t="str">
        <x:v>Comparación</x:v>
      </x:c>
      <x:c r="C16" s="189"/>
      <x:c r="D16" s="18"/>
      <x:c r="E16" s="16" t="str">
        <x:f>'Gastos Fijos'!A8</x:f>
        <x:v>Gimnasio</x:v>
      </x:c>
      <x:c r="F16" s="15" t="str">
        <x:f>TEXT('Gastos Fijos'!D8,"dd/mm/yyyy")</x:f>
        <x:v>20/06/2026</x:v>
      </x:c>
      <x:c r="G16" s="17" t="n">
        <x:f>'Gastos Fijos'!B8</x:f>
        <x:v>35</x:v>
      </x:c>
      <x:c r="H16" s="16" t="str">
        <x:f>'Gastos Fijos'!F8</x:f>
        <x:v>OK</x:v>
      </x:c>
      <x:c r="I16" s="18"/>
      <x:c r="J16" s="18"/>
      <x:c r="K16" s="16" t="str">
        <x:f>IF(Mercado!G8="Sí",Mercado!A8,"")</x:f>
        <x:v>Café</x:v>
      </x:c>
      <x:c r="L16" s="16" t="str">
        <x:f>IF(Mercado!G8="Sí",Mercado!E8&amp;" / "&amp;Mercado!F8,"")</x:f>
        <x:v>0 / 1</x:v>
      </x:c>
      <x:c r="M16" s="16" t="str">
        <x:f>IF(Mercado!G8="Sí","RECOMPRAR","")</x:f>
        <x:v>RECOMPRAR</x:v>
      </x:c>
    </x:row>
    <x:row r="17" ht="18" customHeight="1">
      <x:c r="A17" s="18"/>
      <x:c r="B17" s="7" t="str">
        <x:v>Tipo</x:v>
      </x:c>
      <x:c r="C17" s="7" t="str">
        <x:v>Monto</x:v>
      </x:c>
      <x:c r="D17" s="18"/>
      <x:c r="E17" s="16" t="str">
        <x:f>'Gastos Fijos'!A9</x:f>
        <x:v>Streaming</x:v>
      </x:c>
      <x:c r="F17" s="15" t="str">
        <x:f>TEXT('Gastos Fijos'!D9,"dd/mm/yyyy")</x:f>
        <x:v>22/06/2026</x:v>
      </x:c>
      <x:c r="G17" s="17" t="n">
        <x:f>'Gastos Fijos'!B9</x:f>
        <x:v>18</x:v>
      </x:c>
      <x:c r="H17" s="16" t="str">
        <x:f>'Gastos Fijos'!F9</x:f>
        <x:v>OK</x:v>
      </x:c>
      <x:c r="I17" s="18"/>
      <x:c r="J17" s="18"/>
      <x:c r="K17" s="16" t="str">
        <x:f>IF(Mercado!G9="Sí",Mercado!A9,"")</x:f>
        <x:v>Papel higiénico</x:v>
      </x:c>
      <x:c r="L17" s="16" t="str">
        <x:f>IF(Mercado!G9="Sí",Mercado!E9&amp;" / "&amp;Mercado!F9,"")</x:f>
        <x:v>3 / 4</x:v>
      </x:c>
      <x:c r="M17" s="16" t="str">
        <x:f>IF(Mercado!G9="Sí","RECOMPRAR","")</x:f>
        <x:v>RECOMPRAR</x:v>
      </x:c>
    </x:row>
    <x:row r="18" ht="18" customHeight="1">
      <x:c r="A18" s="18"/>
      <x:c r="B18" s="192" t="str">
        <x:v>Gastos fijos</x:v>
      </x:c>
      <x:c r="C18" s="194" t="n">
        <x:f>H8</x:f>
        <x:v>1191</x:v>
      </x:c>
      <x:c r="D18" s="18"/>
      <x:c r="E18" s="16" t="str">
        <x:f>'Gastos Fijos'!A10</x:f>
        <x:v>Seguro</x:v>
      </x:c>
      <x:c r="F18" s="15" t="str">
        <x:f>TEXT('Gastos Fijos'!D10,"dd/mm/yyyy")</x:f>
        <x:v>25/06/2026</x:v>
      </x:c>
      <x:c r="G18" s="17" t="n">
        <x:f>'Gastos Fijos'!B10</x:f>
        <x:v>120</x:v>
      </x:c>
      <x:c r="H18" s="16" t="str">
        <x:f>'Gastos Fijos'!F10</x:f>
        <x:v>OK</x:v>
      </x:c>
      <x:c r="I18" s="18"/>
      <x:c r="J18" s="18"/>
      <x:c r="K18" s="16" t="str">
        <x:f>IF(Mercado!G10="Sí",Mercado!A10,"")</x:f>
        <x:v>Detergente</x:v>
      </x:c>
      <x:c r="L18" s="16" t="str">
        <x:f>IF(Mercado!G10="Sí",Mercado!E10&amp;" / "&amp;Mercado!F10,"")</x:f>
        <x:v>1 / 1</x:v>
      </x:c>
      <x:c r="M18" s="16" t="str">
        <x:f>IF(Mercado!G10="Sí","RECOMPRAR","")</x:f>
        <x:v>RECOMPRAR</x:v>
      </x:c>
    </x:row>
    <x:row r="19" ht="18" customHeight="1">
      <x:c r="A19" s="18"/>
      <x:c r="B19" s="192" t="str">
        <x:v>Gastos variables</x:v>
      </x:c>
      <x:c r="C19" s="194" t="n">
        <x:f>E8</x:f>
        <x:v>264.7</x:v>
      </x:c>
      <x:c r="D19" s="18"/>
      <x:c r="E19" s="16" t="str">
        <x:f>'Gastos Fijos'!A11</x:f>
        <x:v>Agua</x:v>
      </x:c>
      <x:c r="F19" s="15" t="str">
        <x:f>TEXT('Gastos Fijos'!D11,"dd/mm/yyyy")</x:f>
        <x:v>28/06/2026</x:v>
      </x:c>
      <x:c r="G19" s="17" t="n">
        <x:f>'Gastos Fijos'!B11</x:f>
        <x:v>28</x:v>
      </x:c>
      <x:c r="H19" s="16" t="str">
        <x:f>'Gastos Fijos'!F11</x:f>
        <x:v>OK</x:v>
      </x:c>
      <x:c r="I19" s="18"/>
      <x:c r="J19" s="18"/>
      <x:c r="K19" s="16" t="str">
        <x:f>IF(Mercado!G11="Sí",Mercado!A11,"")</x:f>
      </x:c>
      <x:c r="L19" s="16" t="str">
        <x:f>IF(Mercado!G11="Sí",Mercado!E11&amp;" / "&amp;Mercado!F11,"")</x:f>
      </x:c>
      <x:c r="M19" s="16" t="str">
        <x:f>IF(Mercado!G11="Sí","RECOMPRAR","")</x:f>
      </x:c>
    </x:row>
    <x:row r="20" ht="18" customHeight="1">
      <x:c r="A20" s="18"/>
      <x:c r="B20" s="18"/>
      <x:c r="C20" s="18"/>
      <x:c r="D20" s="18"/>
      <x:c r="E20" s="16" t="str">
        <x:f>'Gastos Fijos'!A12</x:f>
        <x:v>Electricidad</x:v>
      </x:c>
      <x:c r="F20" s="15" t="str">
        <x:f>TEXT('Gastos Fijos'!D12,"dd/mm/yyyy")</x:f>
        <x:v>30/06/2026</x:v>
      </x:c>
      <x:c r="G20" s="17" t="n">
        <x:f>'Gastos Fijos'!B12</x:f>
        <x:v>65</x:v>
      </x:c>
      <x:c r="H20" s="16" t="str">
        <x:f>'Gastos Fijos'!F12</x:f>
        <x:v>OK</x:v>
      </x:c>
      <x:c r="I20" s="18"/>
      <x:c r="J20" s="18"/>
      <x:c r="K20" s="16" t="str">
        <x:f>IF(Mercado!G12="Sí",Mercado!A12,"")</x:f>
        <x:v>Pollo</x:v>
      </x:c>
      <x:c r="L20" s="16" t="str">
        <x:f>IF(Mercado!G12="Sí",Mercado!E12&amp;" / "&amp;Mercado!F12,"")</x:f>
        <x:v>1 / 2</x:v>
      </x:c>
      <x:c r="M20" s="16" t="str">
        <x:f>IF(Mercado!G12="Sí","RECOMPRAR","")</x:f>
        <x:v>RECOMPRAR</x:v>
      </x:c>
    </x:row>
    <x:row r="21" ht="18" customHeight="1">
      <x:c r="A21" s="18"/>
      <x:c r="B21" s="18"/>
      <x:c r="C21" s="18"/>
      <x:c r="D21" s="18"/>
      <x:c r="E21" s="18"/>
      <x:c r="F21" s="18"/>
      <x:c r="G21" s="18"/>
      <x:c r="H21" s="18"/>
      <x:c r="I21" s="18"/>
      <x:c r="J21" s="18"/>
      <x:c r="K21" s="16" t="str">
        <x:f>IF(Mercado!G13="Sí",Mercado!A13,"")</x:f>
        <x:v>Pan</x:v>
      </x:c>
      <x:c r="L21" s="16" t="str">
        <x:f>IF(Mercado!G13="Sí",Mercado!E13&amp;" / "&amp;Mercado!F13,"")</x:f>
        <x:v>2 / 2</x:v>
      </x:c>
      <x:c r="M21" s="16" t="str">
        <x:f>IF(Mercado!G13="Sí","RECOMPRAR","")</x:f>
        <x:v>RECOMPRAR</x:v>
      </x:c>
    </x:row>
    <x:row r="22" ht="16.5" customHeight="1">
      <x:c r="A22" s="18"/>
      <x:c r="B22" s="187" t="str">
        <x:v>Gastos por categoría</x:v>
      </x:c>
      <x:c r="C22" s="189"/>
      <x:c r="D22" s="18"/>
      <x:c r="E22" s="18"/>
      <x:c r="F22" s="18"/>
      <x:c r="G22" s="18"/>
      <x:c r="H22" s="18"/>
      <x:c r="I22" s="18"/>
      <x:c r="J22" s="18"/>
      <x:c r="K22" s="16" t="str">
        <x:f>IF(Mercado!G14="Sí",Mercado!A14,"")</x:f>
      </x:c>
      <x:c r="L22" s="16" t="str">
        <x:f>IF(Mercado!G14="Sí",Mercado!E14&amp;" / "&amp;Mercado!F14,"")</x:f>
      </x:c>
      <x:c r="M22" s="16" t="str">
        <x:f>IF(Mercado!G14="Sí","RECOMPRAR","")</x:f>
      </x:c>
    </x:row>
    <x:row r="23" ht="16.5" customHeight="1">
      <x:c r="A23" s="18"/>
      <x:c r="B23" s="7" t="str">
        <x:v>Categoría</x:v>
      </x:c>
      <x:c r="C23" s="7" t="str">
        <x:v>Monto</x:v>
      </x:c>
      <x:c r="D23" s="18"/>
      <x:c r="E23" s="18"/>
      <x:c r="F23" s="18"/>
      <x:c r="G23" s="18"/>
      <x:c r="H23" s="18"/>
      <x:c r="I23" s="18"/>
      <x:c r="J23" s="18"/>
      <x:c r="K23" s="18"/>
      <x:c r="L23" s="18"/>
      <x:c r="M23" s="18"/>
    </x:row>
    <x:row r="24" ht="16.5" customHeight="1">
      <x:c r="A24" s="18"/>
      <x:c r="B24" s="192" t="str">
        <x:v>Mercado</x:v>
      </x:c>
      <x:c r="C24" s="194" t="n">
        <x:f>SUMIFS(Movimientos!$E$5:$E$204,Movimientos!$B$5:$B$204,"Gasto",Movimientos!$C$5:$C$204,B24,Movimientos!$F$5:$F$204,$C$5)</x:f>
        <x:v>118.55</x:v>
      </x:c>
      <x:c r="D24" s="18"/>
      <x:c r="E24" s="18"/>
      <x:c r="F24" s="18"/>
      <x:c r="G24" s="18"/>
      <x:c r="H24" s="18"/>
      <x:c r="I24" s="18"/>
      <x:c r="J24" s="18"/>
      <x:c r="K24" s="18"/>
      <x:c r="L24" s="18"/>
      <x:c r="M24" s="18"/>
    </x:row>
    <x:row r="25" ht="16.5" customHeight="1">
      <x:c r="A25" s="18"/>
      <x:c r="B25" s="192" t="str">
        <x:v>Transporte</x:v>
      </x:c>
      <x:c r="C25" s="194" t="n">
        <x:f>SUMIFS(Movimientos!$E$5:$E$204,Movimientos!$B$5:$B$204,"Gasto",Movimientos!$C$5:$C$204,B25,Movimientos!$F$5:$F$204,$C$5)</x:f>
        <x:v>45</x:v>
      </x:c>
      <x:c r="D25" s="18"/>
      <x:c r="E25" s="18"/>
      <x:c r="F25" s="18"/>
      <x:c r="G25" s="18"/>
      <x:c r="H25" s="18"/>
      <x:c r="I25" s="18"/>
      <x:c r="J25" s="18"/>
      <x:c r="K25" s="18"/>
      <x:c r="L25" s="18"/>
      <x:c r="M25" s="18"/>
    </x:row>
    <x:row r="26" ht="16.5" customHeight="1">
      <x:c r="A26" s="18"/>
      <x:c r="B26" s="192" t="str">
        <x:v>Comidas</x:v>
      </x:c>
      <x:c r="C26" s="194" t="n">
        <x:f>SUMIFS(Movimientos!$E$5:$E$204,Movimientos!$B$5:$B$204,"Gasto",Movimientos!$C$5:$C$204,B26,Movimientos!$F$5:$F$204,$C$5)</x:f>
        <x:v>28.5</x:v>
      </x:c>
      <x:c r="D26" s="18"/>
      <x:c r="E26" s="18"/>
      <x:c r="F26" s="18"/>
      <x:c r="G26" s="18"/>
      <x:c r="H26" s="18"/>
      <x:c r="I26" s="18"/>
      <x:c r="J26" s="18"/>
      <x:c r="K26" s="18"/>
      <x:c r="L26" s="18"/>
      <x:c r="M26" s="18"/>
    </x:row>
    <x:row r="27" ht="16.5" customHeight="1">
      <x:c r="A27" s="18"/>
      <x:c r="B27" s="192" t="str">
        <x:v>Entretenimiento</x:v>
      </x:c>
      <x:c r="C27" s="194" t="n">
        <x:f>SUMIFS(Movimientos!$E$5:$E$204,Movimientos!$B$5:$B$204,"Gasto",Movimientos!$C$5:$C$204,B27,Movimientos!$F$5:$F$204,$C$5)</x:f>
        <x:v>22</x:v>
      </x:c>
      <x:c r="D27" s="18"/>
      <x:c r="E27" s="18"/>
      <x:c r="F27" s="18"/>
      <x:c r="G27" s="18"/>
      <x:c r="H27" s="18"/>
      <x:c r="I27" s="18"/>
      <x:c r="J27" s="18"/>
      <x:c r="K27" s="18"/>
      <x:c r="L27" s="18"/>
      <x:c r="M27" s="18"/>
    </x:row>
    <x:row r="28" ht="16.5" customHeight="1">
      <x:c r="A28" s="18"/>
      <x:c r="B28" s="192" t="str">
        <x:v>Salud</x:v>
      </x:c>
      <x:c r="C28" s="194" t="n">
        <x:f>SUMIFS(Movimientos!$E$5:$E$204,Movimientos!$B$5:$B$204,"Gasto",Movimientos!$C$5:$C$204,B28,Movimientos!$F$5:$F$204,$C$5)</x:f>
        <x:v>18.75</x:v>
      </x:c>
      <x:c r="D28" s="18"/>
      <x:c r="E28" s="18"/>
      <x:c r="F28" s="18"/>
      <x:c r="G28" s="18"/>
      <x:c r="H28" s="18"/>
      <x:c r="I28" s="18"/>
      <x:c r="J28" s="18"/>
      <x:c r="K28" s="18"/>
      <x:c r="L28" s="18"/>
      <x:c r="M28" s="18"/>
    </x:row>
    <x:row r="29" ht="16.5" customHeight="1">
      <x:c r="A29" s="18"/>
      <x:c r="B29" s="192" t="str">
        <x:v>Mascotas</x:v>
      </x:c>
      <x:c r="C29" s="194" t="n">
        <x:f>SUMIFS(Movimientos!$E$5:$E$204,Movimientos!$B$5:$B$204,"Gasto",Movimientos!$C$5:$C$204,B29,Movimientos!$F$5:$F$204,$C$5)</x:f>
        <x:v>31.9</x:v>
      </x:c>
      <x:c r="D29" s="18"/>
      <x:c r="E29" s="18"/>
      <x:c r="F29" s="18"/>
      <x:c r="G29" s="18"/>
      <x:c r="H29" s="18"/>
      <x:c r="I29" s="18"/>
      <x:c r="J29" s="18"/>
      <x:c r="K29" s="18"/>
      <x:c r="L29" s="18"/>
      <x:c r="M29" s="18"/>
    </x:row>
    <x:row r="30" ht="16.5" customHeight="1">
      <x:c r="A30" s="18"/>
      <x:c r="B30" s="192" t="str">
        <x:v>Otros</x:v>
      </x:c>
      <x:c r="C30" s="194" t="n">
        <x:f>SUMIFS(Movimientos!$E$5:$E$204,Movimientos!$B$5:$B$204,"Gasto",Movimientos!$C$5:$C$204,B30,Movimientos!$F$5:$F$204,$C$5)</x:f>
        <x:v>0</x:v>
      </x:c>
      <x:c r="D30" s="18"/>
      <x:c r="E30" s="18"/>
      <x:c r="F30" s="18"/>
      <x:c r="G30" s="18"/>
      <x:c r="H30" s="18"/>
      <x:c r="I30" s="18"/>
      <x:c r="J30" s="18"/>
      <x:c r="K30" s="18"/>
      <x:c r="L30" s="18"/>
      <x:c r="M30" s="18"/>
    </x:row>
    <x:row r="31" ht="16.5" customHeight="1">
      <x:c r="A31" s="18"/>
      <x:c r="B31" s="18"/>
      <x:c r="C31" s="18"/>
      <x:c r="D31" s="18"/>
      <x:c r="E31" s="18"/>
      <x:c r="F31" s="18"/>
      <x:c r="G31" s="18"/>
      <x:c r="H31" s="18"/>
      <x:c r="I31" s="18"/>
      <x:c r="J31" s="18"/>
      <x:c r="K31" s="18"/>
      <x:c r="L31" s="18"/>
      <x:c r="M31" s="18"/>
    </x:row>
    <x:row r="32" ht="16.5" customHeight="1">
      <x:c r="A32" s="18"/>
      <x:c r="B32" s="18"/>
      <x:c r="C32" s="18"/>
      <x:c r="D32" s="18"/>
      <x:c r="E32" s="18"/>
      <x:c r="F32" s="18"/>
      <x:c r="G32" s="18"/>
      <x:c r="H32" s="18"/>
      <x:c r="I32" s="18"/>
      <x:c r="J32" s="18"/>
      <x:c r="K32" s="18"/>
      <x:c r="L32" s="18"/>
      <x:c r="M32" s="18"/>
    </x:row>
    <x:row r="33" ht="16.5" customHeight="1">
      <x:c r="A33" s="18"/>
      <x:c r="B33" s="18"/>
      <x:c r="C33" s="18"/>
      <x:c r="D33" s="18"/>
      <x:c r="E33" s="18"/>
      <x:c r="F33" s="18"/>
      <x:c r="G33" s="18"/>
      <x:c r="H33" s="18"/>
      <x:c r="I33" s="18"/>
      <x:c r="J33" s="18"/>
      <x:c r="K33" s="18"/>
      <x:c r="L33" s="18"/>
      <x:c r="M33" s="18"/>
    </x:row>
    <x:row r="34" ht="16.5" customHeight="1">
      <x:c r="A34" s="18"/>
      <x:c r="B34" s="18"/>
      <x:c r="C34" s="18"/>
      <x:c r="D34" s="18"/>
      <x:c r="E34" s="18"/>
      <x:c r="F34" s="18"/>
      <x:c r="G34" s="18"/>
      <x:c r="H34" s="18"/>
      <x:c r="I34" s="18"/>
      <x:c r="J34" s="18"/>
      <x:c r="K34" s="18"/>
      <x:c r="L34" s="18"/>
      <x:c r="M34" s="18"/>
    </x:row>
    <x:row r="35" ht="16.5" customHeight="1">
      <x:c r="A35" s="18"/>
      <x:c r="B35" s="18"/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</x:row>
    <x:row r="36" ht="16.5" customHeight="1">
      <x:c r="A36" s="18"/>
      <x:c r="B36" s="18"/>
      <x:c r="C36" s="18"/>
      <x:c r="D36" s="18"/>
      <x:c r="E36" s="18"/>
      <x:c r="F36" s="18"/>
      <x:c r="G36" s="18"/>
      <x:c r="H36" s="18"/>
      <x:c r="I36" s="18"/>
      <x:c r="J36" s="18"/>
      <x:c r="K36" s="18"/>
      <x:c r="L36" s="18"/>
      <x:c r="M36" s="18"/>
    </x:row>
    <x:row r="37" ht="18" customHeight="1">
      <x:c r="A37" s="18"/>
      <x:c r="B37" s="18"/>
      <x:c r="C37" s="18"/>
      <x:c r="D37" s="18"/>
      <x:c r="E37" s="18"/>
      <x:c r="F37" s="18"/>
      <x:c r="G37" s="18"/>
      <x:c r="H37" s="18"/>
      <x:c r="I37" s="18"/>
      <x:c r="J37" s="18"/>
      <x:c r="K37" s="18"/>
      <x:c r="L37" s="18"/>
      <x:c r="M37" s="18"/>
    </x:row>
    <x:row r="38" ht="18" customHeight="1">
      <x:c r="A38" s="18"/>
      <x:c r="B38" s="18"/>
      <x:c r="C38" s="18"/>
      <x:c r="D38" s="18"/>
      <x:c r="E38" s="18"/>
      <x:c r="F38" s="18"/>
      <x:c r="G38" s="18"/>
      <x:c r="H38" s="18"/>
      <x:c r="I38" s="18"/>
      <x:c r="J38" s="18"/>
      <x:c r="K38" s="18"/>
      <x:c r="L38" s="18"/>
      <x:c r="M38" s="18"/>
    </x:row>
    <x:row r="39" ht="18" customHeight="1">
      <x:c r="A39" s="18"/>
      <x:c r="B39" s="18"/>
      <x:c r="C39" s="18"/>
      <x:c r="D39" s="18"/>
      <x:c r="E39" s="18"/>
      <x:c r="F39" s="18"/>
      <x:c r="G39" s="18"/>
      <x:c r="H39" s="18"/>
      <x:c r="I39" s="18"/>
      <x:c r="J39" s="18"/>
      <x:c r="K39" s="18"/>
      <x:c r="L39" s="18"/>
      <x:c r="M39" s="18"/>
    </x:row>
    <x:row r="40" ht="18" customHeight="1">
      <x:c r="A40" s="18"/>
      <x:c r="B40" s="18"/>
      <x:c r="C40" s="18"/>
      <x:c r="D40" s="18"/>
      <x:c r="E40" s="18"/>
      <x:c r="F40" s="18"/>
      <x:c r="G40" s="18"/>
      <x:c r="H40" s="18"/>
      <x:c r="I40" s="18"/>
      <x:c r="J40" s="18"/>
      <x:c r="K40" s="18"/>
      <x:c r="L40" s="18"/>
      <x:c r="M40" s="18"/>
    </x:row>
  </x:sheetData>
  <x:mergeCells>
    <x:mergeCell ref="B2:M3"/>
    <x:mergeCell ref="B7:C7"/>
    <x:mergeCell ref="B8:C9"/>
    <x:mergeCell ref="E7:F7"/>
    <x:mergeCell ref="E8:F9"/>
    <x:mergeCell ref="H7:I7"/>
    <x:mergeCell ref="H8:I9"/>
    <x:mergeCell ref="K7:M7"/>
    <x:mergeCell ref="K8:M9"/>
    <x:mergeCell ref="B11:C11"/>
    <x:mergeCell ref="B12:C13"/>
    <x:mergeCell ref="E11:I11"/>
    <x:mergeCell ref="K11:M11"/>
    <x:mergeCell ref="B16:C16"/>
    <x:mergeCell ref="B22:C22"/>
  </x:mergeCells>
  <x:conditionalFormatting sqref="H13:H20">
    <x:cfRule type="containsText" dxfId="5" priority="1" operator="containsText" text="OK"/>
    <x:cfRule type="containsText" dxfId="6" priority="2" operator="containsText" text="Próximo"/>
    <x:cfRule type="containsText" dxfId="7" priority="3" operator="containsText" text="Urgente"/>
  </x:conditionalFormatting>
  <x:conditionalFormatting sqref="M13:M22">
    <x:cfRule type="containsText" dxfId="8" priority="4" operator="containsText" text="RECOMPRAR"/>
  </x:conditionalFormatting>
  <x:dataValidations count="1">
    <x:dataValidation type="list" sqref="C5">
      <x:formula1>"enero,febrero,marzo,abril,mayo,junio,julio,agosto,septiembre,octubre,noviembre,diciembre"</x:formula1>
    </x:dataValidation>
  </x:dataValidations>
  <x:pageMargins left="0.7" right="0.7" top="0.75" bottom="0.75" header="0.3" footer="0.3"/>
  <x:drawing xmlns:r="http://schemas.openxmlformats.org/officeDocument/2006/relationships" r:id="R537e8cc44b47460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14.380000114440918" hidden="0" customWidth="1"/>
    <x:col min="3" max="3" width="18.75" hidden="0" customWidth="1"/>
    <x:col min="4" max="4" width="31.25" hidden="0" customWidth="1"/>
    <x:col min="5" max="5" width="14.380000114440918" hidden="0" customWidth="1"/>
    <x:col min="6" max="6" width="14.380000114440918" hidden="0" customWidth="1"/>
  </x:cols>
  <x:sheetData>
    <x:row r="1" ht="25.5" customHeight="1">
      <x:c r="A1" s="5" t="str">
        <x:v>Movimientos
Registra ingresos y gastos variables. El mes se calcula automáticamente.</x:v>
      </x:c>
      <x:c r="B1" s="5"/>
      <x:c r="C1" s="5"/>
      <x:c r="D1" s="5"/>
      <x:c r="E1" s="5"/>
      <x:c r="F1" s="5"/>
    </x:row>
    <x:row r="2" ht="25.5" customHeight="1">
      <x:c r="A2" s="5"/>
      <x:c r="B2" s="5"/>
      <x:c r="C2" s="5"/>
      <x:c r="D2" s="5"/>
      <x:c r="E2" s="5"/>
      <x:c r="F2" s="5"/>
    </x:row>
    <x:row r="3" ht="16.5" customHeight="1"/>
    <x:row r="4" ht="19.5" customHeight="1">
      <x:c r="A4" s="9" t="str">
        <x:v>Fecha</x:v>
      </x:c>
      <x:c r="B4" s="9" t="str">
        <x:v>Tipo</x:v>
      </x:c>
      <x:c r="C4" s="9" t="str">
        <x:v>Categoría</x:v>
      </x:c>
      <x:c r="D4" s="9" t="str">
        <x:v>Descripción</x:v>
      </x:c>
      <x:c r="E4" s="9" t="str">
        <x:v>Monto</x:v>
      </x:c>
      <x:c r="F4" s="9" t="str">
        <x:v>Mes</x:v>
      </x:c>
    </x:row>
    <x:row r="5" ht="16.5" customHeight="1">
      <x:c r="A5" s="15" t="n">
        <x:v>46174</x:v>
      </x:c>
      <x:c r="B5" s="16" t="str">
        <x:v>Ingreso</x:v>
      </x:c>
      <x:c r="C5" s="16" t="str">
        <x:v>Otros</x:v>
      </x:c>
      <x:c r="D5" s="16" t="str">
        <x:v>Salario</x:v>
      </x:c>
      <x:c r="E5" s="17" t="n">
        <x:v>2500</x:v>
      </x:c>
      <x:c r="F5" s="16" t="str">
        <x:f>IF(A5="","",CHOOSE(MONTH(A5),"enero","febrero","marzo","abril","mayo","junio","julio","agosto","septiembre","octubre","noviembre","diciembre"))</x:f>
        <x:v>junio</x:v>
      </x:c>
    </x:row>
    <x:row r="6" ht="16.5" customHeight="1">
      <x:c r="A6" s="15" t="n">
        <x:v>46175</x:v>
      </x:c>
      <x:c r="B6" s="16" t="str">
        <x:v>Gasto</x:v>
      </x:c>
      <x:c r="C6" s="16" t="str">
        <x:v>Mercado</x:v>
      </x:c>
      <x:c r="D6" s="16" t="str">
        <x:v>Supermercado semanal</x:v>
      </x:c>
      <x:c r="E6" s="17" t="n">
        <x:v>82.35</x:v>
      </x:c>
      <x:c r="F6" s="16" t="str">
        <x:f>IF(A6="","",CHOOSE(MONTH(A6),"enero","febrero","marzo","abril","mayo","junio","julio","agosto","septiembre","octubre","noviembre","diciembre"))</x:f>
        <x:v>junio</x:v>
      </x:c>
    </x:row>
    <x:row r="7" ht="16.5" customHeight="1">
      <x:c r="A7" s="15" t="n">
        <x:v>46176</x:v>
      </x:c>
      <x:c r="B7" s="16" t="str">
        <x:v>Gasto</x:v>
      </x:c>
      <x:c r="C7" s="16" t="str">
        <x:v>Transporte</x:v>
      </x:c>
      <x:c r="D7" s="16" t="str">
        <x:v>Gasolina</x:v>
      </x:c>
      <x:c r="E7" s="17" t="n">
        <x:v>45</x:v>
      </x:c>
      <x:c r="F7" s="16" t="str">
        <x:f>IF(A7="","",CHOOSE(MONTH(A7),"enero","febrero","marzo","abril","mayo","junio","julio","agosto","septiembre","octubre","noviembre","diciembre"))</x:f>
        <x:v>junio</x:v>
      </x:c>
    </x:row>
    <x:row r="8" ht="16.5" customHeight="1">
      <x:c r="A8" s="15" t="n">
        <x:v>46177</x:v>
      </x:c>
      <x:c r="B8" s="16" t="str">
        <x:v>Gasto</x:v>
      </x:c>
      <x:c r="C8" s="16" t="str">
        <x:v>Comidas</x:v>
      </x:c>
      <x:c r="D8" s="16" t="str">
        <x:v>Cena fuera</x:v>
      </x:c>
      <x:c r="E8" s="17" t="n">
        <x:v>28.5</x:v>
      </x:c>
      <x:c r="F8" s="16" t="str">
        <x:f>IF(A8="","",CHOOSE(MONTH(A8),"enero","febrero","marzo","abril","mayo","junio","julio","agosto","septiembre","octubre","noviembre","diciembre"))</x:f>
        <x:v>junio</x:v>
      </x:c>
    </x:row>
    <x:row r="9" ht="16.5" customHeight="1">
      <x:c r="A9" s="15" t="n">
        <x:v>46178</x:v>
      </x:c>
      <x:c r="B9" s="16" t="str">
        <x:v>Gasto</x:v>
      </x:c>
      <x:c r="C9" s="16" t="str">
        <x:v>Mascotas</x:v>
      </x:c>
      <x:c r="D9" s="16" t="str">
        <x:v>Alimento mascota</x:v>
      </x:c>
      <x:c r="E9" s="17" t="n">
        <x:v>31.9</x:v>
      </x:c>
      <x:c r="F9" s="16" t="str">
        <x:f>IF(A9="","",CHOOSE(MONTH(A9),"enero","febrero","marzo","abril","mayo","junio","julio","agosto","septiembre","octubre","noviembre","diciembre"))</x:f>
        <x:v>junio</x:v>
      </x:c>
    </x:row>
    <x:row r="10" ht="16.5" customHeight="1">
      <x:c r="A10" s="15" t="n">
        <x:v>46179</x:v>
      </x:c>
      <x:c r="B10" s="16" t="str">
        <x:v>Gasto</x:v>
      </x:c>
      <x:c r="C10" s="16" t="str">
        <x:v>Salud</x:v>
      </x:c>
      <x:c r="D10" s="16" t="str">
        <x:v>Farmacia</x:v>
      </x:c>
      <x:c r="E10" s="17" t="n">
        <x:v>18.75</x:v>
      </x:c>
      <x:c r="F10" s="16" t="str">
        <x:f>IF(A10="","",CHOOSE(MONTH(A10),"enero","febrero","marzo","abril","mayo","junio","julio","agosto","septiembre","octubre","noviembre","diciembre"))</x:f>
        <x:v>junio</x:v>
      </x:c>
    </x:row>
    <x:row r="11" ht="16.5" customHeight="1">
      <x:c r="A11" s="15" t="n">
        <x:v>46180</x:v>
      </x:c>
      <x:c r="B11" s="16" t="str">
        <x:v>Gasto</x:v>
      </x:c>
      <x:c r="C11" s="16" t="str">
        <x:v>Entretenimiento</x:v>
      </x:c>
      <x:c r="D11" s="16" t="str">
        <x:v>Cine</x:v>
      </x:c>
      <x:c r="E11" s="17" t="n">
        <x:v>22</x:v>
      </x:c>
      <x:c r="F11" s="16" t="str">
        <x:f>IF(A11="","",CHOOSE(MONTH(A11),"enero","febrero","marzo","abril","mayo","junio","julio","agosto","septiembre","octubre","noviembre","diciembre"))</x:f>
        <x:v>junio</x:v>
      </x:c>
    </x:row>
    <x:row r="12" ht="16.5" customHeight="1">
      <x:c r="A12" s="15" t="n">
        <x:v>46181</x:v>
      </x:c>
      <x:c r="B12" s="16" t="str">
        <x:v>Gasto</x:v>
      </x:c>
      <x:c r="C12" s="16" t="str">
        <x:v>Mercado</x:v>
      </x:c>
      <x:c r="D12" s="16" t="str">
        <x:v>Frutas y verduras</x:v>
      </x:c>
      <x:c r="E12" s="17" t="n">
        <x:v>36.2</x:v>
      </x:c>
      <x:c r="F12" s="16" t="str">
        <x:f>IF(A12="","",CHOOSE(MONTH(A12),"enero","febrero","marzo","abril","mayo","junio","julio","agosto","septiembre","octubre","noviembre","diciembre"))</x:f>
        <x:v>junio</x:v>
      </x:c>
    </x:row>
    <x:row r="13" ht="16.5" customHeight="1">
      <x:c r="A13" s="15" t="n">
        <x:v>46143</x:v>
      </x:c>
      <x:c r="B13" s="16" t="str">
        <x:v>Ingreso</x:v>
      </x:c>
      <x:c r="C13" s="16" t="str">
        <x:v>Otros</x:v>
      </x:c>
      <x:c r="D13" s="16" t="str">
        <x:v>Salario</x:v>
      </x:c>
      <x:c r="E13" s="17" t="n">
        <x:v>2500</x:v>
      </x:c>
      <x:c r="F13" s="16" t="str">
        <x:f>IF(A13="","",CHOOSE(MONTH(A13),"enero","febrero","marzo","abril","mayo","junio","julio","agosto","septiembre","octubre","noviembre","diciembre"))</x:f>
        <x:v>mayo</x:v>
      </x:c>
    </x:row>
    <x:row r="14" ht="16.5" customHeight="1">
      <x:c r="A14" s="15" t="n">
        <x:v>46152</x:v>
      </x:c>
      <x:c r="B14" s="16" t="str">
        <x:v>Gasto</x:v>
      </x:c>
      <x:c r="C14" s="16" t="str">
        <x:v>Mercado</x:v>
      </x:c>
      <x:c r="D14" s="16" t="str">
        <x:v>Compra mensual</x:v>
      </x:c>
      <x:c r="E14" s="17" t="n">
        <x:v>145.8</x:v>
      </x:c>
      <x:c r="F14" s="16" t="str">
        <x:f>IF(A14="","",CHOOSE(MONTH(A14),"enero","febrero","marzo","abril","mayo","junio","julio","agosto","septiembre","octubre","noviembre","diciembre"))</x:f>
        <x:v>mayo</x:v>
      </x:c>
    </x:row>
    <x:row r="15" ht="16.5" customHeight="1">
      <x:c r="A15" s="15" t="n">
        <x:v>46157</x:v>
      </x:c>
      <x:c r="B15" s="16" t="str">
        <x:v>Gasto</x:v>
      </x:c>
      <x:c r="C15" s="16" t="str">
        <x:v>Ropa</x:v>
      </x:c>
      <x:c r="D15" s="16" t="str">
        <x:v>Camisa</x:v>
      </x:c>
      <x:c r="E15" s="17" t="n">
        <x:v>39.9</x:v>
      </x:c>
      <x:c r="F15" s="16" t="str">
        <x:f>IF(A15="","",CHOOSE(MONTH(A15),"enero","febrero","marzo","abril","mayo","junio","julio","agosto","septiembre","octubre","noviembre","diciembre"))</x:f>
        <x:v>mayo</x:v>
      </x:c>
    </x:row>
    <x:row r="16" ht="16.5" customHeight="1">
      <x:c r="A16" s="15" t="n">
        <x:v>46163</x:v>
      </x:c>
      <x:c r="B16" s="16" t="str">
        <x:v>Gasto</x:v>
      </x:c>
      <x:c r="C16" s="16" t="str">
        <x:v>Otros</x:v>
      </x:c>
      <x:c r="D16" s="16" t="str">
        <x:v>Regalo</x:v>
      </x:c>
      <x:c r="E16" s="17" t="n">
        <x:v>25</x:v>
      </x:c>
      <x:c r="F16" s="16" t="str">
        <x:f>IF(A16="","",CHOOSE(MONTH(A16),"enero","febrero","marzo","abril","mayo","junio","julio","agosto","septiembre","octubre","noviembre","diciembre"))</x:f>
        <x:v>mayo</x:v>
      </x:c>
    </x:row>
    <x:row r="17" ht="16.5" customHeight="1">
      <x:c r="A17" s="15"/>
      <x:c r="B17" s="16"/>
      <x:c r="C17" s="16"/>
      <x:c r="D17" s="16"/>
      <x:c r="E17" s="17"/>
      <x:c r="F17" s="16" t="str">
        <x:f>IF(A17="","",CHOOSE(MONTH(A17),"enero","febrero","marzo","abril","mayo","junio","julio","agosto","septiembre","octubre","noviembre","diciembre"))</x:f>
      </x:c>
    </x:row>
    <x:row r="18" ht="16.5" customHeight="1">
      <x:c r="A18" s="15"/>
      <x:c r="B18" s="16"/>
      <x:c r="C18" s="16"/>
      <x:c r="D18" s="16"/>
      <x:c r="E18" s="17"/>
      <x:c r="F18" s="16" t="str">
        <x:f>IF(A18="","",CHOOSE(MONTH(A18),"enero","febrero","marzo","abril","mayo","junio","julio","agosto","septiembre","octubre","noviembre","diciembre"))</x:f>
      </x:c>
    </x:row>
    <x:row r="19" ht="16.5" customHeight="1">
      <x:c r="A19" s="15"/>
      <x:c r="B19" s="16"/>
      <x:c r="C19" s="16"/>
      <x:c r="D19" s="16"/>
      <x:c r="E19" s="17"/>
      <x:c r="F19" s="16" t="str">
        <x:f>IF(A19="","",CHOOSE(MONTH(A19),"enero","febrero","marzo","abril","mayo","junio","julio","agosto","septiembre","octubre","noviembre","diciembre"))</x:f>
      </x:c>
    </x:row>
    <x:row r="20" ht="16.5" customHeight="1">
      <x:c r="A20" s="15"/>
      <x:c r="B20" s="16"/>
      <x:c r="C20" s="16"/>
      <x:c r="D20" s="16"/>
      <x:c r="E20" s="17"/>
      <x:c r="F20" s="16" t="str">
        <x:f>IF(A20="","",CHOOSE(MONTH(A20),"enero","febrero","marzo","abril","mayo","junio","julio","agosto","septiembre","octubre","noviembre","diciembre"))</x:f>
      </x:c>
    </x:row>
    <x:row r="21" ht="16.5" customHeight="1">
      <x:c r="A21" s="15"/>
      <x:c r="B21" s="16"/>
      <x:c r="C21" s="16"/>
      <x:c r="D21" s="16"/>
      <x:c r="E21" s="17"/>
      <x:c r="F21" s="16" t="str">
        <x:f>IF(A21="","",CHOOSE(MONTH(A21),"enero","febrero","marzo","abril","mayo","junio","julio","agosto","septiembre","octubre","noviembre","diciembre"))</x:f>
      </x:c>
    </x:row>
    <x:row r="22" ht="16.5" customHeight="1">
      <x:c r="A22" s="15"/>
      <x:c r="B22" s="16"/>
      <x:c r="C22" s="16"/>
      <x:c r="D22" s="16"/>
      <x:c r="E22" s="17"/>
      <x:c r="F22" s="16" t="str">
        <x:f>IF(A22="","",CHOOSE(MONTH(A22),"enero","febrero","marzo","abril","mayo","junio","julio","agosto","septiembre","octubre","noviembre","diciembre"))</x:f>
      </x:c>
    </x:row>
    <x:row r="23" ht="16.5" customHeight="1">
      <x:c r="A23" s="15"/>
      <x:c r="B23" s="16"/>
      <x:c r="C23" s="16"/>
      <x:c r="D23" s="16"/>
      <x:c r="E23" s="17"/>
      <x:c r="F23" s="16" t="str">
        <x:f>IF(A23="","",CHOOSE(MONTH(A23),"enero","febrero","marzo","abril","mayo","junio","julio","agosto","septiembre","octubre","noviembre","diciembre"))</x:f>
      </x:c>
    </x:row>
    <x:row r="24" ht="16.5" customHeight="1">
      <x:c r="A24" s="15"/>
      <x:c r="B24" s="16"/>
      <x:c r="C24" s="16"/>
      <x:c r="D24" s="16"/>
      <x:c r="E24" s="17"/>
      <x:c r="F24" s="16" t="str">
        <x:f>IF(A24="","",CHOOSE(MONTH(A24),"enero","febrero","marzo","abril","mayo","junio","julio","agosto","septiembre","octubre","noviembre","diciembre"))</x:f>
      </x:c>
    </x:row>
    <x:row r="25" ht="16.5" customHeight="1">
      <x:c r="A25" s="15"/>
      <x:c r="B25" s="16"/>
      <x:c r="C25" s="16"/>
      <x:c r="D25" s="16"/>
      <x:c r="E25" s="17"/>
      <x:c r="F25" s="16" t="str">
        <x:f>IF(A25="","",CHOOSE(MONTH(A25),"enero","febrero","marzo","abril","mayo","junio","julio","agosto","septiembre","octubre","noviembre","diciembre"))</x:f>
      </x:c>
    </x:row>
    <x:row r="26" ht="16.5" customHeight="1">
      <x:c r="A26" s="15"/>
      <x:c r="B26" s="16"/>
      <x:c r="C26" s="16"/>
      <x:c r="D26" s="16"/>
      <x:c r="E26" s="17"/>
      <x:c r="F26" s="16" t="str">
        <x:f>IF(A26="","",CHOOSE(MONTH(A26),"enero","febrero","marzo","abril","mayo","junio","julio","agosto","septiembre","octubre","noviembre","diciembre"))</x:f>
      </x:c>
    </x:row>
    <x:row r="27" ht="16.5" customHeight="1">
      <x:c r="A27" s="15"/>
      <x:c r="B27" s="16"/>
      <x:c r="C27" s="16"/>
      <x:c r="D27" s="16"/>
      <x:c r="E27" s="17"/>
      <x:c r="F27" s="16" t="str">
        <x:f>IF(A27="","",CHOOSE(MONTH(A27),"enero","febrero","marzo","abril","mayo","junio","julio","agosto","septiembre","octubre","noviembre","diciembre"))</x:f>
      </x:c>
    </x:row>
    <x:row r="28" ht="16.5" customHeight="1">
      <x:c r="A28" s="15"/>
      <x:c r="B28" s="16"/>
      <x:c r="C28" s="16"/>
      <x:c r="D28" s="16"/>
      <x:c r="E28" s="17"/>
      <x:c r="F28" s="16" t="str">
        <x:f>IF(A28="","",CHOOSE(MONTH(A28),"enero","febrero","marzo","abril","mayo","junio","julio","agosto","septiembre","octubre","noviembre","diciembre"))</x:f>
      </x:c>
    </x:row>
    <x:row r="29" ht="16.5" customHeight="1">
      <x:c r="A29" s="15"/>
      <x:c r="B29" s="16"/>
      <x:c r="C29" s="16"/>
      <x:c r="D29" s="16"/>
      <x:c r="E29" s="17"/>
      <x:c r="F29" s="16" t="str">
        <x:f>IF(A29="","",CHOOSE(MONTH(A29),"enero","febrero","marzo","abril","mayo","junio","julio","agosto","septiembre","octubre","noviembre","diciembre"))</x:f>
      </x:c>
    </x:row>
    <x:row r="30" ht="16.5" customHeight="1">
      <x:c r="A30" s="15"/>
      <x:c r="B30" s="16"/>
      <x:c r="C30" s="16"/>
      <x:c r="D30" s="16"/>
      <x:c r="E30" s="17"/>
      <x:c r="F30" s="16" t="str">
        <x:f>IF(A30="","",CHOOSE(MONTH(A30),"enero","febrero","marzo","abril","mayo","junio","julio","agosto","septiembre","octubre","noviembre","diciembre"))</x:f>
      </x:c>
    </x:row>
    <x:row r="31" ht="16.5" customHeight="1">
      <x:c r="A31" s="15"/>
      <x:c r="B31" s="16"/>
      <x:c r="C31" s="16"/>
      <x:c r="D31" s="16"/>
      <x:c r="E31" s="17"/>
      <x:c r="F31" s="16" t="str">
        <x:f>IF(A31="","",CHOOSE(MONTH(A31),"enero","febrero","marzo","abril","mayo","junio","julio","agosto","septiembre","octubre","noviembre","diciembre"))</x:f>
      </x:c>
    </x:row>
    <x:row r="32" ht="16.5" customHeight="1">
      <x:c r="A32" s="15"/>
      <x:c r="B32" s="16"/>
      <x:c r="C32" s="16"/>
      <x:c r="D32" s="16"/>
      <x:c r="E32" s="17"/>
      <x:c r="F32" s="16" t="str">
        <x:f>IF(A32="","",CHOOSE(MONTH(A32),"enero","febrero","marzo","abril","mayo","junio","julio","agosto","septiembre","octubre","noviembre","diciembre"))</x:f>
      </x:c>
    </x:row>
    <x:row r="33" ht="16.5" customHeight="1">
      <x:c r="A33" s="15"/>
      <x:c r="B33" s="16"/>
      <x:c r="C33" s="16"/>
      <x:c r="D33" s="16"/>
      <x:c r="E33" s="17"/>
      <x:c r="F33" s="16" t="str">
        <x:f>IF(A33="","",CHOOSE(MONTH(A33),"enero","febrero","marzo","abril","mayo","junio","julio","agosto","septiembre","octubre","noviembre","diciembre"))</x:f>
      </x:c>
    </x:row>
    <x:row r="34" ht="16.5" customHeight="1">
      <x:c r="A34" s="15"/>
      <x:c r="B34" s="16"/>
      <x:c r="C34" s="16"/>
      <x:c r="D34" s="16"/>
      <x:c r="E34" s="17"/>
      <x:c r="F34" s="16" t="str">
        <x:f>IF(A34="","",CHOOSE(MONTH(A34),"enero","febrero","marzo","abril","mayo","junio","julio","agosto","septiembre","octubre","noviembre","diciembre"))</x:f>
      </x:c>
    </x:row>
    <x:row r="35" ht="16.5" customHeight="1">
      <x:c r="A35" s="15"/>
      <x:c r="B35" s="16"/>
      <x:c r="C35" s="16"/>
      <x:c r="D35" s="16"/>
      <x:c r="E35" s="17"/>
      <x:c r="F35" s="16" t="str">
        <x:f>IF(A35="","",CHOOSE(MONTH(A35),"enero","febrero","marzo","abril","mayo","junio","julio","agosto","septiembre","octubre","noviembre","diciembre"))</x:f>
      </x:c>
    </x:row>
    <x:row r="36" ht="16.5" customHeight="1">
      <x:c r="A36" s="15"/>
      <x:c r="B36" s="16"/>
      <x:c r="C36" s="16"/>
      <x:c r="D36" s="16"/>
      <x:c r="E36" s="17"/>
      <x:c r="F36" s="16" t="str">
        <x:f>IF(A36="","",CHOOSE(MONTH(A36),"enero","febrero","marzo","abril","mayo","junio","julio","agosto","septiembre","octubre","noviembre","diciembre"))</x:f>
      </x:c>
    </x:row>
    <x:row r="37" ht="16.5" customHeight="1">
      <x:c r="A37" s="15"/>
      <x:c r="B37" s="16"/>
      <x:c r="C37" s="16"/>
      <x:c r="D37" s="16"/>
      <x:c r="E37" s="17"/>
      <x:c r="F37" s="16" t="str">
        <x:f>IF(A37="","",CHOOSE(MONTH(A37),"enero","febrero","marzo","abril","mayo","junio","julio","agosto","septiembre","octubre","noviembre","diciembre"))</x:f>
      </x:c>
    </x:row>
    <x:row r="38" ht="16.5" customHeight="1">
      <x:c r="A38" s="15"/>
      <x:c r="B38" s="16"/>
      <x:c r="C38" s="16"/>
      <x:c r="D38" s="16"/>
      <x:c r="E38" s="17"/>
      <x:c r="F38" s="16" t="str">
        <x:f>IF(A38="","",CHOOSE(MONTH(A38),"enero","febrero","marzo","abril","mayo","junio","julio","agosto","septiembre","octubre","noviembre","diciembre"))</x:f>
      </x:c>
    </x:row>
    <x:row r="39" ht="16.5" customHeight="1">
      <x:c r="A39" s="15"/>
      <x:c r="B39" s="16"/>
      <x:c r="C39" s="16"/>
      <x:c r="D39" s="16"/>
      <x:c r="E39" s="17"/>
      <x:c r="F39" s="16" t="str">
        <x:f>IF(A39="","",CHOOSE(MONTH(A39),"enero","febrero","marzo","abril","mayo","junio","julio","agosto","septiembre","octubre","noviembre","diciembre"))</x:f>
      </x:c>
    </x:row>
    <x:row r="40" ht="16.5" customHeight="1">
      <x:c r="A40" s="15"/>
      <x:c r="B40" s="16"/>
      <x:c r="C40" s="16"/>
      <x:c r="D40" s="16"/>
      <x:c r="E40" s="17"/>
      <x:c r="F40" s="16" t="str">
        <x:f>IF(A40="","",CHOOSE(MONTH(A40),"enero","febrero","marzo","abril","mayo","junio","julio","agosto","septiembre","octubre","noviembre","diciembre"))</x:f>
      </x:c>
    </x:row>
    <x:row r="41" ht="16.5" customHeight="1">
      <x:c r="A41" s="15"/>
      <x:c r="B41" s="16"/>
      <x:c r="C41" s="16"/>
      <x:c r="D41" s="16"/>
      <x:c r="E41" s="17"/>
      <x:c r="F41" s="16" t="str">
        <x:f>IF(A41="","",CHOOSE(MONTH(A41),"enero","febrero","marzo","abril","mayo","junio","julio","agosto","septiembre","octubre","noviembre","diciembre"))</x:f>
      </x:c>
    </x:row>
    <x:row r="42" ht="16.5" customHeight="1">
      <x:c r="A42" s="15"/>
      <x:c r="B42" s="16"/>
      <x:c r="C42" s="16"/>
      <x:c r="D42" s="16"/>
      <x:c r="E42" s="17"/>
      <x:c r="F42" s="16" t="str">
        <x:f>IF(A42="","",CHOOSE(MONTH(A42),"enero","febrero","marzo","abril","mayo","junio","julio","agosto","septiembre","octubre","noviembre","diciembre"))</x:f>
      </x:c>
    </x:row>
    <x:row r="43" ht="16.5" customHeight="1">
      <x:c r="A43" s="15"/>
      <x:c r="B43" s="16"/>
      <x:c r="C43" s="16"/>
      <x:c r="D43" s="16"/>
      <x:c r="E43" s="17"/>
      <x:c r="F43" s="16" t="str">
        <x:f>IF(A43="","",CHOOSE(MONTH(A43),"enero","febrero","marzo","abril","mayo","junio","julio","agosto","septiembre","octubre","noviembre","diciembre"))</x:f>
      </x:c>
    </x:row>
    <x:row r="44" ht="16.5" customHeight="1">
      <x:c r="A44" s="15"/>
      <x:c r="B44" s="16"/>
      <x:c r="C44" s="16"/>
      <x:c r="D44" s="16"/>
      <x:c r="E44" s="17"/>
      <x:c r="F44" s="16" t="str">
        <x:f>IF(A44="","",CHOOSE(MONTH(A44),"enero","febrero","marzo","abril","mayo","junio","julio","agosto","septiembre","octubre","noviembre","diciembre"))</x:f>
      </x:c>
    </x:row>
    <x:row r="45" ht="16.5" customHeight="1">
      <x:c r="A45" s="15"/>
      <x:c r="B45" s="16"/>
      <x:c r="C45" s="16"/>
      <x:c r="D45" s="16"/>
      <x:c r="E45" s="17"/>
      <x:c r="F45" s="16" t="str">
        <x:f>IF(A45="","",CHOOSE(MONTH(A45),"enero","febrero","marzo","abril","mayo","junio","julio","agosto","septiembre","octubre","noviembre","diciembre"))</x:f>
      </x:c>
    </x:row>
    <x:row r="46" ht="16.5" customHeight="1">
      <x:c r="A46" s="15"/>
      <x:c r="B46" s="16"/>
      <x:c r="C46" s="16"/>
      <x:c r="D46" s="16"/>
      <x:c r="E46" s="17"/>
      <x:c r="F46" s="16" t="str">
        <x:f>IF(A46="","",CHOOSE(MONTH(A46),"enero","febrero","marzo","abril","mayo","junio","julio","agosto","septiembre","octubre","noviembre","diciembre"))</x:f>
      </x:c>
    </x:row>
    <x:row r="47" ht="16.5" customHeight="1">
      <x:c r="A47" s="15"/>
      <x:c r="B47" s="16"/>
      <x:c r="C47" s="16"/>
      <x:c r="D47" s="16"/>
      <x:c r="E47" s="17"/>
      <x:c r="F47" s="16" t="str">
        <x:f>IF(A47="","",CHOOSE(MONTH(A47),"enero","febrero","marzo","abril","mayo","junio","julio","agosto","septiembre","octubre","noviembre","diciembre"))</x:f>
      </x:c>
    </x:row>
    <x:row r="48" ht="16.5" customHeight="1">
      <x:c r="A48" s="15"/>
      <x:c r="B48" s="16"/>
      <x:c r="C48" s="16"/>
      <x:c r="D48" s="16"/>
      <x:c r="E48" s="17"/>
      <x:c r="F48" s="16" t="str">
        <x:f>IF(A48="","",CHOOSE(MONTH(A48),"enero","febrero","marzo","abril","mayo","junio","julio","agosto","septiembre","octubre","noviembre","diciembre"))</x:f>
      </x:c>
    </x:row>
    <x:row r="49" ht="16.5" customHeight="1">
      <x:c r="A49" s="15"/>
      <x:c r="B49" s="16"/>
      <x:c r="C49" s="16"/>
      <x:c r="D49" s="16"/>
      <x:c r="E49" s="17"/>
      <x:c r="F49" s="16" t="str">
        <x:f>IF(A49="","",CHOOSE(MONTH(A49),"enero","febrero","marzo","abril","mayo","junio","julio","agosto","septiembre","octubre","noviembre","diciembre"))</x:f>
      </x:c>
    </x:row>
    <x:row r="50" ht="16.5" customHeight="1">
      <x:c r="A50" s="15"/>
      <x:c r="B50" s="16"/>
      <x:c r="C50" s="16"/>
      <x:c r="D50" s="16"/>
      <x:c r="E50" s="17"/>
      <x:c r="F50" s="16" t="str">
        <x:f>IF(A50="","",CHOOSE(MONTH(A50),"enero","febrero","marzo","abril","mayo","junio","julio","agosto","septiembre","octubre","noviembre","diciembre"))</x:f>
      </x:c>
    </x:row>
    <x:row r="51" ht="16.5" customHeight="1">
      <x:c r="A51" s="15"/>
      <x:c r="B51" s="16"/>
      <x:c r="C51" s="16"/>
      <x:c r="D51" s="16"/>
      <x:c r="E51" s="17"/>
      <x:c r="F51" s="16" t="str">
        <x:f>IF(A51="","",CHOOSE(MONTH(A51),"enero","febrero","marzo","abril","mayo","junio","julio","agosto","septiembre","octubre","noviembre","diciembre"))</x:f>
      </x:c>
    </x:row>
    <x:row r="52" ht="16.5" customHeight="1">
      <x:c r="A52" s="15"/>
      <x:c r="B52" s="16"/>
      <x:c r="C52" s="16"/>
      <x:c r="D52" s="16"/>
      <x:c r="E52" s="17"/>
      <x:c r="F52" s="16" t="str">
        <x:f>IF(A52="","",CHOOSE(MONTH(A52),"enero","febrero","marzo","abril","mayo","junio","julio","agosto","septiembre","octubre","noviembre","diciembre"))</x:f>
      </x:c>
    </x:row>
    <x:row r="53" ht="16.5" customHeight="1">
      <x:c r="A53" s="15"/>
      <x:c r="B53" s="16"/>
      <x:c r="C53" s="16"/>
      <x:c r="D53" s="16"/>
      <x:c r="E53" s="17"/>
      <x:c r="F53" s="16" t="str">
        <x:f>IF(A53="","",CHOOSE(MONTH(A53),"enero","febrero","marzo","abril","mayo","junio","julio","agosto","septiembre","octubre","noviembre","diciembre"))</x:f>
      </x:c>
    </x:row>
    <x:row r="54" ht="16.5" customHeight="1">
      <x:c r="A54" s="15"/>
      <x:c r="B54" s="16"/>
      <x:c r="C54" s="16"/>
      <x:c r="D54" s="16"/>
      <x:c r="E54" s="17"/>
      <x:c r="F54" s="16" t="str">
        <x:f>IF(A54="","",CHOOSE(MONTH(A54),"enero","febrero","marzo","abril","mayo","junio","julio","agosto","septiembre","octubre","noviembre","diciembre"))</x:f>
      </x:c>
    </x:row>
    <x:row r="55" ht="16.5" customHeight="1">
      <x:c r="A55" s="15"/>
      <x:c r="B55" s="16"/>
      <x:c r="C55" s="16"/>
      <x:c r="D55" s="16"/>
      <x:c r="E55" s="17"/>
      <x:c r="F55" s="16" t="str">
        <x:f>IF(A55="","",CHOOSE(MONTH(A55),"enero","febrero","marzo","abril","mayo","junio","julio","agosto","septiembre","octubre","noviembre","diciembre"))</x:f>
      </x:c>
    </x:row>
    <x:row r="56" ht="16.5" customHeight="1">
      <x:c r="A56" s="15"/>
      <x:c r="B56" s="16"/>
      <x:c r="C56" s="16"/>
      <x:c r="D56" s="16"/>
      <x:c r="E56" s="17"/>
      <x:c r="F56" s="16" t="str">
        <x:f>IF(A56="","",CHOOSE(MONTH(A56),"enero","febrero","marzo","abril","mayo","junio","julio","agosto","septiembre","octubre","noviembre","diciembre"))</x:f>
      </x:c>
    </x:row>
    <x:row r="57" ht="16.5" customHeight="1">
      <x:c r="A57" s="15"/>
      <x:c r="B57" s="16"/>
      <x:c r="C57" s="16"/>
      <x:c r="D57" s="16"/>
      <x:c r="E57" s="17"/>
      <x:c r="F57" s="16" t="str">
        <x:f>IF(A57="","",CHOOSE(MONTH(A57),"enero","febrero","marzo","abril","mayo","junio","julio","agosto","septiembre","octubre","noviembre","diciembre"))</x:f>
      </x:c>
    </x:row>
    <x:row r="58" ht="16.5" customHeight="1">
      <x:c r="A58" s="15"/>
      <x:c r="B58" s="16"/>
      <x:c r="C58" s="16"/>
      <x:c r="D58" s="16"/>
      <x:c r="E58" s="17"/>
      <x:c r="F58" s="16" t="str">
        <x:f>IF(A58="","",CHOOSE(MONTH(A58),"enero","febrero","marzo","abril","mayo","junio","julio","agosto","septiembre","octubre","noviembre","diciembre"))</x:f>
      </x:c>
    </x:row>
    <x:row r="59" ht="16.5" customHeight="1">
      <x:c r="A59" s="15"/>
      <x:c r="B59" s="16"/>
      <x:c r="C59" s="16"/>
      <x:c r="D59" s="16"/>
      <x:c r="E59" s="17"/>
      <x:c r="F59" s="16" t="str">
        <x:f>IF(A59="","",CHOOSE(MONTH(A59),"enero","febrero","marzo","abril","mayo","junio","julio","agosto","septiembre","octubre","noviembre","diciembre"))</x:f>
      </x:c>
    </x:row>
    <x:row r="60" ht="16.5" customHeight="1">
      <x:c r="A60" s="15"/>
      <x:c r="B60" s="16"/>
      <x:c r="C60" s="16"/>
      <x:c r="D60" s="16"/>
      <x:c r="E60" s="17"/>
      <x:c r="F60" s="16" t="str">
        <x:f>IF(A60="","",CHOOSE(MONTH(A60),"enero","febrero","marzo","abril","mayo","junio","julio","agosto","septiembre","octubre","noviembre","diciembre"))</x:f>
      </x:c>
    </x:row>
    <x:row r="61" ht="16.5" customHeight="1">
      <x:c r="A61" s="15"/>
      <x:c r="B61" s="16"/>
      <x:c r="C61" s="16"/>
      <x:c r="D61" s="16"/>
      <x:c r="E61" s="17"/>
      <x:c r="F61" s="16" t="str">
        <x:f>IF(A61="","",CHOOSE(MONTH(A61),"enero","febrero","marzo","abril","mayo","junio","julio","agosto","septiembre","octubre","noviembre","diciembre"))</x:f>
      </x:c>
    </x:row>
    <x:row r="62" ht="16.5" customHeight="1">
      <x:c r="A62" s="15"/>
      <x:c r="B62" s="16"/>
      <x:c r="C62" s="16"/>
      <x:c r="D62" s="16"/>
      <x:c r="E62" s="17"/>
      <x:c r="F62" s="16" t="str">
        <x:f>IF(A62="","",CHOOSE(MONTH(A62),"enero","febrero","marzo","abril","mayo","junio","julio","agosto","septiembre","octubre","noviembre","diciembre"))</x:f>
      </x:c>
    </x:row>
    <x:row r="63" ht="16.5" customHeight="1">
      <x:c r="A63" s="15"/>
      <x:c r="B63" s="16"/>
      <x:c r="C63" s="16"/>
      <x:c r="D63" s="16"/>
      <x:c r="E63" s="17"/>
      <x:c r="F63" s="16" t="str">
        <x:f>IF(A63="","",CHOOSE(MONTH(A63),"enero","febrero","marzo","abril","mayo","junio","julio","agosto","septiembre","octubre","noviembre","diciembre"))</x:f>
      </x:c>
    </x:row>
    <x:row r="64" ht="16.5" customHeight="1">
      <x:c r="A64" s="15"/>
      <x:c r="B64" s="16"/>
      <x:c r="C64" s="16"/>
      <x:c r="D64" s="16"/>
      <x:c r="E64" s="17"/>
      <x:c r="F64" s="16" t="str">
        <x:f>IF(A64="","",CHOOSE(MONTH(A64),"enero","febrero","marzo","abril","mayo","junio","julio","agosto","septiembre","octubre","noviembre","diciembre"))</x:f>
      </x:c>
    </x:row>
    <x:row r="65" ht="16.5" customHeight="1">
      <x:c r="A65" s="15"/>
      <x:c r="B65" s="16"/>
      <x:c r="C65" s="16"/>
      <x:c r="D65" s="16"/>
      <x:c r="E65" s="17"/>
      <x:c r="F65" s="16" t="str">
        <x:f>IF(A65="","",CHOOSE(MONTH(A65),"enero","febrero","marzo","abril","mayo","junio","julio","agosto","septiembre","octubre","noviembre","diciembre"))</x:f>
      </x:c>
    </x:row>
    <x:row r="66" ht="16.5" customHeight="1">
      <x:c r="A66" s="15"/>
      <x:c r="B66" s="16"/>
      <x:c r="C66" s="16"/>
      <x:c r="D66" s="16"/>
      <x:c r="E66" s="17"/>
      <x:c r="F66" s="16" t="str">
        <x:f>IF(A66="","",CHOOSE(MONTH(A66),"enero","febrero","marzo","abril","mayo","junio","julio","agosto","septiembre","octubre","noviembre","diciembre"))</x:f>
      </x:c>
    </x:row>
    <x:row r="67" ht="16.5" customHeight="1">
      <x:c r="A67" s="15"/>
      <x:c r="B67" s="16"/>
      <x:c r="C67" s="16"/>
      <x:c r="D67" s="16"/>
      <x:c r="E67" s="17"/>
      <x:c r="F67" s="16" t="str">
        <x:f>IF(A67="","",CHOOSE(MONTH(A67),"enero","febrero","marzo","abril","mayo","junio","julio","agosto","septiembre","octubre","noviembre","diciembre"))</x:f>
      </x:c>
    </x:row>
    <x:row r="68" ht="16.5" customHeight="1">
      <x:c r="A68" s="15"/>
      <x:c r="B68" s="16"/>
      <x:c r="C68" s="16"/>
      <x:c r="D68" s="16"/>
      <x:c r="E68" s="17"/>
      <x:c r="F68" s="16" t="str">
        <x:f>IF(A68="","",CHOOSE(MONTH(A68),"enero","febrero","marzo","abril","mayo","junio","julio","agosto","septiembre","octubre","noviembre","diciembre"))</x:f>
      </x:c>
    </x:row>
    <x:row r="69" ht="16.5" customHeight="1">
      <x:c r="A69" s="15"/>
      <x:c r="B69" s="16"/>
      <x:c r="C69" s="16"/>
      <x:c r="D69" s="16"/>
      <x:c r="E69" s="17"/>
      <x:c r="F69" s="16" t="str">
        <x:f>IF(A69="","",CHOOSE(MONTH(A69),"enero","febrero","marzo","abril","mayo","junio","julio","agosto","septiembre","octubre","noviembre","diciembre"))</x:f>
      </x:c>
    </x:row>
    <x:row r="70" ht="16.5" customHeight="1">
      <x:c r="A70" s="15"/>
      <x:c r="B70" s="16"/>
      <x:c r="C70" s="16"/>
      <x:c r="D70" s="16"/>
      <x:c r="E70" s="17"/>
      <x:c r="F70" s="16" t="str">
        <x:f>IF(A70="","",CHOOSE(MONTH(A70),"enero","febrero","marzo","abril","mayo","junio","julio","agosto","septiembre","octubre","noviembre","diciembre"))</x:f>
      </x:c>
    </x:row>
    <x:row r="71" ht="16.5" customHeight="1">
      <x:c r="A71" s="15"/>
      <x:c r="B71" s="16"/>
      <x:c r="C71" s="16"/>
      <x:c r="D71" s="16"/>
      <x:c r="E71" s="17"/>
      <x:c r="F71" s="16" t="str">
        <x:f>IF(A71="","",CHOOSE(MONTH(A71),"enero","febrero","marzo","abril","mayo","junio","julio","agosto","septiembre","octubre","noviembre","diciembre"))</x:f>
      </x:c>
    </x:row>
    <x:row r="72" ht="16.5" customHeight="1">
      <x:c r="A72" s="15"/>
      <x:c r="B72" s="16"/>
      <x:c r="C72" s="16"/>
      <x:c r="D72" s="16"/>
      <x:c r="E72" s="17"/>
      <x:c r="F72" s="16" t="str">
        <x:f>IF(A72="","",CHOOSE(MONTH(A72),"enero","febrero","marzo","abril","mayo","junio","julio","agosto","septiembre","octubre","noviembre","diciembre"))</x:f>
      </x:c>
    </x:row>
    <x:row r="73" ht="16.5" customHeight="1">
      <x:c r="A73" s="15"/>
      <x:c r="B73" s="16"/>
      <x:c r="C73" s="16"/>
      <x:c r="D73" s="16"/>
      <x:c r="E73" s="17"/>
      <x:c r="F73" s="16" t="str">
        <x:f>IF(A73="","",CHOOSE(MONTH(A73),"enero","febrero","marzo","abril","mayo","junio","julio","agosto","septiembre","octubre","noviembre","diciembre"))</x:f>
      </x:c>
    </x:row>
    <x:row r="74" ht="16.5" customHeight="1">
      <x:c r="A74" s="15"/>
      <x:c r="B74" s="16"/>
      <x:c r="C74" s="16"/>
      <x:c r="D74" s="16"/>
      <x:c r="E74" s="17"/>
      <x:c r="F74" s="16" t="str">
        <x:f>IF(A74="","",CHOOSE(MONTH(A74),"enero","febrero","marzo","abril","mayo","junio","julio","agosto","septiembre","octubre","noviembre","diciembre"))</x:f>
      </x:c>
    </x:row>
    <x:row r="75" ht="16.5" customHeight="1">
      <x:c r="A75" s="15"/>
      <x:c r="B75" s="16"/>
      <x:c r="C75" s="16"/>
      <x:c r="D75" s="16"/>
      <x:c r="E75" s="17"/>
      <x:c r="F75" s="16" t="str">
        <x:f>IF(A75="","",CHOOSE(MONTH(A75),"enero","febrero","marzo","abril","mayo","junio","julio","agosto","septiembre","octubre","noviembre","diciembre"))</x:f>
      </x:c>
    </x:row>
    <x:row r="76" ht="16.5" customHeight="1">
      <x:c r="A76" s="15"/>
      <x:c r="B76" s="16"/>
      <x:c r="C76" s="16"/>
      <x:c r="D76" s="16"/>
      <x:c r="E76" s="17"/>
      <x:c r="F76" s="16" t="str">
        <x:f>IF(A76="","",CHOOSE(MONTH(A76),"enero","febrero","marzo","abril","mayo","junio","julio","agosto","septiembre","octubre","noviembre","diciembre"))</x:f>
      </x:c>
    </x:row>
    <x:row r="77" ht="16.5" customHeight="1">
      <x:c r="A77" s="15"/>
      <x:c r="B77" s="16"/>
      <x:c r="C77" s="16"/>
      <x:c r="D77" s="16"/>
      <x:c r="E77" s="17"/>
      <x:c r="F77" s="16" t="str">
        <x:f>IF(A77="","",CHOOSE(MONTH(A77),"enero","febrero","marzo","abril","mayo","junio","julio","agosto","septiembre","octubre","noviembre","diciembre"))</x:f>
      </x:c>
    </x:row>
    <x:row r="78" ht="16.5" customHeight="1">
      <x:c r="A78" s="15"/>
      <x:c r="B78" s="16"/>
      <x:c r="C78" s="16"/>
      <x:c r="D78" s="16"/>
      <x:c r="E78" s="17"/>
      <x:c r="F78" s="16" t="str">
        <x:f>IF(A78="","",CHOOSE(MONTH(A78),"enero","febrero","marzo","abril","mayo","junio","julio","agosto","septiembre","octubre","noviembre","diciembre"))</x:f>
      </x:c>
    </x:row>
    <x:row r="79" ht="16.5" customHeight="1">
      <x:c r="A79" s="15"/>
      <x:c r="B79" s="16"/>
      <x:c r="C79" s="16"/>
      <x:c r="D79" s="16"/>
      <x:c r="E79" s="17"/>
      <x:c r="F79" s="16" t="str">
        <x:f>IF(A79="","",CHOOSE(MONTH(A79),"enero","febrero","marzo","abril","mayo","junio","julio","agosto","septiembre","octubre","noviembre","diciembre"))</x:f>
      </x:c>
    </x:row>
    <x:row r="80" ht="16.5" customHeight="1">
      <x:c r="A80" s="15"/>
      <x:c r="B80" s="16"/>
      <x:c r="C80" s="16"/>
      <x:c r="D80" s="16"/>
      <x:c r="E80" s="17"/>
      <x:c r="F80" s="16" t="str">
        <x:f>IF(A80="","",CHOOSE(MONTH(A80),"enero","febrero","marzo","abril","mayo","junio","julio","agosto","septiembre","octubre","noviembre","diciembre"))</x:f>
      </x:c>
    </x:row>
    <x:row r="81" ht="16.5" customHeight="1">
      <x:c r="A81" s="15"/>
      <x:c r="B81" s="16"/>
      <x:c r="C81" s="16"/>
      <x:c r="D81" s="16"/>
      <x:c r="E81" s="17"/>
      <x:c r="F81" s="16" t="str">
        <x:f>IF(A81="","",CHOOSE(MONTH(A81),"enero","febrero","marzo","abril","mayo","junio","julio","agosto","septiembre","octubre","noviembre","diciembre"))</x:f>
      </x:c>
    </x:row>
    <x:row r="82" ht="16.5" customHeight="1">
      <x:c r="A82" s="15"/>
      <x:c r="B82" s="16"/>
      <x:c r="C82" s="16"/>
      <x:c r="D82" s="16"/>
      <x:c r="E82" s="17"/>
      <x:c r="F82" s="16" t="str">
        <x:f>IF(A82="","",CHOOSE(MONTH(A82),"enero","febrero","marzo","abril","mayo","junio","julio","agosto","septiembre","octubre","noviembre","diciembre"))</x:f>
      </x:c>
    </x:row>
    <x:row r="83" ht="16.5" customHeight="1">
      <x:c r="A83" s="15"/>
      <x:c r="B83" s="16"/>
      <x:c r="C83" s="16"/>
      <x:c r="D83" s="16"/>
      <x:c r="E83" s="17"/>
      <x:c r="F83" s="16" t="str">
        <x:f>IF(A83="","",CHOOSE(MONTH(A83),"enero","febrero","marzo","abril","mayo","junio","julio","agosto","septiembre","octubre","noviembre","diciembre"))</x:f>
      </x:c>
    </x:row>
    <x:row r="84" ht="16.5" customHeight="1">
      <x:c r="A84" s="15"/>
      <x:c r="B84" s="16"/>
      <x:c r="C84" s="16"/>
      <x:c r="D84" s="16"/>
      <x:c r="E84" s="17"/>
      <x:c r="F84" s="16" t="str">
        <x:f>IF(A84="","",CHOOSE(MONTH(A84),"enero","febrero","marzo","abril","mayo","junio","julio","agosto","septiembre","octubre","noviembre","diciembre"))</x:f>
      </x:c>
    </x:row>
    <x:row r="85" ht="16.5" customHeight="1">
      <x:c r="A85" s="15"/>
      <x:c r="B85" s="16"/>
      <x:c r="C85" s="16"/>
      <x:c r="D85" s="16"/>
      <x:c r="E85" s="17"/>
      <x:c r="F85" s="16" t="str">
        <x:f>IF(A85="","",CHOOSE(MONTH(A85),"enero","febrero","marzo","abril","mayo","junio","julio","agosto","septiembre","octubre","noviembre","diciembre"))</x:f>
      </x:c>
    </x:row>
    <x:row r="86" ht="16.5" customHeight="1">
      <x:c r="A86" s="15"/>
      <x:c r="B86" s="16"/>
      <x:c r="C86" s="16"/>
      <x:c r="D86" s="16"/>
      <x:c r="E86" s="17"/>
      <x:c r="F86" s="16" t="str">
        <x:f>IF(A86="","",CHOOSE(MONTH(A86),"enero","febrero","marzo","abril","mayo","junio","julio","agosto","septiembre","octubre","noviembre","diciembre"))</x:f>
      </x:c>
    </x:row>
    <x:row r="87" ht="16.5" customHeight="1">
      <x:c r="A87" s="15"/>
      <x:c r="B87" s="16"/>
      <x:c r="C87" s="16"/>
      <x:c r="D87" s="16"/>
      <x:c r="E87" s="17"/>
      <x:c r="F87" s="16" t="str">
        <x:f>IF(A87="","",CHOOSE(MONTH(A87),"enero","febrero","marzo","abril","mayo","junio","julio","agosto","septiembre","octubre","noviembre","diciembre"))</x:f>
      </x:c>
    </x:row>
    <x:row r="88" ht="16.5" customHeight="1">
      <x:c r="A88" s="15"/>
      <x:c r="B88" s="16"/>
      <x:c r="C88" s="16"/>
      <x:c r="D88" s="16"/>
      <x:c r="E88" s="17"/>
      <x:c r="F88" s="16" t="str">
        <x:f>IF(A88="","",CHOOSE(MONTH(A88),"enero","febrero","marzo","abril","mayo","junio","julio","agosto","septiembre","octubre","noviembre","diciembre"))</x:f>
      </x:c>
    </x:row>
    <x:row r="89" ht="16.5" customHeight="1">
      <x:c r="A89" s="15"/>
      <x:c r="B89" s="16"/>
      <x:c r="C89" s="16"/>
      <x:c r="D89" s="16"/>
      <x:c r="E89" s="17"/>
      <x:c r="F89" s="16" t="str">
        <x:f>IF(A89="","",CHOOSE(MONTH(A89),"enero","febrero","marzo","abril","mayo","junio","julio","agosto","septiembre","octubre","noviembre","diciembre"))</x:f>
      </x:c>
    </x:row>
    <x:row r="90" ht="16.5" customHeight="1">
      <x:c r="A90" s="15"/>
      <x:c r="B90" s="16"/>
      <x:c r="C90" s="16"/>
      <x:c r="D90" s="16"/>
      <x:c r="E90" s="17"/>
      <x:c r="F90" s="16" t="str">
        <x:f>IF(A90="","",CHOOSE(MONTH(A90),"enero","febrero","marzo","abril","mayo","junio","julio","agosto","septiembre","octubre","noviembre","diciembre"))</x:f>
      </x:c>
    </x:row>
    <x:row r="91" ht="16.5" customHeight="1">
      <x:c r="A91" s="15"/>
      <x:c r="B91" s="16"/>
      <x:c r="C91" s="16"/>
      <x:c r="D91" s="16"/>
      <x:c r="E91" s="17"/>
      <x:c r="F91" s="16" t="str">
        <x:f>IF(A91="","",CHOOSE(MONTH(A91),"enero","febrero","marzo","abril","mayo","junio","julio","agosto","septiembre","octubre","noviembre","diciembre"))</x:f>
      </x:c>
    </x:row>
    <x:row r="92" ht="16.5" customHeight="1">
      <x:c r="A92" s="15"/>
      <x:c r="B92" s="16"/>
      <x:c r="C92" s="16"/>
      <x:c r="D92" s="16"/>
      <x:c r="E92" s="17"/>
      <x:c r="F92" s="16" t="str">
        <x:f>IF(A92="","",CHOOSE(MONTH(A92),"enero","febrero","marzo","abril","mayo","junio","julio","agosto","septiembre","octubre","noviembre","diciembre"))</x:f>
      </x:c>
    </x:row>
    <x:row r="93" ht="16.5" customHeight="1">
      <x:c r="A93" s="15"/>
      <x:c r="B93" s="16"/>
      <x:c r="C93" s="16"/>
      <x:c r="D93" s="16"/>
      <x:c r="E93" s="17"/>
      <x:c r="F93" s="16" t="str">
        <x:f>IF(A93="","",CHOOSE(MONTH(A93),"enero","febrero","marzo","abril","mayo","junio","julio","agosto","septiembre","octubre","noviembre","diciembre"))</x:f>
      </x:c>
    </x:row>
    <x:row r="94" ht="16.5" customHeight="1">
      <x:c r="A94" s="15"/>
      <x:c r="B94" s="16"/>
      <x:c r="C94" s="16"/>
      <x:c r="D94" s="16"/>
      <x:c r="E94" s="17"/>
      <x:c r="F94" s="16" t="str">
        <x:f>IF(A94="","",CHOOSE(MONTH(A94),"enero","febrero","marzo","abril","mayo","junio","julio","agosto","septiembre","octubre","noviembre","diciembre"))</x:f>
      </x:c>
    </x:row>
    <x:row r="95" ht="16.5" customHeight="1">
      <x:c r="A95" s="15"/>
      <x:c r="B95" s="16"/>
      <x:c r="C95" s="16"/>
      <x:c r="D95" s="16"/>
      <x:c r="E95" s="17"/>
      <x:c r="F95" s="16" t="str">
        <x:f>IF(A95="","",CHOOSE(MONTH(A95),"enero","febrero","marzo","abril","mayo","junio","julio","agosto","septiembre","octubre","noviembre","diciembre"))</x:f>
      </x:c>
    </x:row>
    <x:row r="96" ht="16.5" customHeight="1">
      <x:c r="A96" s="15"/>
      <x:c r="B96" s="16"/>
      <x:c r="C96" s="16"/>
      <x:c r="D96" s="16"/>
      <x:c r="E96" s="17"/>
      <x:c r="F96" s="16" t="str">
        <x:f>IF(A96="","",CHOOSE(MONTH(A96),"enero","febrero","marzo","abril","mayo","junio","julio","agosto","septiembre","octubre","noviembre","diciembre"))</x:f>
      </x:c>
    </x:row>
    <x:row r="97" ht="16.5" customHeight="1">
      <x:c r="A97" s="15"/>
      <x:c r="B97" s="16"/>
      <x:c r="C97" s="16"/>
      <x:c r="D97" s="16"/>
      <x:c r="E97" s="17"/>
      <x:c r="F97" s="16" t="str">
        <x:f>IF(A97="","",CHOOSE(MONTH(A97),"enero","febrero","marzo","abril","mayo","junio","julio","agosto","septiembre","octubre","noviembre","diciembre"))</x:f>
      </x:c>
    </x:row>
    <x:row r="98" ht="16.5" customHeight="1">
      <x:c r="A98" s="15"/>
      <x:c r="B98" s="16"/>
      <x:c r="C98" s="16"/>
      <x:c r="D98" s="16"/>
      <x:c r="E98" s="17"/>
      <x:c r="F98" s="16" t="str">
        <x:f>IF(A98="","",CHOOSE(MONTH(A98),"enero","febrero","marzo","abril","mayo","junio","julio","agosto","septiembre","octubre","noviembre","diciembre"))</x:f>
      </x:c>
    </x:row>
    <x:row r="99" ht="16.5" customHeight="1">
      <x:c r="A99" s="15"/>
      <x:c r="B99" s="16"/>
      <x:c r="C99" s="16"/>
      <x:c r="D99" s="16"/>
      <x:c r="E99" s="17"/>
      <x:c r="F99" s="16" t="str">
        <x:f>IF(A99="","",CHOOSE(MONTH(A99),"enero","febrero","marzo","abril","mayo","junio","julio","agosto","septiembre","octubre","noviembre","diciembre"))</x:f>
      </x:c>
    </x:row>
    <x:row r="100" ht="16.5" customHeight="1">
      <x:c r="A100" s="15"/>
      <x:c r="B100" s="16"/>
      <x:c r="C100" s="16"/>
      <x:c r="D100" s="16"/>
      <x:c r="E100" s="17"/>
      <x:c r="F100" s="16" t="str">
        <x:f>IF(A100="","",CHOOSE(MONTH(A100),"enero","febrero","marzo","abril","mayo","junio","julio","agosto","septiembre","octubre","noviembre","diciembre"))</x:f>
      </x:c>
    </x:row>
    <x:row r="101" ht="16.5" customHeight="1">
      <x:c r="A101" s="15"/>
      <x:c r="B101" s="16"/>
      <x:c r="C101" s="16"/>
      <x:c r="D101" s="16"/>
      <x:c r="E101" s="17"/>
      <x:c r="F101" s="16" t="str">
        <x:f>IF(A101="","",CHOOSE(MONTH(A101),"enero","febrero","marzo","abril","mayo","junio","julio","agosto","septiembre","octubre","noviembre","diciembre"))</x:f>
      </x:c>
    </x:row>
    <x:row r="102" ht="16.5" customHeight="1">
      <x:c r="A102" s="15"/>
      <x:c r="B102" s="16"/>
      <x:c r="C102" s="16"/>
      <x:c r="D102" s="16"/>
      <x:c r="E102" s="17"/>
      <x:c r="F102" s="16" t="str">
        <x:f>IF(A102="","",CHOOSE(MONTH(A102),"enero","febrero","marzo","abril","mayo","junio","julio","agosto","septiembre","octubre","noviembre","diciembre"))</x:f>
      </x:c>
    </x:row>
    <x:row r="103" ht="16.5" customHeight="1">
      <x:c r="A103" s="15"/>
      <x:c r="B103" s="16"/>
      <x:c r="C103" s="16"/>
      <x:c r="D103" s="16"/>
      <x:c r="E103" s="17"/>
      <x:c r="F103" s="16" t="str">
        <x:f>IF(A103="","",CHOOSE(MONTH(A103),"enero","febrero","marzo","abril","mayo","junio","julio","agosto","septiembre","octubre","noviembre","diciembre"))</x:f>
      </x:c>
    </x:row>
    <x:row r="104" ht="16.5" customHeight="1">
      <x:c r="A104" s="15"/>
      <x:c r="B104" s="16"/>
      <x:c r="C104" s="16"/>
      <x:c r="D104" s="16"/>
      <x:c r="E104" s="17"/>
      <x:c r="F104" s="16" t="str">
        <x:f>IF(A104="","",CHOOSE(MONTH(A104),"enero","febrero","marzo","abril","mayo","junio","julio","agosto","septiembre","octubre","noviembre","diciembre"))</x:f>
      </x:c>
    </x:row>
    <x:row r="105">
      <x:c r="A105" s="15"/>
      <x:c r="B105" s="16"/>
      <x:c r="C105" s="16"/>
      <x:c r="D105" s="16"/>
      <x:c r="E105" s="17"/>
      <x:c r="F105" s="16" t="str">
        <x:f>IF(A105="","",CHOOSE(MONTH(A105),"enero","febrero","marzo","abril","mayo","junio","julio","agosto","septiembre","octubre","noviembre","diciembre"))</x:f>
      </x:c>
    </x:row>
    <x:row r="106">
      <x:c r="A106" s="15"/>
      <x:c r="B106" s="16"/>
      <x:c r="C106" s="16"/>
      <x:c r="D106" s="16"/>
      <x:c r="E106" s="17"/>
      <x:c r="F106" s="16" t="str">
        <x:f>IF(A106="","",CHOOSE(MONTH(A106),"enero","febrero","marzo","abril","mayo","junio","julio","agosto","septiembre","octubre","noviembre","diciembre"))</x:f>
      </x:c>
    </x:row>
    <x:row r="107">
      <x:c r="A107" s="15"/>
      <x:c r="B107" s="16"/>
      <x:c r="C107" s="16"/>
      <x:c r="D107" s="16"/>
      <x:c r="E107" s="17"/>
      <x:c r="F107" s="16" t="str">
        <x:f>IF(A107="","",CHOOSE(MONTH(A107),"enero","febrero","marzo","abril","mayo","junio","julio","agosto","septiembre","octubre","noviembre","diciembre"))</x:f>
      </x:c>
    </x:row>
    <x:row r="108">
      <x:c r="A108" s="15"/>
      <x:c r="B108" s="16"/>
      <x:c r="C108" s="16"/>
      <x:c r="D108" s="16"/>
      <x:c r="E108" s="17"/>
      <x:c r="F108" s="16" t="str">
        <x:f>IF(A108="","",CHOOSE(MONTH(A108),"enero","febrero","marzo","abril","mayo","junio","julio","agosto","septiembre","octubre","noviembre","diciembre"))</x:f>
      </x:c>
    </x:row>
    <x:row r="109">
      <x:c r="A109" s="15"/>
      <x:c r="B109" s="16"/>
      <x:c r="C109" s="16"/>
      <x:c r="D109" s="16"/>
      <x:c r="E109" s="17"/>
      <x:c r="F109" s="16" t="str">
        <x:f>IF(A109="","",CHOOSE(MONTH(A109),"enero","febrero","marzo","abril","mayo","junio","julio","agosto","septiembre","octubre","noviembre","diciembre"))</x:f>
      </x:c>
    </x:row>
    <x:row r="110">
      <x:c r="A110" s="15"/>
      <x:c r="B110" s="16"/>
      <x:c r="C110" s="16"/>
      <x:c r="D110" s="16"/>
      <x:c r="E110" s="17"/>
      <x:c r="F110" s="16" t="str">
        <x:f>IF(A110="","",CHOOSE(MONTH(A110),"enero","febrero","marzo","abril","mayo","junio","julio","agosto","septiembre","octubre","noviembre","diciembre"))</x:f>
      </x:c>
    </x:row>
    <x:row r="111">
      <x:c r="A111" s="15"/>
      <x:c r="B111" s="16"/>
      <x:c r="C111" s="16"/>
      <x:c r="D111" s="16"/>
      <x:c r="E111" s="17"/>
      <x:c r="F111" s="16" t="str">
        <x:f>IF(A111="","",CHOOSE(MONTH(A111),"enero","febrero","marzo","abril","mayo","junio","julio","agosto","septiembre","octubre","noviembre","diciembre"))</x:f>
      </x:c>
    </x:row>
    <x:row r="112">
      <x:c r="A112" s="15"/>
      <x:c r="B112" s="16"/>
      <x:c r="C112" s="16"/>
      <x:c r="D112" s="16"/>
      <x:c r="E112" s="17"/>
      <x:c r="F112" s="16" t="str">
        <x:f>IF(A112="","",CHOOSE(MONTH(A112),"enero","febrero","marzo","abril","mayo","junio","julio","agosto","septiembre","octubre","noviembre","diciembre"))</x:f>
      </x:c>
    </x:row>
    <x:row r="113">
      <x:c r="A113" s="15"/>
      <x:c r="B113" s="16"/>
      <x:c r="C113" s="16"/>
      <x:c r="D113" s="16"/>
      <x:c r="E113" s="17"/>
      <x:c r="F113" s="16" t="str">
        <x:f>IF(A113="","",CHOOSE(MONTH(A113),"enero","febrero","marzo","abril","mayo","junio","julio","agosto","septiembre","octubre","noviembre","diciembre"))</x:f>
      </x:c>
    </x:row>
    <x:row r="114">
      <x:c r="A114" s="15"/>
      <x:c r="B114" s="16"/>
      <x:c r="C114" s="16"/>
      <x:c r="D114" s="16"/>
      <x:c r="E114" s="17"/>
      <x:c r="F114" s="16" t="str">
        <x:f>IF(A114="","",CHOOSE(MONTH(A114),"enero","febrero","marzo","abril","mayo","junio","julio","agosto","septiembre","octubre","noviembre","diciembre"))</x:f>
      </x:c>
    </x:row>
    <x:row r="115">
      <x:c r="A115" s="15"/>
      <x:c r="B115" s="16"/>
      <x:c r="C115" s="16"/>
      <x:c r="D115" s="16"/>
      <x:c r="E115" s="17"/>
      <x:c r="F115" s="16" t="str">
        <x:f>IF(A115="","",CHOOSE(MONTH(A115),"enero","febrero","marzo","abril","mayo","junio","julio","agosto","septiembre","octubre","noviembre","diciembre"))</x:f>
      </x:c>
    </x:row>
    <x:row r="116">
      <x:c r="A116" s="15"/>
      <x:c r="B116" s="16"/>
      <x:c r="C116" s="16"/>
      <x:c r="D116" s="16"/>
      <x:c r="E116" s="17"/>
      <x:c r="F116" s="16" t="str">
        <x:f>IF(A116="","",CHOOSE(MONTH(A116),"enero","febrero","marzo","abril","mayo","junio","julio","agosto","septiembre","octubre","noviembre","diciembre"))</x:f>
      </x:c>
    </x:row>
    <x:row r="117">
      <x:c r="A117" s="15"/>
      <x:c r="B117" s="16"/>
      <x:c r="C117" s="16"/>
      <x:c r="D117" s="16"/>
      <x:c r="E117" s="17"/>
      <x:c r="F117" s="16" t="str">
        <x:f>IF(A117="","",CHOOSE(MONTH(A117),"enero","febrero","marzo","abril","mayo","junio","julio","agosto","septiembre","octubre","noviembre","diciembre"))</x:f>
      </x:c>
    </x:row>
    <x:row r="118">
      <x:c r="A118" s="15"/>
      <x:c r="B118" s="16"/>
      <x:c r="C118" s="16"/>
      <x:c r="D118" s="16"/>
      <x:c r="E118" s="17"/>
      <x:c r="F118" s="16" t="str">
        <x:f>IF(A118="","",CHOOSE(MONTH(A118),"enero","febrero","marzo","abril","mayo","junio","julio","agosto","septiembre","octubre","noviembre","diciembre"))</x:f>
      </x:c>
    </x:row>
    <x:row r="119">
      <x:c r="A119" s="15"/>
      <x:c r="B119" s="16"/>
      <x:c r="C119" s="16"/>
      <x:c r="D119" s="16"/>
      <x:c r="E119" s="17"/>
      <x:c r="F119" s="16" t="str">
        <x:f>IF(A119="","",CHOOSE(MONTH(A119),"enero","febrero","marzo","abril","mayo","junio","julio","agosto","septiembre","octubre","noviembre","diciembre"))</x:f>
      </x:c>
    </x:row>
    <x:row r="120">
      <x:c r="A120" s="15"/>
      <x:c r="B120" s="16"/>
      <x:c r="C120" s="16"/>
      <x:c r="D120" s="16"/>
      <x:c r="E120" s="17"/>
      <x:c r="F120" s="16" t="str">
        <x:f>IF(A120="","",CHOOSE(MONTH(A120),"enero","febrero","marzo","abril","mayo","junio","julio","agosto","septiembre","octubre","noviembre","diciembre"))</x:f>
      </x:c>
    </x:row>
    <x:row r="121">
      <x:c r="A121" s="15"/>
      <x:c r="B121" s="16"/>
      <x:c r="C121" s="16"/>
      <x:c r="D121" s="16"/>
      <x:c r="E121" s="17"/>
      <x:c r="F121" s="16" t="str">
        <x:f>IF(A121="","",CHOOSE(MONTH(A121),"enero","febrero","marzo","abril","mayo","junio","julio","agosto","septiembre","octubre","noviembre","diciembre"))</x:f>
      </x:c>
    </x:row>
    <x:row r="122">
      <x:c r="A122" s="15"/>
      <x:c r="B122" s="16"/>
      <x:c r="C122" s="16"/>
      <x:c r="D122" s="16"/>
      <x:c r="E122" s="17"/>
      <x:c r="F122" s="16" t="str">
        <x:f>IF(A122="","",CHOOSE(MONTH(A122),"enero","febrero","marzo","abril","mayo","junio","julio","agosto","septiembre","octubre","noviembre","diciembre"))</x:f>
      </x:c>
    </x:row>
    <x:row r="123">
      <x:c r="A123" s="15"/>
      <x:c r="B123" s="16"/>
      <x:c r="C123" s="16"/>
      <x:c r="D123" s="16"/>
      <x:c r="E123" s="17"/>
      <x:c r="F123" s="16" t="str">
        <x:f>IF(A123="","",CHOOSE(MONTH(A123),"enero","febrero","marzo","abril","mayo","junio","julio","agosto","septiembre","octubre","noviembre","diciembre"))</x:f>
      </x:c>
    </x:row>
    <x:row r="124">
      <x:c r="A124" s="15"/>
      <x:c r="B124" s="16"/>
      <x:c r="C124" s="16"/>
      <x:c r="D124" s="16"/>
      <x:c r="E124" s="17"/>
      <x:c r="F124" s="16" t="str">
        <x:f>IF(A124="","",CHOOSE(MONTH(A124),"enero","febrero","marzo","abril","mayo","junio","julio","agosto","septiembre","octubre","noviembre","diciembre"))</x:f>
      </x:c>
    </x:row>
    <x:row r="125">
      <x:c r="A125" s="15"/>
      <x:c r="B125" s="16"/>
      <x:c r="C125" s="16"/>
      <x:c r="D125" s="16"/>
      <x:c r="E125" s="17"/>
      <x:c r="F125" s="16" t="str">
        <x:f>IF(A125="","",CHOOSE(MONTH(A125),"enero","febrero","marzo","abril","mayo","junio","julio","agosto","septiembre","octubre","noviembre","diciembre"))</x:f>
      </x:c>
    </x:row>
    <x:row r="126">
      <x:c r="A126" s="15"/>
      <x:c r="B126" s="16"/>
      <x:c r="C126" s="16"/>
      <x:c r="D126" s="16"/>
      <x:c r="E126" s="17"/>
      <x:c r="F126" s="16" t="str">
        <x:f>IF(A126="","",CHOOSE(MONTH(A126),"enero","febrero","marzo","abril","mayo","junio","julio","agosto","septiembre","octubre","noviembre","diciembre"))</x:f>
      </x:c>
    </x:row>
    <x:row r="127">
      <x:c r="A127" s="15"/>
      <x:c r="B127" s="16"/>
      <x:c r="C127" s="16"/>
      <x:c r="D127" s="16"/>
      <x:c r="E127" s="17"/>
      <x:c r="F127" s="16" t="str">
        <x:f>IF(A127="","",CHOOSE(MONTH(A127),"enero","febrero","marzo","abril","mayo","junio","julio","agosto","septiembre","octubre","noviembre","diciembre"))</x:f>
      </x:c>
    </x:row>
    <x:row r="128">
      <x:c r="A128" s="15"/>
      <x:c r="B128" s="16"/>
      <x:c r="C128" s="16"/>
      <x:c r="D128" s="16"/>
      <x:c r="E128" s="17"/>
      <x:c r="F128" s="16" t="str">
        <x:f>IF(A128="","",CHOOSE(MONTH(A128),"enero","febrero","marzo","abril","mayo","junio","julio","agosto","septiembre","octubre","noviembre","diciembre"))</x:f>
      </x:c>
    </x:row>
    <x:row r="129">
      <x:c r="A129" s="15"/>
      <x:c r="B129" s="16"/>
      <x:c r="C129" s="16"/>
      <x:c r="D129" s="16"/>
      <x:c r="E129" s="17"/>
      <x:c r="F129" s="16" t="str">
        <x:f>IF(A129="","",CHOOSE(MONTH(A129),"enero","febrero","marzo","abril","mayo","junio","julio","agosto","septiembre","octubre","noviembre","diciembre"))</x:f>
      </x:c>
    </x:row>
    <x:row r="130">
      <x:c r="A130" s="15"/>
      <x:c r="B130" s="16"/>
      <x:c r="C130" s="16"/>
      <x:c r="D130" s="16"/>
      <x:c r="E130" s="17"/>
      <x:c r="F130" s="16" t="str">
        <x:f>IF(A130="","",CHOOSE(MONTH(A130),"enero","febrero","marzo","abril","mayo","junio","julio","agosto","septiembre","octubre","noviembre","diciembre"))</x:f>
      </x:c>
    </x:row>
    <x:row r="131">
      <x:c r="A131" s="15"/>
      <x:c r="B131" s="16"/>
      <x:c r="C131" s="16"/>
      <x:c r="D131" s="16"/>
      <x:c r="E131" s="17"/>
      <x:c r="F131" s="16" t="str">
        <x:f>IF(A131="","",CHOOSE(MONTH(A131),"enero","febrero","marzo","abril","mayo","junio","julio","agosto","septiembre","octubre","noviembre","diciembre"))</x:f>
      </x:c>
    </x:row>
    <x:row r="132">
      <x:c r="A132" s="15"/>
      <x:c r="B132" s="16"/>
      <x:c r="C132" s="16"/>
      <x:c r="D132" s="16"/>
      <x:c r="E132" s="17"/>
      <x:c r="F132" s="16" t="str">
        <x:f>IF(A132="","",CHOOSE(MONTH(A132),"enero","febrero","marzo","abril","mayo","junio","julio","agosto","septiembre","octubre","noviembre","diciembre"))</x:f>
      </x:c>
    </x:row>
    <x:row r="133">
      <x:c r="A133" s="15"/>
      <x:c r="B133" s="16"/>
      <x:c r="C133" s="16"/>
      <x:c r="D133" s="16"/>
      <x:c r="E133" s="17"/>
      <x:c r="F133" s="16" t="str">
        <x:f>IF(A133="","",CHOOSE(MONTH(A133),"enero","febrero","marzo","abril","mayo","junio","julio","agosto","septiembre","octubre","noviembre","diciembre"))</x:f>
      </x:c>
    </x:row>
    <x:row r="134">
      <x:c r="A134" s="15"/>
      <x:c r="B134" s="16"/>
      <x:c r="C134" s="16"/>
      <x:c r="D134" s="16"/>
      <x:c r="E134" s="17"/>
      <x:c r="F134" s="16" t="str">
        <x:f>IF(A134="","",CHOOSE(MONTH(A134),"enero","febrero","marzo","abril","mayo","junio","julio","agosto","septiembre","octubre","noviembre","diciembre"))</x:f>
      </x:c>
    </x:row>
    <x:row r="135">
      <x:c r="A135" s="15"/>
      <x:c r="B135" s="16"/>
      <x:c r="C135" s="16"/>
      <x:c r="D135" s="16"/>
      <x:c r="E135" s="17"/>
      <x:c r="F135" s="16" t="str">
        <x:f>IF(A135="","",CHOOSE(MONTH(A135),"enero","febrero","marzo","abril","mayo","junio","julio","agosto","septiembre","octubre","noviembre","diciembre"))</x:f>
      </x:c>
    </x:row>
    <x:row r="136">
      <x:c r="A136" s="15"/>
      <x:c r="B136" s="16"/>
      <x:c r="C136" s="16"/>
      <x:c r="D136" s="16"/>
      <x:c r="E136" s="17"/>
      <x:c r="F136" s="16" t="str">
        <x:f>IF(A136="","",CHOOSE(MONTH(A136),"enero","febrero","marzo","abril","mayo","junio","julio","agosto","septiembre","octubre","noviembre","diciembre"))</x:f>
      </x:c>
    </x:row>
    <x:row r="137">
      <x:c r="A137" s="15"/>
      <x:c r="B137" s="16"/>
      <x:c r="C137" s="16"/>
      <x:c r="D137" s="16"/>
      <x:c r="E137" s="17"/>
      <x:c r="F137" s="16" t="str">
        <x:f>IF(A137="","",CHOOSE(MONTH(A137),"enero","febrero","marzo","abril","mayo","junio","julio","agosto","septiembre","octubre","noviembre","diciembre"))</x:f>
      </x:c>
    </x:row>
    <x:row r="138">
      <x:c r="A138" s="15"/>
      <x:c r="B138" s="16"/>
      <x:c r="C138" s="16"/>
      <x:c r="D138" s="16"/>
      <x:c r="E138" s="17"/>
      <x:c r="F138" s="16" t="str">
        <x:f>IF(A138="","",CHOOSE(MONTH(A138),"enero","febrero","marzo","abril","mayo","junio","julio","agosto","septiembre","octubre","noviembre","diciembre"))</x:f>
      </x:c>
    </x:row>
    <x:row r="139">
      <x:c r="A139" s="15"/>
      <x:c r="B139" s="16"/>
      <x:c r="C139" s="16"/>
      <x:c r="D139" s="16"/>
      <x:c r="E139" s="17"/>
      <x:c r="F139" s="16" t="str">
        <x:f>IF(A139="","",CHOOSE(MONTH(A139),"enero","febrero","marzo","abril","mayo","junio","julio","agosto","septiembre","octubre","noviembre","diciembre"))</x:f>
      </x:c>
    </x:row>
    <x:row r="140">
      <x:c r="A140" s="15"/>
      <x:c r="B140" s="16"/>
      <x:c r="C140" s="16"/>
      <x:c r="D140" s="16"/>
      <x:c r="E140" s="17"/>
      <x:c r="F140" s="16" t="str">
        <x:f>IF(A140="","",CHOOSE(MONTH(A140),"enero","febrero","marzo","abril","mayo","junio","julio","agosto","septiembre","octubre","noviembre","diciembre"))</x:f>
      </x:c>
    </x:row>
    <x:row r="141">
      <x:c r="A141" s="15"/>
      <x:c r="B141" s="16"/>
      <x:c r="C141" s="16"/>
      <x:c r="D141" s="16"/>
      <x:c r="E141" s="17"/>
      <x:c r="F141" s="16" t="str">
        <x:f>IF(A141="","",CHOOSE(MONTH(A141),"enero","febrero","marzo","abril","mayo","junio","julio","agosto","septiembre","octubre","noviembre","diciembre"))</x:f>
      </x:c>
    </x:row>
    <x:row r="142">
      <x:c r="A142" s="15"/>
      <x:c r="B142" s="16"/>
      <x:c r="C142" s="16"/>
      <x:c r="D142" s="16"/>
      <x:c r="E142" s="17"/>
      <x:c r="F142" s="16" t="str">
        <x:f>IF(A142="","",CHOOSE(MONTH(A142),"enero","febrero","marzo","abril","mayo","junio","julio","agosto","septiembre","octubre","noviembre","diciembre"))</x:f>
      </x:c>
    </x:row>
    <x:row r="143">
      <x:c r="A143" s="15"/>
      <x:c r="B143" s="16"/>
      <x:c r="C143" s="16"/>
      <x:c r="D143" s="16"/>
      <x:c r="E143" s="17"/>
      <x:c r="F143" s="16" t="str">
        <x:f>IF(A143="","",CHOOSE(MONTH(A143),"enero","febrero","marzo","abril","mayo","junio","julio","agosto","septiembre","octubre","noviembre","diciembre"))</x:f>
      </x:c>
    </x:row>
    <x:row r="144">
      <x:c r="A144" s="15"/>
      <x:c r="B144" s="16"/>
      <x:c r="C144" s="16"/>
      <x:c r="D144" s="16"/>
      <x:c r="E144" s="17"/>
      <x:c r="F144" s="16" t="str">
        <x:f>IF(A144="","",CHOOSE(MONTH(A144),"enero","febrero","marzo","abril","mayo","junio","julio","agosto","septiembre","octubre","noviembre","diciembre"))</x:f>
      </x:c>
    </x:row>
    <x:row r="145">
      <x:c r="A145" s="15"/>
      <x:c r="B145" s="16"/>
      <x:c r="C145" s="16"/>
      <x:c r="D145" s="16"/>
      <x:c r="E145" s="17"/>
      <x:c r="F145" s="16" t="str">
        <x:f>IF(A145="","",CHOOSE(MONTH(A145),"enero","febrero","marzo","abril","mayo","junio","julio","agosto","septiembre","octubre","noviembre","diciembre"))</x:f>
      </x:c>
    </x:row>
    <x:row r="146">
      <x:c r="A146" s="15"/>
      <x:c r="B146" s="16"/>
      <x:c r="C146" s="16"/>
      <x:c r="D146" s="16"/>
      <x:c r="E146" s="17"/>
      <x:c r="F146" s="16" t="str">
        <x:f>IF(A146="","",CHOOSE(MONTH(A146),"enero","febrero","marzo","abril","mayo","junio","julio","agosto","septiembre","octubre","noviembre","diciembre"))</x:f>
      </x:c>
    </x:row>
    <x:row r="147">
      <x:c r="A147" s="15"/>
      <x:c r="B147" s="16"/>
      <x:c r="C147" s="16"/>
      <x:c r="D147" s="16"/>
      <x:c r="E147" s="17"/>
      <x:c r="F147" s="16" t="str">
        <x:f>IF(A147="","",CHOOSE(MONTH(A147),"enero","febrero","marzo","abril","mayo","junio","julio","agosto","septiembre","octubre","noviembre","diciembre"))</x:f>
      </x:c>
    </x:row>
    <x:row r="148">
      <x:c r="A148" s="15"/>
      <x:c r="B148" s="16"/>
      <x:c r="C148" s="16"/>
      <x:c r="D148" s="16"/>
      <x:c r="E148" s="17"/>
      <x:c r="F148" s="16" t="str">
        <x:f>IF(A148="","",CHOOSE(MONTH(A148),"enero","febrero","marzo","abril","mayo","junio","julio","agosto","septiembre","octubre","noviembre","diciembre"))</x:f>
      </x:c>
    </x:row>
    <x:row r="149">
      <x:c r="A149" s="15"/>
      <x:c r="B149" s="16"/>
      <x:c r="C149" s="16"/>
      <x:c r="D149" s="16"/>
      <x:c r="E149" s="17"/>
      <x:c r="F149" s="16" t="str">
        <x:f>IF(A149="","",CHOOSE(MONTH(A149),"enero","febrero","marzo","abril","mayo","junio","julio","agosto","septiembre","octubre","noviembre","diciembre"))</x:f>
      </x:c>
    </x:row>
    <x:row r="150">
      <x:c r="A150" s="15"/>
      <x:c r="B150" s="16"/>
      <x:c r="C150" s="16"/>
      <x:c r="D150" s="16"/>
      <x:c r="E150" s="17"/>
      <x:c r="F150" s="16" t="str">
        <x:f>IF(A150="","",CHOOSE(MONTH(A150),"enero","febrero","marzo","abril","mayo","junio","julio","agosto","septiembre","octubre","noviembre","diciembre"))</x:f>
      </x:c>
    </x:row>
    <x:row r="151">
      <x:c r="A151" s="15"/>
      <x:c r="B151" s="16"/>
      <x:c r="C151" s="16"/>
      <x:c r="D151" s="16"/>
      <x:c r="E151" s="17"/>
      <x:c r="F151" s="16" t="str">
        <x:f>IF(A151="","",CHOOSE(MONTH(A151),"enero","febrero","marzo","abril","mayo","junio","julio","agosto","septiembre","octubre","noviembre","diciembre"))</x:f>
      </x:c>
    </x:row>
    <x:row r="152">
      <x:c r="A152" s="15"/>
      <x:c r="B152" s="16"/>
      <x:c r="C152" s="16"/>
      <x:c r="D152" s="16"/>
      <x:c r="E152" s="17"/>
      <x:c r="F152" s="16" t="str">
        <x:f>IF(A152="","",CHOOSE(MONTH(A152),"enero","febrero","marzo","abril","mayo","junio","julio","agosto","septiembre","octubre","noviembre","diciembre"))</x:f>
      </x:c>
    </x:row>
    <x:row r="153">
      <x:c r="A153" s="15"/>
      <x:c r="B153" s="16"/>
      <x:c r="C153" s="16"/>
      <x:c r="D153" s="16"/>
      <x:c r="E153" s="17"/>
      <x:c r="F153" s="16" t="str">
        <x:f>IF(A153="","",CHOOSE(MONTH(A153),"enero","febrero","marzo","abril","mayo","junio","julio","agosto","septiembre","octubre","noviembre","diciembre"))</x:f>
      </x:c>
    </x:row>
    <x:row r="154">
      <x:c r="A154" s="15"/>
      <x:c r="B154" s="16"/>
      <x:c r="C154" s="16"/>
      <x:c r="D154" s="16"/>
      <x:c r="E154" s="17"/>
      <x:c r="F154" s="16" t="str">
        <x:f>IF(A154="","",CHOOSE(MONTH(A154),"enero","febrero","marzo","abril","mayo","junio","julio","agosto","septiembre","octubre","noviembre","diciembre"))</x:f>
      </x:c>
    </x:row>
    <x:row r="155">
      <x:c r="A155" s="15"/>
      <x:c r="B155" s="16"/>
      <x:c r="C155" s="16"/>
      <x:c r="D155" s="16"/>
      <x:c r="E155" s="17"/>
      <x:c r="F155" s="16" t="str">
        <x:f>IF(A155="","",CHOOSE(MONTH(A155),"enero","febrero","marzo","abril","mayo","junio","julio","agosto","septiembre","octubre","noviembre","diciembre"))</x:f>
      </x:c>
    </x:row>
    <x:row r="156">
      <x:c r="A156" s="15"/>
      <x:c r="B156" s="16"/>
      <x:c r="C156" s="16"/>
      <x:c r="D156" s="16"/>
      <x:c r="E156" s="17"/>
      <x:c r="F156" s="16" t="str">
        <x:f>IF(A156="","",CHOOSE(MONTH(A156),"enero","febrero","marzo","abril","mayo","junio","julio","agosto","septiembre","octubre","noviembre","diciembre"))</x:f>
      </x:c>
    </x:row>
    <x:row r="157">
      <x:c r="A157" s="15"/>
      <x:c r="B157" s="16"/>
      <x:c r="C157" s="16"/>
      <x:c r="D157" s="16"/>
      <x:c r="E157" s="17"/>
      <x:c r="F157" s="16" t="str">
        <x:f>IF(A157="","",CHOOSE(MONTH(A157),"enero","febrero","marzo","abril","mayo","junio","julio","agosto","septiembre","octubre","noviembre","diciembre"))</x:f>
      </x:c>
    </x:row>
    <x:row r="158">
      <x:c r="A158" s="15"/>
      <x:c r="B158" s="16"/>
      <x:c r="C158" s="16"/>
      <x:c r="D158" s="16"/>
      <x:c r="E158" s="17"/>
      <x:c r="F158" s="16" t="str">
        <x:f>IF(A158="","",CHOOSE(MONTH(A158),"enero","febrero","marzo","abril","mayo","junio","julio","agosto","septiembre","octubre","noviembre","diciembre"))</x:f>
      </x:c>
    </x:row>
    <x:row r="159">
      <x:c r="A159" s="15"/>
      <x:c r="B159" s="16"/>
      <x:c r="C159" s="16"/>
      <x:c r="D159" s="16"/>
      <x:c r="E159" s="17"/>
      <x:c r="F159" s="16" t="str">
        <x:f>IF(A159="","",CHOOSE(MONTH(A159),"enero","febrero","marzo","abril","mayo","junio","julio","agosto","septiembre","octubre","noviembre","diciembre"))</x:f>
      </x:c>
    </x:row>
    <x:row r="160">
      <x:c r="A160" s="15"/>
      <x:c r="B160" s="16"/>
      <x:c r="C160" s="16"/>
      <x:c r="D160" s="16"/>
      <x:c r="E160" s="17"/>
      <x:c r="F160" s="16" t="str">
        <x:f>IF(A160="","",CHOOSE(MONTH(A160),"enero","febrero","marzo","abril","mayo","junio","julio","agosto","septiembre","octubre","noviembre","diciembre"))</x:f>
      </x:c>
    </x:row>
    <x:row r="161">
      <x:c r="A161" s="15"/>
      <x:c r="B161" s="16"/>
      <x:c r="C161" s="16"/>
      <x:c r="D161" s="16"/>
      <x:c r="E161" s="17"/>
      <x:c r="F161" s="16" t="str">
        <x:f>IF(A161="","",CHOOSE(MONTH(A161),"enero","febrero","marzo","abril","mayo","junio","julio","agosto","septiembre","octubre","noviembre","diciembre"))</x:f>
      </x:c>
    </x:row>
    <x:row r="162">
      <x:c r="A162" s="15"/>
      <x:c r="B162" s="16"/>
      <x:c r="C162" s="16"/>
      <x:c r="D162" s="16"/>
      <x:c r="E162" s="17"/>
      <x:c r="F162" s="16" t="str">
        <x:f>IF(A162="","",CHOOSE(MONTH(A162),"enero","febrero","marzo","abril","mayo","junio","julio","agosto","septiembre","octubre","noviembre","diciembre"))</x:f>
      </x:c>
    </x:row>
    <x:row r="163">
      <x:c r="A163" s="15"/>
      <x:c r="B163" s="16"/>
      <x:c r="C163" s="16"/>
      <x:c r="D163" s="16"/>
      <x:c r="E163" s="17"/>
      <x:c r="F163" s="16" t="str">
        <x:f>IF(A163="","",CHOOSE(MONTH(A163),"enero","febrero","marzo","abril","mayo","junio","julio","agosto","septiembre","octubre","noviembre","diciembre"))</x:f>
      </x:c>
    </x:row>
    <x:row r="164">
      <x:c r="A164" s="15"/>
      <x:c r="B164" s="16"/>
      <x:c r="C164" s="16"/>
      <x:c r="D164" s="16"/>
      <x:c r="E164" s="17"/>
      <x:c r="F164" s="16" t="str">
        <x:f>IF(A164="","",CHOOSE(MONTH(A164),"enero","febrero","marzo","abril","mayo","junio","julio","agosto","septiembre","octubre","noviembre","diciembre"))</x:f>
      </x:c>
    </x:row>
    <x:row r="165">
      <x:c r="A165" s="15"/>
      <x:c r="B165" s="16"/>
      <x:c r="C165" s="16"/>
      <x:c r="D165" s="16"/>
      <x:c r="E165" s="17"/>
      <x:c r="F165" s="16" t="str">
        <x:f>IF(A165="","",CHOOSE(MONTH(A165),"enero","febrero","marzo","abril","mayo","junio","julio","agosto","septiembre","octubre","noviembre","diciembre"))</x:f>
      </x:c>
    </x:row>
    <x:row r="166">
      <x:c r="A166" s="15"/>
      <x:c r="B166" s="16"/>
      <x:c r="C166" s="16"/>
      <x:c r="D166" s="16"/>
      <x:c r="E166" s="17"/>
      <x:c r="F166" s="16" t="str">
        <x:f>IF(A166="","",CHOOSE(MONTH(A166),"enero","febrero","marzo","abril","mayo","junio","julio","agosto","septiembre","octubre","noviembre","diciembre"))</x:f>
      </x:c>
    </x:row>
    <x:row r="167">
      <x:c r="A167" s="15"/>
      <x:c r="B167" s="16"/>
      <x:c r="C167" s="16"/>
      <x:c r="D167" s="16"/>
      <x:c r="E167" s="17"/>
      <x:c r="F167" s="16" t="str">
        <x:f>IF(A167="","",CHOOSE(MONTH(A167),"enero","febrero","marzo","abril","mayo","junio","julio","agosto","septiembre","octubre","noviembre","diciembre"))</x:f>
      </x:c>
    </x:row>
    <x:row r="168">
      <x:c r="A168" s="15"/>
      <x:c r="B168" s="16"/>
      <x:c r="C168" s="16"/>
      <x:c r="D168" s="16"/>
      <x:c r="E168" s="17"/>
      <x:c r="F168" s="16" t="str">
        <x:f>IF(A168="","",CHOOSE(MONTH(A168),"enero","febrero","marzo","abril","mayo","junio","julio","agosto","septiembre","octubre","noviembre","diciembre"))</x:f>
      </x:c>
    </x:row>
    <x:row r="169">
      <x:c r="A169" s="15"/>
      <x:c r="B169" s="16"/>
      <x:c r="C169" s="16"/>
      <x:c r="D169" s="16"/>
      <x:c r="E169" s="17"/>
      <x:c r="F169" s="16" t="str">
        <x:f>IF(A169="","",CHOOSE(MONTH(A169),"enero","febrero","marzo","abril","mayo","junio","julio","agosto","septiembre","octubre","noviembre","diciembre"))</x:f>
      </x:c>
    </x:row>
    <x:row r="170">
      <x:c r="A170" s="15"/>
      <x:c r="B170" s="16"/>
      <x:c r="C170" s="16"/>
      <x:c r="D170" s="16"/>
      <x:c r="E170" s="17"/>
      <x:c r="F170" s="16" t="str">
        <x:f>IF(A170="","",CHOOSE(MONTH(A170),"enero","febrero","marzo","abril","mayo","junio","julio","agosto","septiembre","octubre","noviembre","diciembre"))</x:f>
      </x:c>
    </x:row>
    <x:row r="171">
      <x:c r="A171" s="15"/>
      <x:c r="B171" s="16"/>
      <x:c r="C171" s="16"/>
      <x:c r="D171" s="16"/>
      <x:c r="E171" s="17"/>
      <x:c r="F171" s="16" t="str">
        <x:f>IF(A171="","",CHOOSE(MONTH(A171),"enero","febrero","marzo","abril","mayo","junio","julio","agosto","septiembre","octubre","noviembre","diciembre"))</x:f>
      </x:c>
    </x:row>
    <x:row r="172">
      <x:c r="A172" s="15"/>
      <x:c r="B172" s="16"/>
      <x:c r="C172" s="16"/>
      <x:c r="D172" s="16"/>
      <x:c r="E172" s="17"/>
      <x:c r="F172" s="16" t="str">
        <x:f>IF(A172="","",CHOOSE(MONTH(A172),"enero","febrero","marzo","abril","mayo","junio","julio","agosto","septiembre","octubre","noviembre","diciembre"))</x:f>
      </x:c>
    </x:row>
    <x:row r="173">
      <x:c r="A173" s="15"/>
      <x:c r="B173" s="16"/>
      <x:c r="C173" s="16"/>
      <x:c r="D173" s="16"/>
      <x:c r="E173" s="17"/>
      <x:c r="F173" s="16" t="str">
        <x:f>IF(A173="","",CHOOSE(MONTH(A173),"enero","febrero","marzo","abril","mayo","junio","julio","agosto","septiembre","octubre","noviembre","diciembre"))</x:f>
      </x:c>
    </x:row>
    <x:row r="174">
      <x:c r="A174" s="15"/>
      <x:c r="B174" s="16"/>
      <x:c r="C174" s="16"/>
      <x:c r="D174" s="16"/>
      <x:c r="E174" s="17"/>
      <x:c r="F174" s="16" t="str">
        <x:f>IF(A174="","",CHOOSE(MONTH(A174),"enero","febrero","marzo","abril","mayo","junio","julio","agosto","septiembre","octubre","noviembre","diciembre"))</x:f>
      </x:c>
    </x:row>
    <x:row r="175">
      <x:c r="A175" s="15"/>
      <x:c r="B175" s="16"/>
      <x:c r="C175" s="16"/>
      <x:c r="D175" s="16"/>
      <x:c r="E175" s="17"/>
      <x:c r="F175" s="16" t="str">
        <x:f>IF(A175="","",CHOOSE(MONTH(A175),"enero","febrero","marzo","abril","mayo","junio","julio","agosto","septiembre","octubre","noviembre","diciembre"))</x:f>
      </x:c>
    </x:row>
    <x:row r="176">
      <x:c r="A176" s="15"/>
      <x:c r="B176" s="16"/>
      <x:c r="C176" s="16"/>
      <x:c r="D176" s="16"/>
      <x:c r="E176" s="17"/>
      <x:c r="F176" s="16" t="str">
        <x:f>IF(A176="","",CHOOSE(MONTH(A176),"enero","febrero","marzo","abril","mayo","junio","julio","agosto","septiembre","octubre","noviembre","diciembre"))</x:f>
      </x:c>
    </x:row>
    <x:row r="177">
      <x:c r="A177" s="15"/>
      <x:c r="B177" s="16"/>
      <x:c r="C177" s="16"/>
      <x:c r="D177" s="16"/>
      <x:c r="E177" s="17"/>
      <x:c r="F177" s="16" t="str">
        <x:f>IF(A177="","",CHOOSE(MONTH(A177),"enero","febrero","marzo","abril","mayo","junio","julio","agosto","septiembre","octubre","noviembre","diciembre"))</x:f>
      </x:c>
    </x:row>
    <x:row r="178">
      <x:c r="A178" s="15"/>
      <x:c r="B178" s="16"/>
      <x:c r="C178" s="16"/>
      <x:c r="D178" s="16"/>
      <x:c r="E178" s="17"/>
      <x:c r="F178" s="16" t="str">
        <x:f>IF(A178="","",CHOOSE(MONTH(A178),"enero","febrero","marzo","abril","mayo","junio","julio","agosto","septiembre","octubre","noviembre","diciembre"))</x:f>
      </x:c>
    </x:row>
    <x:row r="179">
      <x:c r="A179" s="15"/>
      <x:c r="B179" s="16"/>
      <x:c r="C179" s="16"/>
      <x:c r="D179" s="16"/>
      <x:c r="E179" s="17"/>
      <x:c r="F179" s="16" t="str">
        <x:f>IF(A179="","",CHOOSE(MONTH(A179),"enero","febrero","marzo","abril","mayo","junio","julio","agosto","septiembre","octubre","noviembre","diciembre"))</x:f>
      </x:c>
    </x:row>
    <x:row r="180">
      <x:c r="A180" s="15"/>
      <x:c r="B180" s="16"/>
      <x:c r="C180" s="16"/>
      <x:c r="D180" s="16"/>
      <x:c r="E180" s="17"/>
      <x:c r="F180" s="16" t="str">
        <x:f>IF(A180="","",CHOOSE(MONTH(A180),"enero","febrero","marzo","abril","mayo","junio","julio","agosto","septiembre","octubre","noviembre","diciembre"))</x:f>
      </x:c>
    </x:row>
    <x:row r="181">
      <x:c r="A181" s="15"/>
      <x:c r="B181" s="16"/>
      <x:c r="C181" s="16"/>
      <x:c r="D181" s="16"/>
      <x:c r="E181" s="17"/>
      <x:c r="F181" s="16" t="str">
        <x:f>IF(A181="","",CHOOSE(MONTH(A181),"enero","febrero","marzo","abril","mayo","junio","julio","agosto","septiembre","octubre","noviembre","diciembre"))</x:f>
      </x:c>
    </x:row>
    <x:row r="182">
      <x:c r="A182" s="15"/>
      <x:c r="B182" s="16"/>
      <x:c r="C182" s="16"/>
      <x:c r="D182" s="16"/>
      <x:c r="E182" s="17"/>
      <x:c r="F182" s="16" t="str">
        <x:f>IF(A182="","",CHOOSE(MONTH(A182),"enero","febrero","marzo","abril","mayo","junio","julio","agosto","septiembre","octubre","noviembre","diciembre"))</x:f>
      </x:c>
    </x:row>
    <x:row r="183">
      <x:c r="A183" s="15"/>
      <x:c r="B183" s="16"/>
      <x:c r="C183" s="16"/>
      <x:c r="D183" s="16"/>
      <x:c r="E183" s="17"/>
      <x:c r="F183" s="16" t="str">
        <x:f>IF(A183="","",CHOOSE(MONTH(A183),"enero","febrero","marzo","abril","mayo","junio","julio","agosto","septiembre","octubre","noviembre","diciembre"))</x:f>
      </x:c>
    </x:row>
    <x:row r="184">
      <x:c r="A184" s="15"/>
      <x:c r="B184" s="16"/>
      <x:c r="C184" s="16"/>
      <x:c r="D184" s="16"/>
      <x:c r="E184" s="17"/>
      <x:c r="F184" s="16" t="str">
        <x:f>IF(A184="","",CHOOSE(MONTH(A184),"enero","febrero","marzo","abril","mayo","junio","julio","agosto","septiembre","octubre","noviembre","diciembre"))</x:f>
      </x:c>
    </x:row>
    <x:row r="185">
      <x:c r="A185" s="15"/>
      <x:c r="B185" s="16"/>
      <x:c r="C185" s="16"/>
      <x:c r="D185" s="16"/>
      <x:c r="E185" s="17"/>
      <x:c r="F185" s="16" t="str">
        <x:f>IF(A185="","",CHOOSE(MONTH(A185),"enero","febrero","marzo","abril","mayo","junio","julio","agosto","septiembre","octubre","noviembre","diciembre"))</x:f>
      </x:c>
    </x:row>
    <x:row r="186">
      <x:c r="A186" s="15"/>
      <x:c r="B186" s="16"/>
      <x:c r="C186" s="16"/>
      <x:c r="D186" s="16"/>
      <x:c r="E186" s="17"/>
      <x:c r="F186" s="16" t="str">
        <x:f>IF(A186="","",CHOOSE(MONTH(A186),"enero","febrero","marzo","abril","mayo","junio","julio","agosto","septiembre","octubre","noviembre","diciembre"))</x:f>
      </x:c>
    </x:row>
    <x:row r="187">
      <x:c r="A187" s="15"/>
      <x:c r="B187" s="16"/>
      <x:c r="C187" s="16"/>
      <x:c r="D187" s="16"/>
      <x:c r="E187" s="17"/>
      <x:c r="F187" s="16" t="str">
        <x:f>IF(A187="","",CHOOSE(MONTH(A187),"enero","febrero","marzo","abril","mayo","junio","julio","agosto","septiembre","octubre","noviembre","diciembre"))</x:f>
      </x:c>
    </x:row>
    <x:row r="188">
      <x:c r="A188" s="15"/>
      <x:c r="B188" s="16"/>
      <x:c r="C188" s="16"/>
      <x:c r="D188" s="16"/>
      <x:c r="E188" s="17"/>
      <x:c r="F188" s="16" t="str">
        <x:f>IF(A188="","",CHOOSE(MONTH(A188),"enero","febrero","marzo","abril","mayo","junio","julio","agosto","septiembre","octubre","noviembre","diciembre"))</x:f>
      </x:c>
    </x:row>
    <x:row r="189">
      <x:c r="A189" s="15"/>
      <x:c r="B189" s="16"/>
      <x:c r="C189" s="16"/>
      <x:c r="D189" s="16"/>
      <x:c r="E189" s="17"/>
      <x:c r="F189" s="16" t="str">
        <x:f>IF(A189="","",CHOOSE(MONTH(A189),"enero","febrero","marzo","abril","mayo","junio","julio","agosto","septiembre","octubre","noviembre","diciembre"))</x:f>
      </x:c>
    </x:row>
    <x:row r="190">
      <x:c r="A190" s="15"/>
      <x:c r="B190" s="16"/>
      <x:c r="C190" s="16"/>
      <x:c r="D190" s="16"/>
      <x:c r="E190" s="17"/>
      <x:c r="F190" s="16" t="str">
        <x:f>IF(A190="","",CHOOSE(MONTH(A190),"enero","febrero","marzo","abril","mayo","junio","julio","agosto","septiembre","octubre","noviembre","diciembre"))</x:f>
      </x:c>
    </x:row>
    <x:row r="191">
      <x:c r="A191" s="15"/>
      <x:c r="B191" s="16"/>
      <x:c r="C191" s="16"/>
      <x:c r="D191" s="16"/>
      <x:c r="E191" s="17"/>
      <x:c r="F191" s="16" t="str">
        <x:f>IF(A191="","",CHOOSE(MONTH(A191),"enero","febrero","marzo","abril","mayo","junio","julio","agosto","septiembre","octubre","noviembre","diciembre"))</x:f>
      </x:c>
    </x:row>
    <x:row r="192">
      <x:c r="A192" s="15"/>
      <x:c r="B192" s="16"/>
      <x:c r="C192" s="16"/>
      <x:c r="D192" s="16"/>
      <x:c r="E192" s="17"/>
      <x:c r="F192" s="16" t="str">
        <x:f>IF(A192="","",CHOOSE(MONTH(A192),"enero","febrero","marzo","abril","mayo","junio","julio","agosto","septiembre","octubre","noviembre","diciembre"))</x:f>
      </x:c>
    </x:row>
    <x:row r="193">
      <x:c r="A193" s="15"/>
      <x:c r="B193" s="16"/>
      <x:c r="C193" s="16"/>
      <x:c r="D193" s="16"/>
      <x:c r="E193" s="17"/>
      <x:c r="F193" s="16" t="str">
        <x:f>IF(A193="","",CHOOSE(MONTH(A193),"enero","febrero","marzo","abril","mayo","junio","julio","agosto","septiembre","octubre","noviembre","diciembre"))</x:f>
      </x:c>
    </x:row>
    <x:row r="194">
      <x:c r="A194" s="15"/>
      <x:c r="B194" s="16"/>
      <x:c r="C194" s="16"/>
      <x:c r="D194" s="16"/>
      <x:c r="E194" s="17"/>
      <x:c r="F194" s="16" t="str">
        <x:f>IF(A194="","",CHOOSE(MONTH(A194),"enero","febrero","marzo","abril","mayo","junio","julio","agosto","septiembre","octubre","noviembre","diciembre"))</x:f>
      </x:c>
    </x:row>
    <x:row r="195">
      <x:c r="A195" s="15"/>
      <x:c r="B195" s="16"/>
      <x:c r="C195" s="16"/>
      <x:c r="D195" s="16"/>
      <x:c r="E195" s="17"/>
      <x:c r="F195" s="16" t="str">
        <x:f>IF(A195="","",CHOOSE(MONTH(A195),"enero","febrero","marzo","abril","mayo","junio","julio","agosto","septiembre","octubre","noviembre","diciembre"))</x:f>
      </x:c>
    </x:row>
    <x:row r="196">
      <x:c r="A196" s="15"/>
      <x:c r="B196" s="16"/>
      <x:c r="C196" s="16"/>
      <x:c r="D196" s="16"/>
      <x:c r="E196" s="17"/>
      <x:c r="F196" s="16" t="str">
        <x:f>IF(A196="","",CHOOSE(MONTH(A196),"enero","febrero","marzo","abril","mayo","junio","julio","agosto","septiembre","octubre","noviembre","diciembre"))</x:f>
      </x:c>
    </x:row>
    <x:row r="197">
      <x:c r="A197" s="15"/>
      <x:c r="B197" s="16"/>
      <x:c r="C197" s="16"/>
      <x:c r="D197" s="16"/>
      <x:c r="E197" s="17"/>
      <x:c r="F197" s="16" t="str">
        <x:f>IF(A197="","",CHOOSE(MONTH(A197),"enero","febrero","marzo","abril","mayo","junio","julio","agosto","septiembre","octubre","noviembre","diciembre"))</x:f>
      </x:c>
    </x:row>
    <x:row r="198">
      <x:c r="A198" s="15"/>
      <x:c r="B198" s="16"/>
      <x:c r="C198" s="16"/>
      <x:c r="D198" s="16"/>
      <x:c r="E198" s="17"/>
      <x:c r="F198" s="16" t="str">
        <x:f>IF(A198="","",CHOOSE(MONTH(A198),"enero","febrero","marzo","abril","mayo","junio","julio","agosto","septiembre","octubre","noviembre","diciembre"))</x:f>
      </x:c>
    </x:row>
    <x:row r="199">
      <x:c r="A199" s="15"/>
      <x:c r="B199" s="16"/>
      <x:c r="C199" s="16"/>
      <x:c r="D199" s="16"/>
      <x:c r="E199" s="17"/>
      <x:c r="F199" s="16" t="str">
        <x:f>IF(A199="","",CHOOSE(MONTH(A199),"enero","febrero","marzo","abril","mayo","junio","julio","agosto","septiembre","octubre","noviembre","diciembre"))</x:f>
      </x:c>
    </x:row>
    <x:row r="200">
      <x:c r="A200" s="15"/>
      <x:c r="B200" s="16"/>
      <x:c r="C200" s="16"/>
      <x:c r="D200" s="16"/>
      <x:c r="E200" s="17"/>
      <x:c r="F200" s="16" t="str">
        <x:f>IF(A200="","",CHOOSE(MONTH(A200),"enero","febrero","marzo","abril","mayo","junio","julio","agosto","septiembre","octubre","noviembre","diciembre"))</x:f>
      </x:c>
    </x:row>
    <x:row r="201">
      <x:c r="A201" s="15"/>
      <x:c r="B201" s="16"/>
      <x:c r="C201" s="16"/>
      <x:c r="D201" s="16"/>
      <x:c r="E201" s="17"/>
      <x:c r="F201" s="16" t="str">
        <x:f>IF(A201="","",CHOOSE(MONTH(A201),"enero","febrero","marzo","abril","mayo","junio","julio","agosto","septiembre","octubre","noviembre","diciembre"))</x:f>
      </x:c>
    </x:row>
    <x:row r="202">
      <x:c r="A202" s="15"/>
      <x:c r="B202" s="16"/>
      <x:c r="C202" s="16"/>
      <x:c r="D202" s="16"/>
      <x:c r="E202" s="17"/>
      <x:c r="F202" s="16" t="str">
        <x:f>IF(A202="","",CHOOSE(MONTH(A202),"enero","febrero","marzo","abril","mayo","junio","julio","agosto","septiembre","octubre","noviembre","diciembre"))</x:f>
      </x:c>
    </x:row>
    <x:row r="203">
      <x:c r="A203" s="15"/>
      <x:c r="B203" s="16"/>
      <x:c r="C203" s="16"/>
      <x:c r="D203" s="16"/>
      <x:c r="E203" s="17"/>
      <x:c r="F203" s="16" t="str">
        <x:f>IF(A203="","",CHOOSE(MONTH(A203),"enero","febrero","marzo","abril","mayo","junio","julio","agosto","septiembre","octubre","noviembre","diciembre"))</x:f>
      </x:c>
    </x:row>
    <x:row r="204">
      <x:c r="A204" s="15"/>
      <x:c r="B204" s="16"/>
      <x:c r="C204" s="16"/>
      <x:c r="D204" s="16"/>
      <x:c r="E204" s="17"/>
      <x:c r="F204" s="16" t="str">
        <x:f>IF(A204="","",CHOOSE(MONTH(A204),"enero","febrero","marzo","abril","mayo","junio","julio","agosto","septiembre","octubre","noviembre","diciembre"))</x:f>
      </x:c>
    </x:row>
  </x:sheetData>
  <x:mergeCells>
    <x:mergeCell ref="A1:F2"/>
  </x:mergeCells>
  <x:dataValidations count="2">
    <x:dataValidation type="list" sqref="B5:B204">
      <x:formula1>"Ingreso,Gasto"</x:formula1>
    </x:dataValidation>
    <x:dataValidation type="list" sqref="C5:C204">
      <x:formula1>"Mercado,Transporte,Comidas,Entretenimiento,Salud,Mascotas,Ropa,Otros"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fbd2ebb95941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4.380000114440918" hidden="0" customWidth="1"/>
    <x:col min="3" max="3" width="13.130000114440918" hidden="0" customWidth="1"/>
    <x:col min="4" max="4" width="18.1299991607666" hidden="0" customWidth="1"/>
    <x:col min="5" max="5" width="15.630000114440918" hidden="0" customWidth="1"/>
    <x:col min="6" max="6" width="15" hidden="0" customWidth="1"/>
  </x:cols>
  <x:sheetData>
    <x:row r="1" ht="25.5" customHeight="1">
      <x:c r="A1" s="5" t="str">
        <x:v>Gastos Fijos
Pagos recurrentes separados de tus gastos variables.</x:v>
      </x:c>
      <x:c r="B1" s="5"/>
      <x:c r="C1" s="5"/>
      <x:c r="D1" s="5"/>
      <x:c r="E1" s="5"/>
      <x:c r="F1" s="5"/>
    </x:row>
    <x:row r="2" ht="25.5" customHeight="1">
      <x:c r="A2" s="5"/>
      <x:c r="B2" s="5"/>
      <x:c r="C2" s="5"/>
      <x:c r="D2" s="5"/>
      <x:c r="E2" s="5"/>
      <x:c r="F2" s="5"/>
    </x:row>
    <x:row r="3" ht="16.5" customHeight="1"/>
    <x:row r="4" ht="19.5" customHeight="1">
      <x:c r="A4" s="9" t="str">
        <x:v>Concepto</x:v>
      </x:c>
      <x:c r="B4" s="9" t="str">
        <x:v>Monto</x:v>
      </x:c>
      <x:c r="C4" s="9" t="str">
        <x:v>Día de pago</x:v>
      </x:c>
      <x:c r="D4" s="9" t="str">
        <x:v>Fecha de vencimiento</x:v>
      </x:c>
      <x:c r="E4" s="9" t="str">
        <x:v>Días restantes</x:v>
      </x:c>
      <x:c r="F4" s="9" t="str">
        <x:v>Estado</x:v>
      </x:c>
    </x:row>
    <x:row r="5" ht="16.5" customHeight="1">
      <x:c r="A5" s="16" t="str">
        <x:v>Renta</x:v>
      </x:c>
      <x:c r="B5" s="17" t="n">
        <x:v>850</x:v>
      </x:c>
      <x:c r="C5" s="16" t="n">
        <x:v>1</x:v>
      </x:c>
      <x:c r="D5" s="15" t="n">
        <x:v>46174</x:v>
      </x:c>
      <x:c r="E5" s="16" t="n">
        <x:f>IF(D5="","",D5-TODAY())</x:f>
        <x:v>-6</x:v>
      </x:c>
      <x:c r="F5" s="16" t="str">
        <x:f>IF(A5="","",IF(E5&lt;5,"Urgente",IF(E5&lt;=10,"Próximo","OK")))</x:f>
        <x:v>Urgente</x:v>
      </x:c>
    </x:row>
    <x:row r="6" ht="16.5" customHeight="1">
      <x:c r="A6" s="16" t="str">
        <x:v>Internet</x:v>
      </x:c>
      <x:c r="B6" s="17" t="n">
        <x:v>45</x:v>
      </x:c>
      <x:c r="C6" s="16" t="n">
        <x:v>10</x:v>
      </x:c>
      <x:c r="D6" s="15" t="n">
        <x:v>46183</x:v>
      </x:c>
      <x:c r="E6" s="16" t="n">
        <x:f>IF(D6="","",D6-TODAY())</x:f>
        <x:v>3</x:v>
      </x:c>
      <x:c r="F6" s="16" t="str">
        <x:f>IF(A6="","",IF(E6&lt;5,"Urgente",IF(E6&lt;=10,"Próximo","OK")))</x:f>
        <x:v>Urgente</x:v>
      </x:c>
    </x:row>
    <x:row r="7" ht="16.5" customHeight="1">
      <x:c r="A7" s="16" t="str">
        <x:v>Teléfono</x:v>
      </x:c>
      <x:c r="B7" s="17" t="n">
        <x:v>30</x:v>
      </x:c>
      <x:c r="C7" s="16" t="n">
        <x:v>15</x:v>
      </x:c>
      <x:c r="D7" s="15" t="n">
        <x:v>46188</x:v>
      </x:c>
      <x:c r="E7" s="16" t="n">
        <x:f>IF(D7="","",D7-TODAY())</x:f>
        <x:v>8</x:v>
      </x:c>
      <x:c r="F7" s="16" t="str">
        <x:f>IF(A7="","",IF(E7&lt;5,"Urgente",IF(E7&lt;=10,"Próximo","OK")))</x:f>
        <x:v>Próximo</x:v>
      </x:c>
    </x:row>
    <x:row r="8" ht="16.5" customHeight="1">
      <x:c r="A8" s="16" t="str">
        <x:v>Gimnasio</x:v>
      </x:c>
      <x:c r="B8" s="17" t="n">
        <x:v>35</x:v>
      </x:c>
      <x:c r="C8" s="16" t="n">
        <x:v>20</x:v>
      </x:c>
      <x:c r="D8" s="15" t="n">
        <x:v>46193</x:v>
      </x:c>
      <x:c r="E8" s="16" t="n">
        <x:f>IF(D8="","",D8-TODAY())</x:f>
        <x:v>13</x:v>
      </x:c>
      <x:c r="F8" s="16" t="str">
        <x:f>IF(A8="","",IF(E8&lt;5,"Urgente",IF(E8&lt;=10,"Próximo","OK")))</x:f>
        <x:v>OK</x:v>
      </x:c>
    </x:row>
    <x:row r="9" ht="16.5" customHeight="1">
      <x:c r="A9" s="16" t="str">
        <x:v>Streaming</x:v>
      </x:c>
      <x:c r="B9" s="17" t="n">
        <x:v>18</x:v>
      </x:c>
      <x:c r="C9" s="16" t="n">
        <x:v>22</x:v>
      </x:c>
      <x:c r="D9" s="15" t="n">
        <x:v>46195</x:v>
      </x:c>
      <x:c r="E9" s="16" t="n">
        <x:f>IF(D9="","",D9-TODAY())</x:f>
        <x:v>15</x:v>
      </x:c>
      <x:c r="F9" s="16" t="str">
        <x:f>IF(A9="","",IF(E9&lt;5,"Urgente",IF(E9&lt;=10,"Próximo","OK")))</x:f>
        <x:v>OK</x:v>
      </x:c>
    </x:row>
    <x:row r="10" ht="16.5" customHeight="1">
      <x:c r="A10" s="16" t="str">
        <x:v>Seguro</x:v>
      </x:c>
      <x:c r="B10" s="17" t="n">
        <x:v>120</x:v>
      </x:c>
      <x:c r="C10" s="16" t="n">
        <x:v>25</x:v>
      </x:c>
      <x:c r="D10" s="15" t="n">
        <x:v>46198</x:v>
      </x:c>
      <x:c r="E10" s="16" t="n">
        <x:f>IF(D10="","",D10-TODAY())</x:f>
        <x:v>18</x:v>
      </x:c>
      <x:c r="F10" s="16" t="str">
        <x:f>IF(A10="","",IF(E10&lt;5,"Urgente",IF(E10&lt;=10,"Próximo","OK")))</x:f>
        <x:v>OK</x:v>
      </x:c>
    </x:row>
    <x:row r="11" ht="16.5" customHeight="1">
      <x:c r="A11" s="16" t="str">
        <x:v>Agua</x:v>
      </x:c>
      <x:c r="B11" s="17" t="n">
        <x:v>28</x:v>
      </x:c>
      <x:c r="C11" s="16" t="n">
        <x:v>28</x:v>
      </x:c>
      <x:c r="D11" s="15" t="n">
        <x:v>46201</x:v>
      </x:c>
      <x:c r="E11" s="16" t="n">
        <x:f>IF(D11="","",D11-TODAY())</x:f>
        <x:v>21</x:v>
      </x:c>
      <x:c r="F11" s="16" t="str">
        <x:f>IF(A11="","",IF(E11&lt;5,"Urgente",IF(E11&lt;=10,"Próximo","OK")))</x:f>
        <x:v>OK</x:v>
      </x:c>
    </x:row>
    <x:row r="12" ht="16.5" customHeight="1">
      <x:c r="A12" s="16" t="str">
        <x:v>Electricidad</x:v>
      </x:c>
      <x:c r="B12" s="17" t="n">
        <x:v>65</x:v>
      </x:c>
      <x:c r="C12" s="16" t="n">
        <x:v>30</x:v>
      </x:c>
      <x:c r="D12" s="15" t="n">
        <x:v>46203</x:v>
      </x:c>
      <x:c r="E12" s="16" t="n">
        <x:f>IF(D12="","",D12-TODAY())</x:f>
        <x:v>23</x:v>
      </x:c>
      <x:c r="F12" s="16" t="str">
        <x:f>IF(A12="","",IF(E12&lt;5,"Urgente",IF(E12&lt;=10,"Próximo","OK")))</x:f>
        <x:v>OK</x:v>
      </x:c>
    </x:row>
    <x:row r="13" ht="16.5" customHeight="1">
      <x:c r="A13" s="16"/>
      <x:c r="B13" s="17"/>
      <x:c r="C13" s="16"/>
      <x:c r="D13" s="15"/>
      <x:c r="E13" s="16" t="str">
        <x:f>IF(D13="","",D13-TODAY())</x:f>
      </x:c>
      <x:c r="F13" s="16" t="str">
        <x:f>IF(A13="","",IF(E13&lt;5,"Urgente",IF(E13&lt;=10,"Próximo","OK")))</x:f>
      </x:c>
    </x:row>
    <x:row r="14" ht="16.5" customHeight="1">
      <x:c r="A14" s="16"/>
      <x:c r="B14" s="17"/>
      <x:c r="C14" s="16"/>
      <x:c r="D14" s="15"/>
      <x:c r="E14" s="16" t="str">
        <x:f>IF(D14="","",D14-TODAY())</x:f>
      </x:c>
      <x:c r="F14" s="16" t="str">
        <x:f>IF(A14="","",IF(E14&lt;5,"Urgente",IF(E14&lt;=10,"Próximo","OK")))</x:f>
      </x:c>
    </x:row>
    <x:row r="15" ht="16.5" customHeight="1">
      <x:c r="A15" s="16"/>
      <x:c r="B15" s="17"/>
      <x:c r="C15" s="16"/>
      <x:c r="D15" s="15"/>
      <x:c r="E15" s="16" t="str">
        <x:f>IF(D15="","",D15-TODAY())</x:f>
      </x:c>
      <x:c r="F15" s="16" t="str">
        <x:f>IF(A15="","",IF(E15&lt;5,"Urgente",IF(E15&lt;=10,"Próximo","OK")))</x:f>
      </x:c>
    </x:row>
    <x:row r="16" ht="16.5" customHeight="1">
      <x:c r="A16" s="16"/>
      <x:c r="B16" s="17"/>
      <x:c r="C16" s="16"/>
      <x:c r="D16" s="15"/>
      <x:c r="E16" s="16" t="str">
        <x:f>IF(D16="","",D16-TODAY())</x:f>
      </x:c>
      <x:c r="F16" s="16" t="str">
        <x:f>IF(A16="","",IF(E16&lt;5,"Urgente",IF(E16&lt;=10,"Próximo","OK")))</x:f>
      </x:c>
    </x:row>
    <x:row r="17" ht="16.5" customHeight="1">
      <x:c r="A17" s="16"/>
      <x:c r="B17" s="17"/>
      <x:c r="C17" s="16"/>
      <x:c r="D17" s="15"/>
      <x:c r="E17" s="16" t="str">
        <x:f>IF(D17="","",D17-TODAY())</x:f>
      </x:c>
      <x:c r="F17" s="16" t="str">
        <x:f>IF(A17="","",IF(E17&lt;5,"Urgente",IF(E17&lt;=10,"Próximo","OK")))</x:f>
      </x:c>
    </x:row>
    <x:row r="18" ht="16.5" customHeight="1">
      <x:c r="A18" s="16"/>
      <x:c r="B18" s="17"/>
      <x:c r="C18" s="16"/>
      <x:c r="D18" s="15"/>
      <x:c r="E18" s="16" t="str">
        <x:f>IF(D18="","",D18-TODAY())</x:f>
      </x:c>
      <x:c r="F18" s="16" t="str">
        <x:f>IF(A18="","",IF(E18&lt;5,"Urgente",IF(E18&lt;=10,"Próximo","OK")))</x:f>
      </x:c>
    </x:row>
    <x:row r="19" ht="16.5" customHeight="1">
      <x:c r="A19" s="16"/>
      <x:c r="B19" s="17"/>
      <x:c r="C19" s="16"/>
      <x:c r="D19" s="15"/>
      <x:c r="E19" s="16" t="str">
        <x:f>IF(D19="","",D19-TODAY())</x:f>
      </x:c>
      <x:c r="F19" s="16" t="str">
        <x:f>IF(A19="","",IF(E19&lt;5,"Urgente",IF(E19&lt;=10,"Próximo","OK")))</x:f>
      </x:c>
    </x:row>
    <x:row r="20" ht="16.5" customHeight="1">
      <x:c r="A20" s="16"/>
      <x:c r="B20" s="17"/>
      <x:c r="C20" s="16"/>
      <x:c r="D20" s="15"/>
      <x:c r="E20" s="16" t="str">
        <x:f>IF(D20="","",D20-TODAY())</x:f>
      </x:c>
      <x:c r="F20" s="16" t="str">
        <x:f>IF(A20="","",IF(E20&lt;5,"Urgente",IF(E20&lt;=10,"Próximo","OK")))</x:f>
      </x:c>
    </x:row>
    <x:row r="21" ht="16.5" customHeight="1">
      <x:c r="A21" s="16"/>
      <x:c r="B21" s="17"/>
      <x:c r="C21" s="16"/>
      <x:c r="D21" s="15"/>
      <x:c r="E21" s="16" t="str">
        <x:f>IF(D21="","",D21-TODAY())</x:f>
      </x:c>
      <x:c r="F21" s="16" t="str">
        <x:f>IF(A21="","",IF(E21&lt;5,"Urgente",IF(E21&lt;=10,"Próximo","OK")))</x:f>
      </x:c>
    </x:row>
    <x:row r="22" ht="16.5" customHeight="1">
      <x:c r="A22" s="16"/>
      <x:c r="B22" s="17"/>
      <x:c r="C22" s="16"/>
      <x:c r="D22" s="15"/>
      <x:c r="E22" s="16" t="str">
        <x:f>IF(D22="","",D22-TODAY())</x:f>
      </x:c>
      <x:c r="F22" s="16" t="str">
        <x:f>IF(A22="","",IF(E22&lt;5,"Urgente",IF(E22&lt;=10,"Próximo","OK")))</x:f>
      </x:c>
    </x:row>
    <x:row r="23" ht="16.5" customHeight="1">
      <x:c r="A23" s="16"/>
      <x:c r="B23" s="17"/>
      <x:c r="C23" s="16"/>
      <x:c r="D23" s="15"/>
      <x:c r="E23" s="16" t="str">
        <x:f>IF(D23="","",D23-TODAY())</x:f>
      </x:c>
      <x:c r="F23" s="16" t="str">
        <x:f>IF(A23="","",IF(E23&lt;5,"Urgente",IF(E23&lt;=10,"Próximo","OK")))</x:f>
      </x:c>
    </x:row>
    <x:row r="24" ht="16.5" customHeight="1">
      <x:c r="A24" s="16"/>
      <x:c r="B24" s="17"/>
      <x:c r="C24" s="16"/>
      <x:c r="D24" s="15"/>
      <x:c r="E24" s="16" t="str">
        <x:f>IF(D24="","",D24-TODAY())</x:f>
      </x:c>
      <x:c r="F24" s="16" t="str">
        <x:f>IF(A24="","",IF(E24&lt;5,"Urgente",IF(E24&lt;=10,"Próximo","OK")))</x:f>
      </x:c>
    </x:row>
    <x:row r="25" ht="16.5" customHeight="1">
      <x:c r="A25" s="16"/>
      <x:c r="B25" s="17"/>
      <x:c r="C25" s="16"/>
      <x:c r="D25" s="15"/>
      <x:c r="E25" s="16" t="str">
        <x:f>IF(D25="","",D25-TODAY())</x:f>
      </x:c>
      <x:c r="F25" s="16" t="str">
        <x:f>IF(A25="","",IF(E25&lt;5,"Urgente",IF(E25&lt;=10,"Próximo","OK")))</x:f>
      </x:c>
    </x:row>
    <x:row r="26" ht="16.5" customHeight="1">
      <x:c r="A26" s="16"/>
      <x:c r="B26" s="17"/>
      <x:c r="C26" s="16"/>
      <x:c r="D26" s="15"/>
      <x:c r="E26" s="16" t="str">
        <x:f>IF(D26="","",D26-TODAY())</x:f>
      </x:c>
      <x:c r="F26" s="16" t="str">
        <x:f>IF(A26="","",IF(E26&lt;5,"Urgente",IF(E26&lt;=10,"Próximo","OK")))</x:f>
      </x:c>
    </x:row>
    <x:row r="27" ht="16.5" customHeight="1">
      <x:c r="A27" s="16"/>
      <x:c r="B27" s="17"/>
      <x:c r="C27" s="16"/>
      <x:c r="D27" s="15"/>
      <x:c r="E27" s="16" t="str">
        <x:f>IF(D27="","",D27-TODAY())</x:f>
      </x:c>
      <x:c r="F27" s="16" t="str">
        <x:f>IF(A27="","",IF(E27&lt;5,"Urgente",IF(E27&lt;=10,"Próximo","OK")))</x:f>
      </x:c>
    </x:row>
    <x:row r="28" ht="16.5" customHeight="1">
      <x:c r="A28" s="16"/>
      <x:c r="B28" s="17"/>
      <x:c r="C28" s="16"/>
      <x:c r="D28" s="15"/>
      <x:c r="E28" s="16" t="str">
        <x:f>IF(D28="","",D28-TODAY())</x:f>
      </x:c>
      <x:c r="F28" s="16" t="str">
        <x:f>IF(A28="","",IF(E28&lt;5,"Urgente",IF(E28&lt;=10,"Próximo","OK")))</x:f>
      </x:c>
    </x:row>
    <x:row r="29" ht="16.5" customHeight="1">
      <x:c r="A29" s="16"/>
      <x:c r="B29" s="17"/>
      <x:c r="C29" s="16"/>
      <x:c r="D29" s="15"/>
      <x:c r="E29" s="16" t="str">
        <x:f>IF(D29="","",D29-TODAY())</x:f>
      </x:c>
      <x:c r="F29" s="16" t="str">
        <x:f>IF(A29="","",IF(E29&lt;5,"Urgente",IF(E29&lt;=10,"Próximo","OK")))</x:f>
      </x:c>
    </x:row>
    <x:row r="30" ht="16.5" customHeight="1">
      <x:c r="A30" s="16"/>
      <x:c r="B30" s="17"/>
      <x:c r="C30" s="16"/>
      <x:c r="D30" s="15"/>
      <x:c r="E30" s="16" t="str">
        <x:f>IF(D30="","",D30-TODAY())</x:f>
      </x:c>
      <x:c r="F30" s="16" t="str">
        <x:f>IF(A30="","",IF(E30&lt;5,"Urgente",IF(E30&lt;=10,"Próximo","OK")))</x:f>
      </x:c>
    </x:row>
    <x:row r="31" ht="16.5" customHeight="1">
      <x:c r="A31" s="16"/>
      <x:c r="B31" s="17"/>
      <x:c r="C31" s="16"/>
      <x:c r="D31" s="15"/>
      <x:c r="E31" s="16" t="str">
        <x:f>IF(D31="","",D31-TODAY())</x:f>
      </x:c>
      <x:c r="F31" s="16" t="str">
        <x:f>IF(A31="","",IF(E31&lt;5,"Urgente",IF(E31&lt;=10,"Próximo","OK")))</x:f>
      </x:c>
    </x:row>
    <x:row r="32" ht="16.5" customHeight="1">
      <x:c r="A32" s="16"/>
      <x:c r="B32" s="17"/>
      <x:c r="C32" s="16"/>
      <x:c r="D32" s="15"/>
      <x:c r="E32" s="16" t="str">
        <x:f>IF(D32="","",D32-TODAY())</x:f>
      </x:c>
      <x:c r="F32" s="16" t="str">
        <x:f>IF(A32="","",IF(E32&lt;5,"Urgente",IF(E32&lt;=10,"Próximo","OK")))</x:f>
      </x:c>
    </x:row>
    <x:row r="33" ht="16.5" customHeight="1">
      <x:c r="A33" s="16"/>
      <x:c r="B33" s="17"/>
      <x:c r="C33" s="16"/>
      <x:c r="D33" s="15"/>
      <x:c r="E33" s="16" t="str">
        <x:f>IF(D33="","",D33-TODAY())</x:f>
      </x:c>
      <x:c r="F33" s="16" t="str">
        <x:f>IF(A33="","",IF(E33&lt;5,"Urgente",IF(E33&lt;=10,"Próximo","OK")))</x:f>
      </x:c>
    </x:row>
    <x:row r="34" ht="16.5" customHeight="1">
      <x:c r="A34" s="16"/>
      <x:c r="B34" s="17"/>
      <x:c r="C34" s="16"/>
      <x:c r="D34" s="15"/>
      <x:c r="E34" s="16" t="str">
        <x:f>IF(D34="","",D34-TODAY())</x:f>
      </x:c>
      <x:c r="F34" s="16" t="str">
        <x:f>IF(A34="","",IF(E34&lt;5,"Urgente",IF(E34&lt;=10,"Próximo","OK")))</x:f>
      </x:c>
    </x:row>
    <x:row r="35" ht="16.5" customHeight="1">
      <x:c r="A35" s="16"/>
      <x:c r="B35" s="17"/>
      <x:c r="C35" s="16"/>
      <x:c r="D35" s="15"/>
      <x:c r="E35" s="16" t="str">
        <x:f>IF(D35="","",D35-TODAY())</x:f>
      </x:c>
      <x:c r="F35" s="16" t="str">
        <x:f>IF(A35="","",IF(E35&lt;5,"Urgente",IF(E35&lt;=10,"Próximo","OK")))</x:f>
      </x:c>
    </x:row>
    <x:row r="36" ht="16.5" customHeight="1">
      <x:c r="A36" s="16"/>
      <x:c r="B36" s="17"/>
      <x:c r="C36" s="16"/>
      <x:c r="D36" s="15"/>
      <x:c r="E36" s="16" t="str">
        <x:f>IF(D36="","",D36-TODAY())</x:f>
      </x:c>
      <x:c r="F36" s="16" t="str">
        <x:f>IF(A36="","",IF(E36&lt;5,"Urgente",IF(E36&lt;=10,"Próximo","OK")))</x:f>
      </x:c>
    </x:row>
    <x:row r="37" ht="16.5" customHeight="1">
      <x:c r="A37" s="16"/>
      <x:c r="B37" s="17"/>
      <x:c r="C37" s="16"/>
      <x:c r="D37" s="15"/>
      <x:c r="E37" s="16" t="str">
        <x:f>IF(D37="","",D37-TODAY())</x:f>
      </x:c>
      <x:c r="F37" s="16" t="str">
        <x:f>IF(A37="","",IF(E37&lt;5,"Urgente",IF(E37&lt;=10,"Próximo","OK")))</x:f>
      </x:c>
    </x:row>
    <x:row r="38" ht="16.5" customHeight="1">
      <x:c r="A38" s="16"/>
      <x:c r="B38" s="17"/>
      <x:c r="C38" s="16"/>
      <x:c r="D38" s="15"/>
      <x:c r="E38" s="16" t="str">
        <x:f>IF(D38="","",D38-TODAY())</x:f>
      </x:c>
      <x:c r="F38" s="16" t="str">
        <x:f>IF(A38="","",IF(E38&lt;5,"Urgente",IF(E38&lt;=10,"Próximo","OK")))</x:f>
      </x:c>
    </x:row>
    <x:row r="39" ht="16.5" customHeight="1">
      <x:c r="A39" s="16"/>
      <x:c r="B39" s="17"/>
      <x:c r="C39" s="16"/>
      <x:c r="D39" s="15"/>
      <x:c r="E39" s="16" t="str">
        <x:f>IF(D39="","",D39-TODAY())</x:f>
      </x:c>
      <x:c r="F39" s="16" t="str">
        <x:f>IF(A39="","",IF(E39&lt;5,"Urgente",IF(E39&lt;=10,"Próximo","OK")))</x:f>
      </x:c>
    </x:row>
    <x:row r="40" ht="16.5" customHeight="1">
      <x:c r="A40" s="16"/>
      <x:c r="B40" s="17"/>
      <x:c r="C40" s="16"/>
      <x:c r="D40" s="15"/>
      <x:c r="E40" s="16" t="str">
        <x:f>IF(D40="","",D40-TODAY())</x:f>
      </x:c>
      <x:c r="F40" s="16" t="str">
        <x:f>IF(A40="","",IF(E40&lt;5,"Urgente",IF(E40&lt;=10,"Próximo","OK")))</x:f>
      </x:c>
    </x:row>
    <x:row r="41" ht="16.5" customHeight="1">
      <x:c r="A41" s="16"/>
      <x:c r="B41" s="17"/>
      <x:c r="C41" s="16"/>
      <x:c r="D41" s="15"/>
      <x:c r="E41" s="16" t="str">
        <x:f>IF(D41="","",D41-TODAY())</x:f>
      </x:c>
      <x:c r="F41" s="16" t="str">
        <x:f>IF(A41="","",IF(E41&lt;5,"Urgente",IF(E41&lt;=10,"Próximo","OK")))</x:f>
      </x:c>
    </x:row>
    <x:row r="42" ht="16.5" customHeight="1">
      <x:c r="A42" s="16"/>
      <x:c r="B42" s="17"/>
      <x:c r="C42" s="16"/>
      <x:c r="D42" s="15"/>
      <x:c r="E42" s="16" t="str">
        <x:f>IF(D42="","",D42-TODAY())</x:f>
      </x:c>
      <x:c r="F42" s="16" t="str">
        <x:f>IF(A42="","",IF(E42&lt;5,"Urgente",IF(E42&lt;=10,"Próximo","OK")))</x:f>
      </x:c>
    </x:row>
    <x:row r="43" ht="16.5" customHeight="1">
      <x:c r="A43" s="16"/>
      <x:c r="B43" s="17"/>
      <x:c r="C43" s="16"/>
      <x:c r="D43" s="15"/>
      <x:c r="E43" s="16" t="str">
        <x:f>IF(D43="","",D43-TODAY())</x:f>
      </x:c>
      <x:c r="F43" s="16" t="str">
        <x:f>IF(A43="","",IF(E43&lt;5,"Urgente",IF(E43&lt;=10,"Próximo","OK")))</x:f>
      </x:c>
    </x:row>
    <x:row r="44" ht="16.5" customHeight="1">
      <x:c r="A44" s="16"/>
      <x:c r="B44" s="17"/>
      <x:c r="C44" s="16"/>
      <x:c r="D44" s="15"/>
      <x:c r="E44" s="16" t="str">
        <x:f>IF(D44="","",D44-TODAY())</x:f>
      </x:c>
      <x:c r="F44" s="16" t="str">
        <x:f>IF(A44="","",IF(E44&lt;5,"Urgente",IF(E44&lt;=10,"Próximo","OK")))</x:f>
      </x:c>
    </x:row>
    <x:row r="45" ht="16.5" customHeight="1">
      <x:c r="A45" s="16"/>
      <x:c r="B45" s="17"/>
      <x:c r="C45" s="16"/>
      <x:c r="D45" s="15"/>
      <x:c r="E45" s="16" t="str">
        <x:f>IF(D45="","",D45-TODAY())</x:f>
      </x:c>
      <x:c r="F45" s="16" t="str">
        <x:f>IF(A45="","",IF(E45&lt;5,"Urgente",IF(E45&lt;=10,"Próximo","OK")))</x:f>
      </x:c>
    </x:row>
    <x:row r="46" ht="16.5" customHeight="1">
      <x:c r="A46" s="16"/>
      <x:c r="B46" s="17"/>
      <x:c r="C46" s="16"/>
      <x:c r="D46" s="15"/>
      <x:c r="E46" s="16" t="str">
        <x:f>IF(D46="","",D46-TODAY())</x:f>
      </x:c>
      <x:c r="F46" s="16" t="str">
        <x:f>IF(A46="","",IF(E46&lt;5,"Urgente",IF(E46&lt;=10,"Próximo","OK")))</x:f>
      </x:c>
    </x:row>
    <x:row r="47" ht="16.5" customHeight="1">
      <x:c r="A47" s="16"/>
      <x:c r="B47" s="17"/>
      <x:c r="C47" s="16"/>
      <x:c r="D47" s="15"/>
      <x:c r="E47" s="16" t="str">
        <x:f>IF(D47="","",D47-TODAY())</x:f>
      </x:c>
      <x:c r="F47" s="16" t="str">
        <x:f>IF(A47="","",IF(E47&lt;5,"Urgente",IF(E47&lt;=10,"Próximo","OK")))</x:f>
      </x:c>
    </x:row>
    <x:row r="48" ht="16.5" customHeight="1">
      <x:c r="A48" s="16"/>
      <x:c r="B48" s="17"/>
      <x:c r="C48" s="16"/>
      <x:c r="D48" s="15"/>
      <x:c r="E48" s="16" t="str">
        <x:f>IF(D48="","",D48-TODAY())</x:f>
      </x:c>
      <x:c r="F48" s="16" t="str">
        <x:f>IF(A48="","",IF(E48&lt;5,"Urgente",IF(E48&lt;=10,"Próximo","OK")))</x:f>
      </x:c>
    </x:row>
    <x:row r="49" ht="16.5" customHeight="1">
      <x:c r="A49" s="16"/>
      <x:c r="B49" s="17"/>
      <x:c r="C49" s="16"/>
      <x:c r="D49" s="15"/>
      <x:c r="E49" s="16" t="str">
        <x:f>IF(D49="","",D49-TODAY())</x:f>
      </x:c>
      <x:c r="F49" s="16" t="str">
        <x:f>IF(A49="","",IF(E49&lt;5,"Urgente",IF(E49&lt;=10,"Próximo","OK")))</x:f>
      </x:c>
    </x:row>
    <x:row r="50" ht="16.5" customHeight="1">
      <x:c r="A50" s="16"/>
      <x:c r="B50" s="17"/>
      <x:c r="C50" s="16"/>
      <x:c r="D50" s="15"/>
      <x:c r="E50" s="16" t="str">
        <x:f>IF(D50="","",D50-TODAY())</x:f>
      </x:c>
      <x:c r="F50" s="16" t="str">
        <x:f>IF(A50="","",IF(E50&lt;5,"Urgente",IF(E50&lt;=10,"Próximo","OK")))</x:f>
      </x:c>
    </x:row>
    <x:row r="51" ht="16.5" customHeight="1">
      <x:c r="A51" s="16"/>
      <x:c r="B51" s="17"/>
      <x:c r="C51" s="16"/>
      <x:c r="D51" s="15"/>
      <x:c r="E51" s="16" t="str">
        <x:f>IF(D51="","",D51-TODAY())</x:f>
      </x:c>
      <x:c r="F51" s="16" t="str">
        <x:f>IF(A51="","",IF(E51&lt;5,"Urgente",IF(E51&lt;=10,"Próximo","OK")))</x:f>
      </x:c>
    </x:row>
    <x:row r="52" ht="16.5" customHeight="1">
      <x:c r="A52" s="16"/>
      <x:c r="B52" s="17"/>
      <x:c r="C52" s="16"/>
      <x:c r="D52" s="15"/>
      <x:c r="E52" s="16" t="str">
        <x:f>IF(D52="","",D52-TODAY())</x:f>
      </x:c>
      <x:c r="F52" s="16" t="str">
        <x:f>IF(A52="","",IF(E52&lt;5,"Urgente",IF(E52&lt;=10,"Próximo","OK")))</x:f>
      </x:c>
    </x:row>
    <x:row r="53" ht="16.5" customHeight="1">
      <x:c r="A53" s="16"/>
      <x:c r="B53" s="17"/>
      <x:c r="C53" s="16"/>
      <x:c r="D53" s="15"/>
      <x:c r="E53" s="16" t="str">
        <x:f>IF(D53="","",D53-TODAY())</x:f>
      </x:c>
      <x:c r="F53" s="16" t="str">
        <x:f>IF(A53="","",IF(E53&lt;5,"Urgente",IF(E53&lt;=10,"Próximo","OK")))</x:f>
      </x:c>
    </x:row>
    <x:row r="54" ht="16.5" customHeight="1">
      <x:c r="A54" s="16"/>
      <x:c r="B54" s="17"/>
      <x:c r="C54" s="16"/>
      <x:c r="D54" s="15"/>
      <x:c r="E54" s="16" t="str">
        <x:f>IF(D54="","",D54-TODAY())</x:f>
      </x:c>
      <x:c r="F54" s="16" t="str">
        <x:f>IF(A54="","",IF(E54&lt;5,"Urgente",IF(E54&lt;=10,"Próximo","OK")))</x:f>
      </x:c>
    </x:row>
    <x:row r="55" ht="16.5" customHeight="1">
      <x:c r="A55" s="16"/>
      <x:c r="B55" s="17"/>
      <x:c r="C55" s="16"/>
      <x:c r="D55" s="15"/>
      <x:c r="E55" s="16" t="str">
        <x:f>IF(D55="","",D55-TODAY())</x:f>
      </x:c>
      <x:c r="F55" s="16" t="str">
        <x:f>IF(A55="","",IF(E55&lt;5,"Urgente",IF(E55&lt;=10,"Próximo","OK")))</x:f>
      </x:c>
    </x:row>
    <x:row r="56" ht="16.5" customHeight="1">
      <x:c r="A56" s="16"/>
      <x:c r="B56" s="17"/>
      <x:c r="C56" s="16"/>
      <x:c r="D56" s="15"/>
      <x:c r="E56" s="16" t="str">
        <x:f>IF(D56="","",D56-TODAY())</x:f>
      </x:c>
      <x:c r="F56" s="16" t="str">
        <x:f>IF(A56="","",IF(E56&lt;5,"Urgente",IF(E56&lt;=10,"Próximo","OK")))</x:f>
      </x:c>
    </x:row>
    <x:row r="57" ht="16.5" customHeight="1">
      <x:c r="A57" s="16"/>
      <x:c r="B57" s="17"/>
      <x:c r="C57" s="16"/>
      <x:c r="D57" s="15"/>
      <x:c r="E57" s="16" t="str">
        <x:f>IF(D57="","",D57-TODAY())</x:f>
      </x:c>
      <x:c r="F57" s="16" t="str">
        <x:f>IF(A57="","",IF(E57&lt;5,"Urgente",IF(E57&lt;=10,"Próximo","OK")))</x:f>
      </x:c>
    </x:row>
    <x:row r="58" ht="16.5" customHeight="1">
      <x:c r="A58" s="16"/>
      <x:c r="B58" s="17"/>
      <x:c r="C58" s="16"/>
      <x:c r="D58" s="15"/>
      <x:c r="E58" s="16" t="str">
        <x:f>IF(D58="","",D58-TODAY())</x:f>
      </x:c>
      <x:c r="F58" s="16" t="str">
        <x:f>IF(A58="","",IF(E58&lt;5,"Urgente",IF(E58&lt;=10,"Próximo","OK")))</x:f>
      </x:c>
    </x:row>
    <x:row r="59" ht="16.5" customHeight="1">
      <x:c r="A59" s="16"/>
      <x:c r="B59" s="17"/>
      <x:c r="C59" s="16"/>
      <x:c r="D59" s="15"/>
      <x:c r="E59" s="16" t="str">
        <x:f>IF(D59="","",D59-TODAY())</x:f>
      </x:c>
      <x:c r="F59" s="16" t="str">
        <x:f>IF(A59="","",IF(E59&lt;5,"Urgente",IF(E59&lt;=10,"Próximo","OK")))</x:f>
      </x:c>
    </x:row>
    <x:row r="60" ht="16.5" customHeight="1">
      <x:c r="A60" s="16"/>
      <x:c r="B60" s="17"/>
      <x:c r="C60" s="16"/>
      <x:c r="D60" s="15"/>
      <x:c r="E60" s="16" t="str">
        <x:f>IF(D60="","",D60-TODAY())</x:f>
      </x:c>
      <x:c r="F60" s="16" t="str">
        <x:f>IF(A60="","",IF(E60&lt;5,"Urgente",IF(E60&lt;=10,"Próximo","OK")))</x:f>
      </x:c>
    </x:row>
    <x:row r="61" ht="16.5" customHeight="1">
      <x:c r="A61" s="16"/>
      <x:c r="B61" s="17"/>
      <x:c r="C61" s="16"/>
      <x:c r="D61" s="15"/>
      <x:c r="E61" s="16" t="str">
        <x:f>IF(D61="","",D61-TODAY())</x:f>
      </x:c>
      <x:c r="F61" s="16" t="str">
        <x:f>IF(A61="","",IF(E61&lt;5,"Urgente",IF(E61&lt;=10,"Próximo","OK")))</x:f>
      </x:c>
    </x:row>
    <x:row r="62" ht="16.5" customHeight="1">
      <x:c r="A62" s="16"/>
      <x:c r="B62" s="17"/>
      <x:c r="C62" s="16"/>
      <x:c r="D62" s="15"/>
      <x:c r="E62" s="16" t="str">
        <x:f>IF(D62="","",D62-TODAY())</x:f>
      </x:c>
      <x:c r="F62" s="16" t="str">
        <x:f>IF(A62="","",IF(E62&lt;5,"Urgente",IF(E62&lt;=10,"Próximo","OK")))</x:f>
      </x:c>
    </x:row>
    <x:row r="63" ht="16.5" customHeight="1">
      <x:c r="A63" s="16"/>
      <x:c r="B63" s="17"/>
      <x:c r="C63" s="16"/>
      <x:c r="D63" s="15"/>
      <x:c r="E63" s="16" t="str">
        <x:f>IF(D63="","",D63-TODAY())</x:f>
      </x:c>
      <x:c r="F63" s="16" t="str">
        <x:f>IF(A63="","",IF(E63&lt;5,"Urgente",IF(E63&lt;=10,"Próximo","OK")))</x:f>
      </x:c>
    </x:row>
    <x:row r="64" ht="16.5" customHeight="1">
      <x:c r="A64" s="16"/>
      <x:c r="B64" s="17"/>
      <x:c r="C64" s="16"/>
      <x:c r="D64" s="15"/>
      <x:c r="E64" s="16" t="str">
        <x:f>IF(D64="","",D64-TODAY())</x:f>
      </x:c>
      <x:c r="F64" s="16" t="str">
        <x:f>IF(A64="","",IF(E64&lt;5,"Urgente",IF(E64&lt;=10,"Próximo","OK")))</x:f>
      </x:c>
    </x:row>
    <x:row r="65" ht="16.5" customHeight="1">
      <x:c r="A65" s="16"/>
      <x:c r="B65" s="17"/>
      <x:c r="C65" s="16"/>
      <x:c r="D65" s="15"/>
      <x:c r="E65" s="16" t="str">
        <x:f>IF(D65="","",D65-TODAY())</x:f>
      </x:c>
      <x:c r="F65" s="16" t="str">
        <x:f>IF(A65="","",IF(E65&lt;5,"Urgente",IF(E65&lt;=10,"Próximo","OK")))</x:f>
      </x:c>
    </x:row>
    <x:row r="66" ht="16.5" customHeight="1">
      <x:c r="A66" s="16"/>
      <x:c r="B66" s="17"/>
      <x:c r="C66" s="16"/>
      <x:c r="D66" s="15"/>
      <x:c r="E66" s="16" t="str">
        <x:f>IF(D66="","",D66-TODAY())</x:f>
      </x:c>
      <x:c r="F66" s="16" t="str">
        <x:f>IF(A66="","",IF(E66&lt;5,"Urgente",IF(E66&lt;=10,"Próximo","OK")))</x:f>
      </x:c>
    </x:row>
    <x:row r="67" ht="16.5" customHeight="1">
      <x:c r="A67" s="16"/>
      <x:c r="B67" s="17"/>
      <x:c r="C67" s="16"/>
      <x:c r="D67" s="15"/>
      <x:c r="E67" s="16" t="str">
        <x:f>IF(D67="","",D67-TODAY())</x:f>
      </x:c>
      <x:c r="F67" s="16" t="str">
        <x:f>IF(A67="","",IF(E67&lt;5,"Urgente",IF(E67&lt;=10,"Próximo","OK")))</x:f>
      </x:c>
    </x:row>
    <x:row r="68" ht="16.5" customHeight="1">
      <x:c r="A68" s="16"/>
      <x:c r="B68" s="17"/>
      <x:c r="C68" s="16"/>
      <x:c r="D68" s="15"/>
      <x:c r="E68" s="16" t="str">
        <x:f>IF(D68="","",D68-TODAY())</x:f>
      </x:c>
      <x:c r="F68" s="16" t="str">
        <x:f>IF(A68="","",IF(E68&lt;5,"Urgente",IF(E68&lt;=10,"Próximo","OK")))</x:f>
      </x:c>
    </x:row>
    <x:row r="69" ht="16.5" customHeight="1">
      <x:c r="A69" s="16"/>
      <x:c r="B69" s="17"/>
      <x:c r="C69" s="16"/>
      <x:c r="D69" s="15"/>
      <x:c r="E69" s="16" t="str">
        <x:f>IF(D69="","",D69-TODAY())</x:f>
      </x:c>
      <x:c r="F69" s="16" t="str">
        <x:f>IF(A69="","",IF(E69&lt;5,"Urgente",IF(E69&lt;=10,"Próximo","OK")))</x:f>
      </x:c>
    </x:row>
    <x:row r="70" ht="16.5" customHeight="1">
      <x:c r="A70" s="16"/>
      <x:c r="B70" s="17"/>
      <x:c r="C70" s="16"/>
      <x:c r="D70" s="15"/>
      <x:c r="E70" s="16" t="str">
        <x:f>IF(D70="","",D70-TODAY())</x:f>
      </x:c>
      <x:c r="F70" s="16" t="str">
        <x:f>IF(A70="","",IF(E70&lt;5,"Urgente",IF(E70&lt;=10,"Próximo","OK")))</x:f>
      </x:c>
    </x:row>
    <x:row r="71" ht="16.5" customHeight="1">
      <x:c r="A71" s="16"/>
      <x:c r="B71" s="17"/>
      <x:c r="C71" s="16"/>
      <x:c r="D71" s="15"/>
      <x:c r="E71" s="16" t="str">
        <x:f>IF(D71="","",D71-TODAY())</x:f>
      </x:c>
      <x:c r="F71" s="16" t="str">
        <x:f>IF(A71="","",IF(E71&lt;5,"Urgente",IF(E71&lt;=10,"Próximo","OK")))</x:f>
      </x:c>
    </x:row>
    <x:row r="72" ht="16.5" customHeight="1">
      <x:c r="A72" s="16"/>
      <x:c r="B72" s="17"/>
      <x:c r="C72" s="16"/>
      <x:c r="D72" s="15"/>
      <x:c r="E72" s="16" t="str">
        <x:f>IF(D72="","",D72-TODAY())</x:f>
      </x:c>
      <x:c r="F72" s="16" t="str">
        <x:f>IF(A72="","",IF(E72&lt;5,"Urgente",IF(E72&lt;=10,"Próximo","OK")))</x:f>
      </x:c>
    </x:row>
    <x:row r="73" ht="16.5" customHeight="1">
      <x:c r="A73" s="16"/>
      <x:c r="B73" s="17"/>
      <x:c r="C73" s="16"/>
      <x:c r="D73" s="15"/>
      <x:c r="E73" s="16" t="str">
        <x:f>IF(D73="","",D73-TODAY())</x:f>
      </x:c>
      <x:c r="F73" s="16" t="str">
        <x:f>IF(A73="","",IF(E73&lt;5,"Urgente",IF(E73&lt;=10,"Próximo","OK")))</x:f>
      </x:c>
    </x:row>
    <x:row r="74" ht="16.5" customHeight="1">
      <x:c r="A74" s="16"/>
      <x:c r="B74" s="17"/>
      <x:c r="C74" s="16"/>
      <x:c r="D74" s="15"/>
      <x:c r="E74" s="16" t="str">
        <x:f>IF(D74="","",D74-TODAY())</x:f>
      </x:c>
      <x:c r="F74" s="16" t="str">
        <x:f>IF(A74="","",IF(E74&lt;5,"Urgente",IF(E74&lt;=10,"Próximo","OK")))</x:f>
      </x:c>
    </x:row>
    <x:row r="75" ht="16.5" customHeight="1">
      <x:c r="A75" s="16"/>
      <x:c r="B75" s="17"/>
      <x:c r="C75" s="16"/>
      <x:c r="D75" s="15"/>
      <x:c r="E75" s="16" t="str">
        <x:f>IF(D75="","",D75-TODAY())</x:f>
      </x:c>
      <x:c r="F75" s="16" t="str">
        <x:f>IF(A75="","",IF(E75&lt;5,"Urgente",IF(E75&lt;=10,"Próximo","OK")))</x:f>
      </x:c>
    </x:row>
    <x:row r="76" ht="16.5" customHeight="1">
      <x:c r="A76" s="16"/>
      <x:c r="B76" s="17"/>
      <x:c r="C76" s="16"/>
      <x:c r="D76" s="15"/>
      <x:c r="E76" s="16" t="str">
        <x:f>IF(D76="","",D76-TODAY())</x:f>
      </x:c>
      <x:c r="F76" s="16" t="str">
        <x:f>IF(A76="","",IF(E76&lt;5,"Urgente",IF(E76&lt;=10,"Próximo","OK")))</x:f>
      </x:c>
    </x:row>
    <x:row r="77" ht="16.5" customHeight="1">
      <x:c r="A77" s="16"/>
      <x:c r="B77" s="17"/>
      <x:c r="C77" s="16"/>
      <x:c r="D77" s="15"/>
      <x:c r="E77" s="16" t="str">
        <x:f>IF(D77="","",D77-TODAY())</x:f>
      </x:c>
      <x:c r="F77" s="16" t="str">
        <x:f>IF(A77="","",IF(E77&lt;5,"Urgente",IF(E77&lt;=10,"Próximo","OK")))</x:f>
      </x:c>
    </x:row>
    <x:row r="78" ht="16.5" customHeight="1">
      <x:c r="A78" s="16"/>
      <x:c r="B78" s="17"/>
      <x:c r="C78" s="16"/>
      <x:c r="D78" s="15"/>
      <x:c r="E78" s="16" t="str">
        <x:f>IF(D78="","",D78-TODAY())</x:f>
      </x:c>
      <x:c r="F78" s="16" t="str">
        <x:f>IF(A78="","",IF(E78&lt;5,"Urgente",IF(E78&lt;=10,"Próximo","OK")))</x:f>
      </x:c>
    </x:row>
    <x:row r="79" ht="16.5" customHeight="1">
      <x:c r="A79" s="16"/>
      <x:c r="B79" s="17"/>
      <x:c r="C79" s="16"/>
      <x:c r="D79" s="15"/>
      <x:c r="E79" s="16" t="str">
        <x:f>IF(D79="","",D79-TODAY())</x:f>
      </x:c>
      <x:c r="F79" s="16" t="str">
        <x:f>IF(A79="","",IF(E79&lt;5,"Urgente",IF(E79&lt;=10,"Próximo","OK")))</x:f>
      </x:c>
    </x:row>
    <x:row r="80" ht="16.5" customHeight="1">
      <x:c r="A80" s="16"/>
      <x:c r="B80" s="17"/>
      <x:c r="C80" s="16"/>
      <x:c r="D80" s="15"/>
      <x:c r="E80" s="16" t="str">
        <x:f>IF(D80="","",D80-TODAY())</x:f>
      </x:c>
      <x:c r="F80" s="16" t="str">
        <x:f>IF(A80="","",IF(E80&lt;5,"Urgente",IF(E80&lt;=10,"Próximo","OK")))</x:f>
      </x:c>
    </x:row>
    <x:row r="81" ht="16.5" customHeight="1">
      <x:c r="A81" s="16"/>
      <x:c r="B81" s="17"/>
      <x:c r="C81" s="16"/>
      <x:c r="D81" s="15"/>
      <x:c r="E81" s="16" t="str">
        <x:f>IF(D81="","",D81-TODAY())</x:f>
      </x:c>
      <x:c r="F81" s="16" t="str">
        <x:f>IF(A81="","",IF(E81&lt;5,"Urgente",IF(E81&lt;=10,"Próximo","OK")))</x:f>
      </x:c>
    </x:row>
    <x:row r="82" ht="16.5" customHeight="1">
      <x:c r="A82" s="16"/>
      <x:c r="B82" s="17"/>
      <x:c r="C82" s="16"/>
      <x:c r="D82" s="15"/>
      <x:c r="E82" s="16" t="str">
        <x:f>IF(D82="","",D82-TODAY())</x:f>
      </x:c>
      <x:c r="F82" s="16" t="str">
        <x:f>IF(A82="","",IF(E82&lt;5,"Urgente",IF(E82&lt;=10,"Próximo","OK")))</x:f>
      </x:c>
    </x:row>
    <x:row r="83" ht="16.5" customHeight="1">
      <x:c r="A83" s="16"/>
      <x:c r="B83" s="17"/>
      <x:c r="C83" s="16"/>
      <x:c r="D83" s="15"/>
      <x:c r="E83" s="16" t="str">
        <x:f>IF(D83="","",D83-TODAY())</x:f>
      </x:c>
      <x:c r="F83" s="16" t="str">
        <x:f>IF(A83="","",IF(E83&lt;5,"Urgente",IF(E83&lt;=10,"Próximo","OK")))</x:f>
      </x:c>
    </x:row>
    <x:row r="84" ht="16.5" customHeight="1">
      <x:c r="A84" s="16"/>
      <x:c r="B84" s="17"/>
      <x:c r="C84" s="16"/>
      <x:c r="D84" s="15"/>
      <x:c r="E84" s="16" t="str">
        <x:f>IF(D84="","",D84-TODAY())</x:f>
      </x:c>
      <x:c r="F84" s="16" t="str">
        <x:f>IF(A84="","",IF(E84&lt;5,"Urgente",IF(E84&lt;=10,"Próximo","OK")))</x:f>
      </x:c>
    </x:row>
    <x:row r="85" ht="16.5" customHeight="1">
      <x:c r="A85" s="16"/>
      <x:c r="B85" s="17"/>
      <x:c r="C85" s="16"/>
      <x:c r="D85" s="15"/>
      <x:c r="E85" s="16" t="str">
        <x:f>IF(D85="","",D85-TODAY())</x:f>
      </x:c>
      <x:c r="F85" s="16" t="str">
        <x:f>IF(A85="","",IF(E85&lt;5,"Urgente",IF(E85&lt;=10,"Próximo","OK")))</x:f>
      </x:c>
    </x:row>
    <x:row r="86" ht="16.5" customHeight="1">
      <x:c r="A86" s="16"/>
      <x:c r="B86" s="17"/>
      <x:c r="C86" s="16"/>
      <x:c r="D86" s="15"/>
      <x:c r="E86" s="16" t="str">
        <x:f>IF(D86="","",D86-TODAY())</x:f>
      </x:c>
      <x:c r="F86" s="16" t="str">
        <x:f>IF(A86="","",IF(E86&lt;5,"Urgente",IF(E86&lt;=10,"Próximo","OK")))</x:f>
      </x:c>
    </x:row>
    <x:row r="87" ht="16.5" customHeight="1">
      <x:c r="A87" s="16"/>
      <x:c r="B87" s="17"/>
      <x:c r="C87" s="16"/>
      <x:c r="D87" s="15"/>
      <x:c r="E87" s="16" t="str">
        <x:f>IF(D87="","",D87-TODAY())</x:f>
      </x:c>
      <x:c r="F87" s="16" t="str">
        <x:f>IF(A87="","",IF(E87&lt;5,"Urgente",IF(E87&lt;=10,"Próximo","OK")))</x:f>
      </x:c>
    </x:row>
    <x:row r="88" ht="16.5" customHeight="1">
      <x:c r="A88" s="16"/>
      <x:c r="B88" s="17"/>
      <x:c r="C88" s="16"/>
      <x:c r="D88" s="15"/>
      <x:c r="E88" s="16" t="str">
        <x:f>IF(D88="","",D88-TODAY())</x:f>
      </x:c>
      <x:c r="F88" s="16" t="str">
        <x:f>IF(A88="","",IF(E88&lt;5,"Urgente",IF(E88&lt;=10,"Próximo","OK")))</x:f>
      </x:c>
    </x:row>
    <x:row r="89" ht="16.5" customHeight="1">
      <x:c r="A89" s="16"/>
      <x:c r="B89" s="17"/>
      <x:c r="C89" s="16"/>
      <x:c r="D89" s="15"/>
      <x:c r="E89" s="16" t="str">
        <x:f>IF(D89="","",D89-TODAY())</x:f>
      </x:c>
      <x:c r="F89" s="16" t="str">
        <x:f>IF(A89="","",IF(E89&lt;5,"Urgente",IF(E89&lt;=10,"Próximo","OK")))</x:f>
      </x:c>
    </x:row>
    <x:row r="90" ht="16.5" customHeight="1">
      <x:c r="A90" s="16"/>
      <x:c r="B90" s="17"/>
      <x:c r="C90" s="16"/>
      <x:c r="D90" s="15"/>
      <x:c r="E90" s="16" t="str">
        <x:f>IF(D90="","",D90-TODAY())</x:f>
      </x:c>
      <x:c r="F90" s="16" t="str">
        <x:f>IF(A90="","",IF(E90&lt;5,"Urgente",IF(E90&lt;=10,"Próximo","OK")))</x:f>
      </x:c>
    </x:row>
    <x:row r="91" ht="16.5" customHeight="1">
      <x:c r="A91" s="16"/>
      <x:c r="B91" s="17"/>
      <x:c r="C91" s="16"/>
      <x:c r="D91" s="15"/>
      <x:c r="E91" s="16" t="str">
        <x:f>IF(D91="","",D91-TODAY())</x:f>
      </x:c>
      <x:c r="F91" s="16" t="str">
        <x:f>IF(A91="","",IF(E91&lt;5,"Urgente",IF(E91&lt;=10,"Próximo","OK")))</x:f>
      </x:c>
    </x:row>
    <x:row r="92" ht="16.5" customHeight="1">
      <x:c r="A92" s="16"/>
      <x:c r="B92" s="17"/>
      <x:c r="C92" s="16"/>
      <x:c r="D92" s="15"/>
      <x:c r="E92" s="16" t="str">
        <x:f>IF(D92="","",D92-TODAY())</x:f>
      </x:c>
      <x:c r="F92" s="16" t="str">
        <x:f>IF(A92="","",IF(E92&lt;5,"Urgente",IF(E92&lt;=10,"Próximo","OK")))</x:f>
      </x:c>
    </x:row>
    <x:row r="93" ht="16.5" customHeight="1">
      <x:c r="A93" s="16"/>
      <x:c r="B93" s="17"/>
      <x:c r="C93" s="16"/>
      <x:c r="D93" s="15"/>
      <x:c r="E93" s="16" t="str">
        <x:f>IF(D93="","",D93-TODAY())</x:f>
      </x:c>
      <x:c r="F93" s="16" t="str">
        <x:f>IF(A93="","",IF(E93&lt;5,"Urgente",IF(E93&lt;=10,"Próximo","OK")))</x:f>
      </x:c>
    </x:row>
    <x:row r="94" ht="16.5" customHeight="1">
      <x:c r="A94" s="16"/>
      <x:c r="B94" s="17"/>
      <x:c r="C94" s="16"/>
      <x:c r="D94" s="15"/>
      <x:c r="E94" s="16" t="str">
        <x:f>IF(D94="","",D94-TODAY())</x:f>
      </x:c>
      <x:c r="F94" s="16" t="str">
        <x:f>IF(A94="","",IF(E94&lt;5,"Urgente",IF(E94&lt;=10,"Próximo","OK")))</x:f>
      </x:c>
    </x:row>
    <x:row r="95" ht="16.5" customHeight="1">
      <x:c r="A95" s="16"/>
      <x:c r="B95" s="17"/>
      <x:c r="C95" s="16"/>
      <x:c r="D95" s="15"/>
      <x:c r="E95" s="16" t="str">
        <x:f>IF(D95="","",D95-TODAY())</x:f>
      </x:c>
      <x:c r="F95" s="16" t="str">
        <x:f>IF(A95="","",IF(E95&lt;5,"Urgente",IF(E95&lt;=10,"Próximo","OK")))</x:f>
      </x:c>
    </x:row>
    <x:row r="96" ht="16.5" customHeight="1">
      <x:c r="A96" s="16"/>
      <x:c r="B96" s="17"/>
      <x:c r="C96" s="16"/>
      <x:c r="D96" s="15"/>
      <x:c r="E96" s="16" t="str">
        <x:f>IF(D96="","",D96-TODAY())</x:f>
      </x:c>
      <x:c r="F96" s="16" t="str">
        <x:f>IF(A96="","",IF(E96&lt;5,"Urgente",IF(E96&lt;=10,"Próximo","OK")))</x:f>
      </x:c>
    </x:row>
    <x:row r="97" ht="16.5" customHeight="1">
      <x:c r="A97" s="16"/>
      <x:c r="B97" s="17"/>
      <x:c r="C97" s="16"/>
      <x:c r="D97" s="15"/>
      <x:c r="E97" s="16" t="str">
        <x:f>IF(D97="","",D97-TODAY())</x:f>
      </x:c>
      <x:c r="F97" s="16" t="str">
        <x:f>IF(A97="","",IF(E97&lt;5,"Urgente",IF(E97&lt;=10,"Próximo","OK")))</x:f>
      </x:c>
    </x:row>
    <x:row r="98" ht="16.5" customHeight="1">
      <x:c r="A98" s="16"/>
      <x:c r="B98" s="17"/>
      <x:c r="C98" s="16"/>
      <x:c r="D98" s="15"/>
      <x:c r="E98" s="16" t="str">
        <x:f>IF(D98="","",D98-TODAY())</x:f>
      </x:c>
      <x:c r="F98" s="16" t="str">
        <x:f>IF(A98="","",IF(E98&lt;5,"Urgente",IF(E98&lt;=10,"Próximo","OK")))</x:f>
      </x:c>
    </x:row>
    <x:row r="99" ht="16.5" customHeight="1">
      <x:c r="A99" s="16"/>
      <x:c r="B99" s="17"/>
      <x:c r="C99" s="16"/>
      <x:c r="D99" s="15"/>
      <x:c r="E99" s="16" t="str">
        <x:f>IF(D99="","",D99-TODAY())</x:f>
      </x:c>
      <x:c r="F99" s="16" t="str">
        <x:f>IF(A99="","",IF(E99&lt;5,"Urgente",IF(E99&lt;=10,"Próximo","OK")))</x:f>
      </x:c>
    </x:row>
    <x:row r="100" ht="16.5" customHeight="1">
      <x:c r="A100" s="16"/>
      <x:c r="B100" s="17"/>
      <x:c r="C100" s="16"/>
      <x:c r="D100" s="15"/>
      <x:c r="E100" s="16" t="str">
        <x:f>IF(D100="","",D100-TODAY())</x:f>
      </x:c>
      <x:c r="F100" s="16" t="str">
        <x:f>IF(A100="","",IF(E100&lt;5,"Urgente",IF(E100&lt;=10,"Próximo","OK")))</x:f>
      </x:c>
    </x:row>
    <x:row r="101" ht="16.5" customHeight="1">
      <x:c r="A101" s="16"/>
      <x:c r="B101" s="17"/>
      <x:c r="C101" s="16"/>
      <x:c r="D101" s="15"/>
      <x:c r="E101" s="16" t="str">
        <x:f>IF(D101="","",D101-TODAY())</x:f>
      </x:c>
      <x:c r="F101" s="16" t="str">
        <x:f>IF(A101="","",IF(E101&lt;5,"Urgente",IF(E101&lt;=10,"Próximo","OK")))</x:f>
      </x:c>
    </x:row>
    <x:row r="102" ht="16.5" customHeight="1">
      <x:c r="A102" s="16"/>
      <x:c r="B102" s="17"/>
      <x:c r="C102" s="16"/>
      <x:c r="D102" s="15"/>
      <x:c r="E102" s="16" t="str">
        <x:f>IF(D102="","",D102-TODAY())</x:f>
      </x:c>
      <x:c r="F102" s="16" t="str">
        <x:f>IF(A102="","",IF(E102&lt;5,"Urgente",IF(E102&lt;=10,"Próximo","OK")))</x:f>
      </x:c>
    </x:row>
    <x:row r="103" ht="16.5" customHeight="1">
      <x:c r="A103" s="16"/>
      <x:c r="B103" s="17"/>
      <x:c r="C103" s="16"/>
      <x:c r="D103" s="15"/>
      <x:c r="E103" s="16" t="str">
        <x:f>IF(D103="","",D103-TODAY())</x:f>
      </x:c>
      <x:c r="F103" s="16" t="str">
        <x:f>IF(A103="","",IF(E103&lt;5,"Urgente",IF(E103&lt;=10,"Próximo","OK")))</x:f>
      </x:c>
    </x:row>
    <x:row r="104" ht="16.5" customHeight="1">
      <x:c r="A104" s="16"/>
      <x:c r="B104" s="17"/>
      <x:c r="C104" s="16"/>
      <x:c r="D104" s="15"/>
      <x:c r="E104" s="16" t="str">
        <x:f>IF(D104="","",D104-TODAY())</x:f>
      </x:c>
      <x:c r="F104" s="16" t="str">
        <x:f>IF(A104="","",IF(E104&lt;5,"Urgente",IF(E104&lt;=10,"Próximo","OK")))</x:f>
      </x:c>
    </x:row>
  </x:sheetData>
  <x:mergeCells>
    <x:mergeCell ref="A1:F2"/>
  </x:mergeCells>
  <x:conditionalFormatting sqref="F5:F104">
    <x:cfRule type="containsText" dxfId="0" priority="1" operator="containsText" text="OK"/>
    <x:cfRule type="containsText" dxfId="1" priority="2" operator="containsText" text="Próximo"/>
    <x:cfRule type="containsText" dxfId="2" priority="3" operator="containsText" text="Urgente"/>
  </x:conditionalFormatting>
  <x:pageMargins left="0.7" right="0.7" top="0.75" bottom="0.75" header="0.3" footer="0.3"/>
  <x:tableParts count="1">
    <x:tablePart xmlns:r="http://schemas.openxmlformats.org/officeDocument/2006/relationships" r:id="Rb0e24833126e4a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16.8799991607666" hidden="0" customWidth="1"/>
    <x:col min="3" max="3" width="16.8799991607666" hidden="0" customWidth="1"/>
    <x:col min="4" max="4" width="18.1299991607666" hidden="0" customWidth="1"/>
    <x:col min="5" max="5" width="16.25" hidden="0" customWidth="1"/>
    <x:col min="6" max="6" width="16.25" hidden="0" customWidth="1"/>
    <x:col min="7" max="7" width="14.380000114440918" hidden="0" customWidth="1"/>
  </x:cols>
  <x:sheetData>
    <x:row r="1" ht="25.5" customHeight="1">
      <x:c r="A1" s="5" t="str">
        <x:v>Mercado
Inventario básico del hogar y lista automática de reposición.</x:v>
      </x:c>
      <x:c r="B1" s="5"/>
      <x:c r="C1" s="5"/>
      <x:c r="D1" s="5"/>
      <x:c r="E1" s="5"/>
      <x:c r="F1" s="5"/>
      <x:c r="G1" s="5"/>
    </x:row>
    <x:row r="2" ht="25.5" customHeight="1">
      <x:c r="A2" s="5"/>
      <x:c r="B2" s="5"/>
      <x:c r="C2" s="5"/>
      <x:c r="D2" s="5"/>
      <x:c r="E2" s="5"/>
      <x:c r="F2" s="5"/>
      <x:c r="G2" s="5"/>
    </x:row>
    <x:row r="3" ht="16.5" customHeight="1"/>
    <x:row r="4" ht="19.5" customHeight="1">
      <x:c r="A4" s="9" t="str">
        <x:v>Producto</x:v>
      </x:c>
      <x:c r="B4" s="9" t="str">
        <x:v>Categoría</x:v>
      </x:c>
      <x:c r="C4" s="9" t="str">
        <x:v>Último precio pagado</x:v>
      </x:c>
      <x:c r="D4" s="9" t="str">
        <x:v>Fecha última compra</x:v>
      </x:c>
      <x:c r="E4" s="9" t="str">
        <x:v>Cantidad actual</x:v>
      </x:c>
      <x:c r="F4" s="9" t="str">
        <x:v>Cantidad mínima</x:v>
      </x:c>
      <x:c r="G4" s="9" t="str">
        <x:v>Reponer</x:v>
      </x:c>
    </x:row>
    <x:row r="5" ht="16.5" customHeight="1">
      <x:c r="A5" s="16" t="str">
        <x:v>Leche</x:v>
      </x:c>
      <x:c r="B5" s="16" t="str">
        <x:v>Lácteos</x:v>
      </x:c>
      <x:c r="C5" s="17" t="n">
        <x:v>2.5</x:v>
      </x:c>
      <x:c r="D5" s="15" t="n">
        <x:v>46178</x:v>
      </x:c>
      <x:c r="E5" s="16" t="n">
        <x:v>1</x:v>
      </x:c>
      <x:c r="F5" s="16" t="n">
        <x:v>2</x:v>
      </x:c>
      <x:c r="G5" s="16" t="str">
        <x:f>IF(A5="","",IF(E5&lt;=F5,"Sí","No"))</x:f>
        <x:v>Sí</x:v>
      </x:c>
    </x:row>
    <x:row r="6" ht="16.5" customHeight="1">
      <x:c r="A6" s="16" t="str">
        <x:v>Huevos</x:v>
      </x:c>
      <x:c r="B6" s="16" t="str">
        <x:v>Despensa</x:v>
      </x:c>
      <x:c r="C6" s="17" t="n">
        <x:v>4</x:v>
      </x:c>
      <x:c r="D6" s="15" t="n">
        <x:v>46176</x:v>
      </x:c>
      <x:c r="E6" s="16" t="n">
        <x:v>12</x:v>
      </x:c>
      <x:c r="F6" s="16" t="n">
        <x:v>6</x:v>
      </x:c>
      <x:c r="G6" s="16" t="str">
        <x:f>IF(A6="","",IF(E6&lt;=F6,"Sí","No"))</x:f>
        <x:v>No</x:v>
      </x:c>
    </x:row>
    <x:row r="7" ht="16.5" customHeight="1">
      <x:c r="A7" s="16" t="str">
        <x:v>Arroz</x:v>
      </x:c>
      <x:c r="B7" s="16" t="str">
        <x:v>Despensa</x:v>
      </x:c>
      <x:c r="C7" s="17" t="n">
        <x:v>3.2</x:v>
      </x:c>
      <x:c r="D7" s="15" t="n">
        <x:v>46171</x:v>
      </x:c>
      <x:c r="E7" s="16" t="n">
        <x:v>1</x:v>
      </x:c>
      <x:c r="F7" s="16" t="n">
        <x:v>1</x:v>
      </x:c>
      <x:c r="G7" s="16" t="str">
        <x:f>IF(A7="","",IF(E7&lt;=F7,"Sí","No"))</x:f>
        <x:v>Sí</x:v>
      </x:c>
    </x:row>
    <x:row r="8" ht="16.5" customHeight="1">
      <x:c r="A8" s="16" t="str">
        <x:v>Café</x:v>
      </x:c>
      <x:c r="B8" s="16" t="str">
        <x:v>Despensa</x:v>
      </x:c>
      <x:c r="C8" s="17" t="n">
        <x:v>6.8</x:v>
      </x:c>
      <x:c r="D8" s="15" t="n">
        <x:v>46174</x:v>
      </x:c>
      <x:c r="E8" s="16" t="n">
        <x:v>0</x:v>
      </x:c>
      <x:c r="F8" s="16" t="n">
        <x:v>1</x:v>
      </x:c>
      <x:c r="G8" s="16" t="str">
        <x:f>IF(A8="","",IF(E8&lt;=F8,"Sí","No"))</x:f>
        <x:v>Sí</x:v>
      </x:c>
    </x:row>
    <x:row r="9" ht="16.5" customHeight="1">
      <x:c r="A9" s="16" t="str">
        <x:v>Papel higiénico</x:v>
      </x:c>
      <x:c r="B9" s="16" t="str">
        <x:v>Limpieza</x:v>
      </x:c>
      <x:c r="C9" s="17" t="n">
        <x:v>7.9</x:v>
      </x:c>
      <x:c r="D9" s="15" t="n">
        <x:v>46170</x:v>
      </x:c>
      <x:c r="E9" s="16" t="n">
        <x:v>3</x:v>
      </x:c>
      <x:c r="F9" s="16" t="n">
        <x:v>4</x:v>
      </x:c>
      <x:c r="G9" s="16" t="str">
        <x:f>IF(A9="","",IF(E9&lt;=F9,"Sí","No"))</x:f>
        <x:v>Sí</x:v>
      </x:c>
    </x:row>
    <x:row r="10" ht="16.5" customHeight="1">
      <x:c r="A10" s="16" t="str">
        <x:v>Detergente</x:v>
      </x:c>
      <x:c r="B10" s="16" t="str">
        <x:v>Limpieza</x:v>
      </x:c>
      <x:c r="C10" s="17" t="n">
        <x:v>5.5</x:v>
      </x:c>
      <x:c r="D10" s="15" t="n">
        <x:v>46167</x:v>
      </x:c>
      <x:c r="E10" s="16" t="n">
        <x:v>1</x:v>
      </x:c>
      <x:c r="F10" s="16" t="n">
        <x:v>1</x:v>
      </x:c>
      <x:c r="G10" s="16" t="str">
        <x:f>IF(A10="","",IF(E10&lt;=F10,"Sí","No"))</x:f>
        <x:v>Sí</x:v>
      </x:c>
    </x:row>
    <x:row r="11" ht="16.5" customHeight="1">
      <x:c r="A11" s="16" t="str">
        <x:v>Yogur</x:v>
      </x:c>
      <x:c r="B11" s="16" t="str">
        <x:v>Lácteos</x:v>
      </x:c>
      <x:c r="C11" s="17" t="n">
        <x:v>3.7</x:v>
      </x:c>
      <x:c r="D11" s="15" t="n">
        <x:v>46179</x:v>
      </x:c>
      <x:c r="E11" s="16" t="n">
        <x:v>4</x:v>
      </x:c>
      <x:c r="F11" s="16" t="n">
        <x:v>3</x:v>
      </x:c>
      <x:c r="G11" s="16" t="str">
        <x:f>IF(A11="","",IF(E11&lt;=F11,"Sí","No"))</x:f>
        <x:v>No</x:v>
      </x:c>
    </x:row>
    <x:row r="12" ht="16.5" customHeight="1">
      <x:c r="A12" s="16" t="str">
        <x:v>Pollo</x:v>
      </x:c>
      <x:c r="B12" s="16" t="str">
        <x:v>Carnes</x:v>
      </x:c>
      <x:c r="C12" s="17" t="n">
        <x:v>9.6</x:v>
      </x:c>
      <x:c r="D12" s="15" t="n">
        <x:v>46177</x:v>
      </x:c>
      <x:c r="E12" s="16" t="n">
        <x:v>1</x:v>
      </x:c>
      <x:c r="F12" s="16" t="n">
        <x:v>2</x:v>
      </x:c>
      <x:c r="G12" s="16" t="str">
        <x:f>IF(A12="","",IF(E12&lt;=F12,"Sí","No"))</x:f>
        <x:v>Sí</x:v>
      </x:c>
    </x:row>
    <x:row r="13" ht="16.5" customHeight="1">
      <x:c r="A13" s="16" t="str">
        <x:v>Pan</x:v>
      </x:c>
      <x:c r="B13" s="16" t="str">
        <x:v>Despensa</x:v>
      </x:c>
      <x:c r="C13" s="17" t="n">
        <x:v>1.9</x:v>
      </x:c>
      <x:c r="D13" s="15" t="n">
        <x:v>46180</x:v>
      </x:c>
      <x:c r="E13" s="16" t="n">
        <x:v>2</x:v>
      </x:c>
      <x:c r="F13" s="16" t="n">
        <x:v>2</x:v>
      </x:c>
      <x:c r="G13" s="16" t="str">
        <x:f>IF(A13="","",IF(E13&lt;=F13,"Sí","No"))</x:f>
        <x:v>Sí</x:v>
      </x:c>
    </x:row>
    <x:row r="14" ht="16.5" customHeight="1">
      <x:c r="A14" s="16" t="str">
        <x:v>Pasta</x:v>
      </x:c>
      <x:c r="B14" s="16" t="str">
        <x:v>Despensa</x:v>
      </x:c>
      <x:c r="C14" s="17" t="n">
        <x:v>2.1</x:v>
      </x:c>
      <x:c r="D14" s="15" t="n">
        <x:v>46175</x:v>
      </x:c>
      <x:c r="E14" s="16" t="n">
        <x:v>5</x:v>
      </x:c>
      <x:c r="F14" s="16" t="n">
        <x:v>3</x:v>
      </x:c>
      <x:c r="G14" s="16" t="str">
        <x:f>IF(A14="","",IF(E14&lt;=F14,"Sí","No"))</x:f>
        <x:v>No</x:v>
      </x:c>
    </x:row>
    <x:row r="15" ht="16.5" customHeight="1">
      <x:c r="A15" s="16" t="str">
        <x:v>Jabón</x:v>
      </x:c>
      <x:c r="B15" s="16" t="str">
        <x:v>Higiene</x:v>
      </x:c>
      <x:c r="C15" s="17" t="n">
        <x:v>2.8</x:v>
      </x:c>
      <x:c r="D15" s="15" t="n">
        <x:v>46172</x:v>
      </x:c>
      <x:c r="E15" s="16" t="n">
        <x:v>1</x:v>
      </x:c>
      <x:c r="F15" s="16" t="n">
        <x:v>2</x:v>
      </x:c>
      <x:c r="G15" s="16" t="str">
        <x:f>IF(A15="","",IF(E15&lt;=F15,"Sí","No"))</x:f>
        <x:v>Sí</x:v>
      </x:c>
    </x:row>
    <x:row r="16" ht="16.5" customHeight="1">
      <x:c r="A16" s="16" t="str">
        <x:v>Aceite</x:v>
      </x:c>
      <x:c r="B16" s="16" t="str">
        <x:v>Despensa</x:v>
      </x:c>
      <x:c r="C16" s="17" t="n">
        <x:v>5.2</x:v>
      </x:c>
      <x:c r="D16" s="15" t="n">
        <x:v>46163</x:v>
      </x:c>
      <x:c r="E16" s="16" t="n">
        <x:v>1</x:v>
      </x:c>
      <x:c r="F16" s="16" t="n">
        <x:v>1</x:v>
      </x:c>
      <x:c r="G16" s="16" t="str">
        <x:f>IF(A16="","",IF(E16&lt;=F16,"Sí","No"))</x:f>
        <x:v>Sí</x:v>
      </x:c>
    </x:row>
    <x:row r="17" ht="16.5" customHeight="1">
      <x:c r="A17" s="16"/>
      <x:c r="B17" s="16"/>
      <x:c r="C17" s="17"/>
      <x:c r="D17" s="15"/>
      <x:c r="E17" s="16"/>
      <x:c r="F17" s="16"/>
      <x:c r="G17" s="16" t="str">
        <x:f>IF(A17="","",IF(E17&lt;=F17,"Sí","No"))</x:f>
      </x:c>
    </x:row>
    <x:row r="18" ht="16.5" customHeight="1">
      <x:c r="A18" s="16"/>
      <x:c r="B18" s="16"/>
      <x:c r="C18" s="17"/>
      <x:c r="D18" s="15"/>
      <x:c r="E18" s="16"/>
      <x:c r="F18" s="16"/>
      <x:c r="G18" s="16" t="str">
        <x:f>IF(A18="","",IF(E18&lt;=F18,"Sí","No"))</x:f>
      </x:c>
    </x:row>
    <x:row r="19" ht="16.5" customHeight="1">
      <x:c r="A19" s="16"/>
      <x:c r="B19" s="16"/>
      <x:c r="C19" s="17"/>
      <x:c r="D19" s="15"/>
      <x:c r="E19" s="16"/>
      <x:c r="F19" s="16"/>
      <x:c r="G19" s="16" t="str">
        <x:f>IF(A19="","",IF(E19&lt;=F19,"Sí","No"))</x:f>
      </x:c>
    </x:row>
    <x:row r="20" ht="16.5" customHeight="1">
      <x:c r="A20" s="16"/>
      <x:c r="B20" s="16"/>
      <x:c r="C20" s="17"/>
      <x:c r="D20" s="15"/>
      <x:c r="E20" s="16"/>
      <x:c r="F20" s="16"/>
      <x:c r="G20" s="16" t="str">
        <x:f>IF(A20="","",IF(E20&lt;=F20,"Sí","No"))</x:f>
      </x:c>
    </x:row>
    <x:row r="21" ht="16.5" customHeight="1">
      <x:c r="A21" s="16"/>
      <x:c r="B21" s="16"/>
      <x:c r="C21" s="17"/>
      <x:c r="D21" s="15"/>
      <x:c r="E21" s="16"/>
      <x:c r="F21" s="16"/>
      <x:c r="G21" s="16" t="str">
        <x:f>IF(A21="","",IF(E21&lt;=F21,"Sí","No"))</x:f>
      </x:c>
    </x:row>
    <x:row r="22" ht="16.5" customHeight="1">
      <x:c r="A22" s="16"/>
      <x:c r="B22" s="16"/>
      <x:c r="C22" s="17"/>
      <x:c r="D22" s="15"/>
      <x:c r="E22" s="16"/>
      <x:c r="F22" s="16"/>
      <x:c r="G22" s="16" t="str">
        <x:f>IF(A22="","",IF(E22&lt;=F22,"Sí","No"))</x:f>
      </x:c>
    </x:row>
    <x:row r="23" ht="16.5" customHeight="1">
      <x:c r="A23" s="16"/>
      <x:c r="B23" s="16"/>
      <x:c r="C23" s="17"/>
      <x:c r="D23" s="15"/>
      <x:c r="E23" s="16"/>
      <x:c r="F23" s="16"/>
      <x:c r="G23" s="16" t="str">
        <x:f>IF(A23="","",IF(E23&lt;=F23,"Sí","No"))</x:f>
      </x:c>
    </x:row>
    <x:row r="24" ht="16.5" customHeight="1">
      <x:c r="A24" s="16"/>
      <x:c r="B24" s="16"/>
      <x:c r="C24" s="17"/>
      <x:c r="D24" s="15"/>
      <x:c r="E24" s="16"/>
      <x:c r="F24" s="16"/>
      <x:c r="G24" s="16" t="str">
        <x:f>IF(A24="","",IF(E24&lt;=F24,"Sí","No"))</x:f>
      </x:c>
    </x:row>
    <x:row r="25" ht="16.5" customHeight="1">
      <x:c r="A25" s="16"/>
      <x:c r="B25" s="16"/>
      <x:c r="C25" s="17"/>
      <x:c r="D25" s="15"/>
      <x:c r="E25" s="16"/>
      <x:c r="F25" s="16"/>
      <x:c r="G25" s="16" t="str">
        <x:f>IF(A25="","",IF(E25&lt;=F25,"Sí","No"))</x:f>
      </x:c>
    </x:row>
    <x:row r="26" ht="16.5" customHeight="1">
      <x:c r="A26" s="16"/>
      <x:c r="B26" s="16"/>
      <x:c r="C26" s="17"/>
      <x:c r="D26" s="15"/>
      <x:c r="E26" s="16"/>
      <x:c r="F26" s="16"/>
      <x:c r="G26" s="16" t="str">
        <x:f>IF(A26="","",IF(E26&lt;=F26,"Sí","No"))</x:f>
      </x:c>
    </x:row>
    <x:row r="27" ht="16.5" customHeight="1">
      <x:c r="A27" s="16"/>
      <x:c r="B27" s="16"/>
      <x:c r="C27" s="17"/>
      <x:c r="D27" s="15"/>
      <x:c r="E27" s="16"/>
      <x:c r="F27" s="16"/>
      <x:c r="G27" s="16" t="str">
        <x:f>IF(A27="","",IF(E27&lt;=F27,"Sí","No"))</x:f>
      </x:c>
    </x:row>
    <x:row r="28" ht="16.5" customHeight="1">
      <x:c r="A28" s="16"/>
      <x:c r="B28" s="16"/>
      <x:c r="C28" s="17"/>
      <x:c r="D28" s="15"/>
      <x:c r="E28" s="16"/>
      <x:c r="F28" s="16"/>
      <x:c r="G28" s="16" t="str">
        <x:f>IF(A28="","",IF(E28&lt;=F28,"Sí","No"))</x:f>
      </x:c>
    </x:row>
    <x:row r="29" ht="16.5" customHeight="1">
      <x:c r="A29" s="16"/>
      <x:c r="B29" s="16"/>
      <x:c r="C29" s="17"/>
      <x:c r="D29" s="15"/>
      <x:c r="E29" s="16"/>
      <x:c r="F29" s="16"/>
      <x:c r="G29" s="16" t="str">
        <x:f>IF(A29="","",IF(E29&lt;=F29,"Sí","No"))</x:f>
      </x:c>
    </x:row>
    <x:row r="30" ht="16.5" customHeight="1">
      <x:c r="A30" s="16"/>
      <x:c r="B30" s="16"/>
      <x:c r="C30" s="17"/>
      <x:c r="D30" s="15"/>
      <x:c r="E30" s="16"/>
      <x:c r="F30" s="16"/>
      <x:c r="G30" s="16" t="str">
        <x:f>IF(A30="","",IF(E30&lt;=F30,"Sí","No"))</x:f>
      </x:c>
    </x:row>
    <x:row r="31" ht="16.5" customHeight="1">
      <x:c r="A31" s="16"/>
      <x:c r="B31" s="16"/>
      <x:c r="C31" s="17"/>
      <x:c r="D31" s="15"/>
      <x:c r="E31" s="16"/>
      <x:c r="F31" s="16"/>
      <x:c r="G31" s="16" t="str">
        <x:f>IF(A31="","",IF(E31&lt;=F31,"Sí","No"))</x:f>
      </x:c>
    </x:row>
    <x:row r="32" ht="16.5" customHeight="1">
      <x:c r="A32" s="16"/>
      <x:c r="B32" s="16"/>
      <x:c r="C32" s="17"/>
      <x:c r="D32" s="15"/>
      <x:c r="E32" s="16"/>
      <x:c r="F32" s="16"/>
      <x:c r="G32" s="16" t="str">
        <x:f>IF(A32="","",IF(E32&lt;=F32,"Sí","No"))</x:f>
      </x:c>
    </x:row>
    <x:row r="33" ht="16.5" customHeight="1">
      <x:c r="A33" s="16"/>
      <x:c r="B33" s="16"/>
      <x:c r="C33" s="17"/>
      <x:c r="D33" s="15"/>
      <x:c r="E33" s="16"/>
      <x:c r="F33" s="16"/>
      <x:c r="G33" s="16" t="str">
        <x:f>IF(A33="","",IF(E33&lt;=F33,"Sí","No"))</x:f>
      </x:c>
    </x:row>
    <x:row r="34" ht="16.5" customHeight="1">
      <x:c r="A34" s="16"/>
      <x:c r="B34" s="16"/>
      <x:c r="C34" s="17"/>
      <x:c r="D34" s="15"/>
      <x:c r="E34" s="16"/>
      <x:c r="F34" s="16"/>
      <x:c r="G34" s="16" t="str">
        <x:f>IF(A34="","",IF(E34&lt;=F34,"Sí","No"))</x:f>
      </x:c>
    </x:row>
    <x:row r="35" ht="16.5" customHeight="1">
      <x:c r="A35" s="16"/>
      <x:c r="B35" s="16"/>
      <x:c r="C35" s="17"/>
      <x:c r="D35" s="15"/>
      <x:c r="E35" s="16"/>
      <x:c r="F35" s="16"/>
      <x:c r="G35" s="16" t="str">
        <x:f>IF(A35="","",IF(E35&lt;=F35,"Sí","No"))</x:f>
      </x:c>
    </x:row>
    <x:row r="36" ht="16.5" customHeight="1">
      <x:c r="A36" s="16"/>
      <x:c r="B36" s="16"/>
      <x:c r="C36" s="17"/>
      <x:c r="D36" s="15"/>
      <x:c r="E36" s="16"/>
      <x:c r="F36" s="16"/>
      <x:c r="G36" s="16" t="str">
        <x:f>IF(A36="","",IF(E36&lt;=F36,"Sí","No"))</x:f>
      </x:c>
    </x:row>
    <x:row r="37" ht="16.5" customHeight="1">
      <x:c r="A37" s="16"/>
      <x:c r="B37" s="16"/>
      <x:c r="C37" s="17"/>
      <x:c r="D37" s="15"/>
      <x:c r="E37" s="16"/>
      <x:c r="F37" s="16"/>
      <x:c r="G37" s="16" t="str">
        <x:f>IF(A37="","",IF(E37&lt;=F37,"Sí","No"))</x:f>
      </x:c>
    </x:row>
    <x:row r="38" ht="16.5" customHeight="1">
      <x:c r="A38" s="16"/>
      <x:c r="B38" s="16"/>
      <x:c r="C38" s="17"/>
      <x:c r="D38" s="15"/>
      <x:c r="E38" s="16"/>
      <x:c r="F38" s="16"/>
      <x:c r="G38" s="16" t="str">
        <x:f>IF(A38="","",IF(E38&lt;=F38,"Sí","No"))</x:f>
      </x:c>
    </x:row>
    <x:row r="39" ht="16.5" customHeight="1">
      <x:c r="A39" s="16"/>
      <x:c r="B39" s="16"/>
      <x:c r="C39" s="17"/>
      <x:c r="D39" s="15"/>
      <x:c r="E39" s="16"/>
      <x:c r="F39" s="16"/>
      <x:c r="G39" s="16" t="str">
        <x:f>IF(A39="","",IF(E39&lt;=F39,"Sí","No"))</x:f>
      </x:c>
    </x:row>
    <x:row r="40" ht="16.5" customHeight="1">
      <x:c r="A40" s="16"/>
      <x:c r="B40" s="16"/>
      <x:c r="C40" s="17"/>
      <x:c r="D40" s="15"/>
      <x:c r="E40" s="16"/>
      <x:c r="F40" s="16"/>
      <x:c r="G40" s="16" t="str">
        <x:f>IF(A40="","",IF(E40&lt;=F40,"Sí","No"))</x:f>
      </x:c>
    </x:row>
    <x:row r="41" ht="16.5" customHeight="1">
      <x:c r="A41" s="16"/>
      <x:c r="B41" s="16"/>
      <x:c r="C41" s="17"/>
      <x:c r="D41" s="15"/>
      <x:c r="E41" s="16"/>
      <x:c r="F41" s="16"/>
      <x:c r="G41" s="16" t="str">
        <x:f>IF(A41="","",IF(E41&lt;=F41,"Sí","No"))</x:f>
      </x:c>
    </x:row>
    <x:row r="42" ht="16.5" customHeight="1">
      <x:c r="A42" s="16"/>
      <x:c r="B42" s="16"/>
      <x:c r="C42" s="17"/>
      <x:c r="D42" s="15"/>
      <x:c r="E42" s="16"/>
      <x:c r="F42" s="16"/>
      <x:c r="G42" s="16" t="str">
        <x:f>IF(A42="","",IF(E42&lt;=F42,"Sí","No"))</x:f>
      </x:c>
    </x:row>
    <x:row r="43" ht="16.5" customHeight="1">
      <x:c r="A43" s="16"/>
      <x:c r="B43" s="16"/>
      <x:c r="C43" s="17"/>
      <x:c r="D43" s="15"/>
      <x:c r="E43" s="16"/>
      <x:c r="F43" s="16"/>
      <x:c r="G43" s="16" t="str">
        <x:f>IF(A43="","",IF(E43&lt;=F43,"Sí","No"))</x:f>
      </x:c>
    </x:row>
    <x:row r="44" ht="16.5" customHeight="1">
      <x:c r="A44" s="16"/>
      <x:c r="B44" s="16"/>
      <x:c r="C44" s="17"/>
      <x:c r="D44" s="15"/>
      <x:c r="E44" s="16"/>
      <x:c r="F44" s="16"/>
      <x:c r="G44" s="16" t="str">
        <x:f>IF(A44="","",IF(E44&lt;=F44,"Sí","No"))</x:f>
      </x:c>
    </x:row>
    <x:row r="45" ht="16.5" customHeight="1">
      <x:c r="A45" s="16"/>
      <x:c r="B45" s="16"/>
      <x:c r="C45" s="17"/>
      <x:c r="D45" s="15"/>
      <x:c r="E45" s="16"/>
      <x:c r="F45" s="16"/>
      <x:c r="G45" s="16" t="str">
        <x:f>IF(A45="","",IF(E45&lt;=F45,"Sí","No"))</x:f>
      </x:c>
    </x:row>
    <x:row r="46" ht="16.5" customHeight="1">
      <x:c r="A46" s="16"/>
      <x:c r="B46" s="16"/>
      <x:c r="C46" s="17"/>
      <x:c r="D46" s="15"/>
      <x:c r="E46" s="16"/>
      <x:c r="F46" s="16"/>
      <x:c r="G46" s="16" t="str">
        <x:f>IF(A46="","",IF(E46&lt;=F46,"Sí","No"))</x:f>
      </x:c>
    </x:row>
    <x:row r="47" ht="16.5" customHeight="1">
      <x:c r="A47" s="16"/>
      <x:c r="B47" s="16"/>
      <x:c r="C47" s="17"/>
      <x:c r="D47" s="15"/>
      <x:c r="E47" s="16"/>
      <x:c r="F47" s="16"/>
      <x:c r="G47" s="16" t="str">
        <x:f>IF(A47="","",IF(E47&lt;=F47,"Sí","No"))</x:f>
      </x:c>
    </x:row>
    <x:row r="48" ht="16.5" customHeight="1">
      <x:c r="A48" s="16"/>
      <x:c r="B48" s="16"/>
      <x:c r="C48" s="17"/>
      <x:c r="D48" s="15"/>
      <x:c r="E48" s="16"/>
      <x:c r="F48" s="16"/>
      <x:c r="G48" s="16" t="str">
        <x:f>IF(A48="","",IF(E48&lt;=F48,"Sí","No"))</x:f>
      </x:c>
    </x:row>
    <x:row r="49" ht="16.5" customHeight="1">
      <x:c r="A49" s="16"/>
      <x:c r="B49" s="16"/>
      <x:c r="C49" s="17"/>
      <x:c r="D49" s="15"/>
      <x:c r="E49" s="16"/>
      <x:c r="F49" s="16"/>
      <x:c r="G49" s="16" t="str">
        <x:f>IF(A49="","",IF(E49&lt;=F49,"Sí","No"))</x:f>
      </x:c>
    </x:row>
    <x:row r="50" ht="16.5" customHeight="1">
      <x:c r="A50" s="16"/>
      <x:c r="B50" s="16"/>
      <x:c r="C50" s="17"/>
      <x:c r="D50" s="15"/>
      <x:c r="E50" s="16"/>
      <x:c r="F50" s="16"/>
      <x:c r="G50" s="16" t="str">
        <x:f>IF(A50="","",IF(E50&lt;=F50,"Sí","No"))</x:f>
      </x:c>
    </x:row>
    <x:row r="51" ht="16.5" customHeight="1">
      <x:c r="A51" s="16"/>
      <x:c r="B51" s="16"/>
      <x:c r="C51" s="17"/>
      <x:c r="D51" s="15"/>
      <x:c r="E51" s="16"/>
      <x:c r="F51" s="16"/>
      <x:c r="G51" s="16" t="str">
        <x:f>IF(A51="","",IF(E51&lt;=F51,"Sí","No"))</x:f>
      </x:c>
    </x:row>
    <x:row r="52" ht="16.5" customHeight="1">
      <x:c r="A52" s="16"/>
      <x:c r="B52" s="16"/>
      <x:c r="C52" s="17"/>
      <x:c r="D52" s="15"/>
      <x:c r="E52" s="16"/>
      <x:c r="F52" s="16"/>
      <x:c r="G52" s="16" t="str">
        <x:f>IF(A52="","",IF(E52&lt;=F52,"Sí","No"))</x:f>
      </x:c>
    </x:row>
    <x:row r="53" ht="16.5" customHeight="1">
      <x:c r="A53" s="16"/>
      <x:c r="B53" s="16"/>
      <x:c r="C53" s="17"/>
      <x:c r="D53" s="15"/>
      <x:c r="E53" s="16"/>
      <x:c r="F53" s="16"/>
      <x:c r="G53" s="16" t="str">
        <x:f>IF(A53="","",IF(E53&lt;=F53,"Sí","No"))</x:f>
      </x:c>
    </x:row>
    <x:row r="54" ht="16.5" customHeight="1">
      <x:c r="A54" s="16"/>
      <x:c r="B54" s="16"/>
      <x:c r="C54" s="17"/>
      <x:c r="D54" s="15"/>
      <x:c r="E54" s="16"/>
      <x:c r="F54" s="16"/>
      <x:c r="G54" s="16" t="str">
        <x:f>IF(A54="","",IF(E54&lt;=F54,"Sí","No"))</x:f>
      </x:c>
    </x:row>
    <x:row r="55" ht="16.5" customHeight="1">
      <x:c r="A55" s="16"/>
      <x:c r="B55" s="16"/>
      <x:c r="C55" s="17"/>
      <x:c r="D55" s="15"/>
      <x:c r="E55" s="16"/>
      <x:c r="F55" s="16"/>
      <x:c r="G55" s="16" t="str">
        <x:f>IF(A55="","",IF(E55&lt;=F55,"Sí","No"))</x:f>
      </x:c>
    </x:row>
    <x:row r="56" ht="16.5" customHeight="1">
      <x:c r="A56" s="16"/>
      <x:c r="B56" s="16"/>
      <x:c r="C56" s="17"/>
      <x:c r="D56" s="15"/>
      <x:c r="E56" s="16"/>
      <x:c r="F56" s="16"/>
      <x:c r="G56" s="16" t="str">
        <x:f>IF(A56="","",IF(E56&lt;=F56,"Sí","No"))</x:f>
      </x:c>
    </x:row>
    <x:row r="57" ht="16.5" customHeight="1">
      <x:c r="A57" s="16"/>
      <x:c r="B57" s="16"/>
      <x:c r="C57" s="17"/>
      <x:c r="D57" s="15"/>
      <x:c r="E57" s="16"/>
      <x:c r="F57" s="16"/>
      <x:c r="G57" s="16" t="str">
        <x:f>IF(A57="","",IF(E57&lt;=F57,"Sí","No"))</x:f>
      </x:c>
    </x:row>
    <x:row r="58" ht="16.5" customHeight="1">
      <x:c r="A58" s="16"/>
      <x:c r="B58" s="16"/>
      <x:c r="C58" s="17"/>
      <x:c r="D58" s="15"/>
      <x:c r="E58" s="16"/>
      <x:c r="F58" s="16"/>
      <x:c r="G58" s="16" t="str">
        <x:f>IF(A58="","",IF(E58&lt;=F58,"Sí","No"))</x:f>
      </x:c>
    </x:row>
    <x:row r="59" ht="16.5" customHeight="1">
      <x:c r="A59" s="16"/>
      <x:c r="B59" s="16"/>
      <x:c r="C59" s="17"/>
      <x:c r="D59" s="15"/>
      <x:c r="E59" s="16"/>
      <x:c r="F59" s="16"/>
      <x:c r="G59" s="16" t="str">
        <x:f>IF(A59="","",IF(E59&lt;=F59,"Sí","No"))</x:f>
      </x:c>
    </x:row>
    <x:row r="60" ht="16.5" customHeight="1">
      <x:c r="A60" s="16"/>
      <x:c r="B60" s="16"/>
      <x:c r="C60" s="17"/>
      <x:c r="D60" s="15"/>
      <x:c r="E60" s="16"/>
      <x:c r="F60" s="16"/>
      <x:c r="G60" s="16" t="str">
        <x:f>IF(A60="","",IF(E60&lt;=F60,"Sí","No"))</x:f>
      </x:c>
    </x:row>
    <x:row r="61" ht="16.5" customHeight="1">
      <x:c r="A61" s="16"/>
      <x:c r="B61" s="16"/>
      <x:c r="C61" s="17"/>
      <x:c r="D61" s="15"/>
      <x:c r="E61" s="16"/>
      <x:c r="F61" s="16"/>
      <x:c r="G61" s="16" t="str">
        <x:f>IF(A61="","",IF(E61&lt;=F61,"Sí","No"))</x:f>
      </x:c>
    </x:row>
    <x:row r="62" ht="16.5" customHeight="1">
      <x:c r="A62" s="16"/>
      <x:c r="B62" s="16"/>
      <x:c r="C62" s="17"/>
      <x:c r="D62" s="15"/>
      <x:c r="E62" s="16"/>
      <x:c r="F62" s="16"/>
      <x:c r="G62" s="16" t="str">
        <x:f>IF(A62="","",IF(E62&lt;=F62,"Sí","No"))</x:f>
      </x:c>
    </x:row>
    <x:row r="63" ht="16.5" customHeight="1">
      <x:c r="A63" s="16"/>
      <x:c r="B63" s="16"/>
      <x:c r="C63" s="17"/>
      <x:c r="D63" s="15"/>
      <x:c r="E63" s="16"/>
      <x:c r="F63" s="16"/>
      <x:c r="G63" s="16" t="str">
        <x:f>IF(A63="","",IF(E63&lt;=F63,"Sí","No"))</x:f>
      </x:c>
    </x:row>
    <x:row r="64" ht="16.5" customHeight="1">
      <x:c r="A64" s="16"/>
      <x:c r="B64" s="16"/>
      <x:c r="C64" s="17"/>
      <x:c r="D64" s="15"/>
      <x:c r="E64" s="16"/>
      <x:c r="F64" s="16"/>
      <x:c r="G64" s="16" t="str">
        <x:f>IF(A64="","",IF(E64&lt;=F64,"Sí","No"))</x:f>
      </x:c>
    </x:row>
    <x:row r="65" ht="16.5" customHeight="1">
      <x:c r="A65" s="16"/>
      <x:c r="B65" s="16"/>
      <x:c r="C65" s="17"/>
      <x:c r="D65" s="15"/>
      <x:c r="E65" s="16"/>
      <x:c r="F65" s="16"/>
      <x:c r="G65" s="16" t="str">
        <x:f>IF(A65="","",IF(E65&lt;=F65,"Sí","No"))</x:f>
      </x:c>
    </x:row>
    <x:row r="66" ht="16.5" customHeight="1">
      <x:c r="A66" s="16"/>
      <x:c r="B66" s="16"/>
      <x:c r="C66" s="17"/>
      <x:c r="D66" s="15"/>
      <x:c r="E66" s="16"/>
      <x:c r="F66" s="16"/>
      <x:c r="G66" s="16" t="str">
        <x:f>IF(A66="","",IF(E66&lt;=F66,"Sí","No"))</x:f>
      </x:c>
    </x:row>
    <x:row r="67" ht="16.5" customHeight="1">
      <x:c r="A67" s="16"/>
      <x:c r="B67" s="16"/>
      <x:c r="C67" s="17"/>
      <x:c r="D67" s="15"/>
      <x:c r="E67" s="16"/>
      <x:c r="F67" s="16"/>
      <x:c r="G67" s="16" t="str">
        <x:f>IF(A67="","",IF(E67&lt;=F67,"Sí","No"))</x:f>
      </x:c>
    </x:row>
    <x:row r="68" ht="16.5" customHeight="1">
      <x:c r="A68" s="16"/>
      <x:c r="B68" s="16"/>
      <x:c r="C68" s="17"/>
      <x:c r="D68" s="15"/>
      <x:c r="E68" s="16"/>
      <x:c r="F68" s="16"/>
      <x:c r="G68" s="16" t="str">
        <x:f>IF(A68="","",IF(E68&lt;=F68,"Sí","No"))</x:f>
      </x:c>
    </x:row>
    <x:row r="69" ht="16.5" customHeight="1">
      <x:c r="A69" s="16"/>
      <x:c r="B69" s="16"/>
      <x:c r="C69" s="17"/>
      <x:c r="D69" s="15"/>
      <x:c r="E69" s="16"/>
      <x:c r="F69" s="16"/>
      <x:c r="G69" s="16" t="str">
        <x:f>IF(A69="","",IF(E69&lt;=F69,"Sí","No"))</x:f>
      </x:c>
    </x:row>
    <x:row r="70" ht="16.5" customHeight="1">
      <x:c r="A70" s="16"/>
      <x:c r="B70" s="16"/>
      <x:c r="C70" s="17"/>
      <x:c r="D70" s="15"/>
      <x:c r="E70" s="16"/>
      <x:c r="F70" s="16"/>
      <x:c r="G70" s="16" t="str">
        <x:f>IF(A70="","",IF(E70&lt;=F70,"Sí","No"))</x:f>
      </x:c>
    </x:row>
    <x:row r="71" ht="16.5" customHeight="1">
      <x:c r="A71" s="16"/>
      <x:c r="B71" s="16"/>
      <x:c r="C71" s="17"/>
      <x:c r="D71" s="15"/>
      <x:c r="E71" s="16"/>
      <x:c r="F71" s="16"/>
      <x:c r="G71" s="16" t="str">
        <x:f>IF(A71="","",IF(E71&lt;=F71,"Sí","No"))</x:f>
      </x:c>
    </x:row>
    <x:row r="72" ht="16.5" customHeight="1">
      <x:c r="A72" s="16"/>
      <x:c r="B72" s="16"/>
      <x:c r="C72" s="17"/>
      <x:c r="D72" s="15"/>
      <x:c r="E72" s="16"/>
      <x:c r="F72" s="16"/>
      <x:c r="G72" s="16" t="str">
        <x:f>IF(A72="","",IF(E72&lt;=F72,"Sí","No"))</x:f>
      </x:c>
    </x:row>
    <x:row r="73" ht="16.5" customHeight="1">
      <x:c r="A73" s="16"/>
      <x:c r="B73" s="16"/>
      <x:c r="C73" s="17"/>
      <x:c r="D73" s="15"/>
      <x:c r="E73" s="16"/>
      <x:c r="F73" s="16"/>
      <x:c r="G73" s="16" t="str">
        <x:f>IF(A73="","",IF(E73&lt;=F73,"Sí","No"))</x:f>
      </x:c>
    </x:row>
    <x:row r="74" ht="16.5" customHeight="1">
      <x:c r="A74" s="16"/>
      <x:c r="B74" s="16"/>
      <x:c r="C74" s="17"/>
      <x:c r="D74" s="15"/>
      <x:c r="E74" s="16"/>
      <x:c r="F74" s="16"/>
      <x:c r="G74" s="16" t="str">
        <x:f>IF(A74="","",IF(E74&lt;=F74,"Sí","No"))</x:f>
      </x:c>
    </x:row>
    <x:row r="75" ht="16.5" customHeight="1">
      <x:c r="A75" s="16"/>
      <x:c r="B75" s="16"/>
      <x:c r="C75" s="17"/>
      <x:c r="D75" s="15"/>
      <x:c r="E75" s="16"/>
      <x:c r="F75" s="16"/>
      <x:c r="G75" s="16" t="str">
        <x:f>IF(A75="","",IF(E75&lt;=F75,"Sí","No"))</x:f>
      </x:c>
    </x:row>
    <x:row r="76" ht="16.5" customHeight="1">
      <x:c r="A76" s="16"/>
      <x:c r="B76" s="16"/>
      <x:c r="C76" s="17"/>
      <x:c r="D76" s="15"/>
      <x:c r="E76" s="16"/>
      <x:c r="F76" s="16"/>
      <x:c r="G76" s="16" t="str">
        <x:f>IF(A76="","",IF(E76&lt;=F76,"Sí","No"))</x:f>
      </x:c>
    </x:row>
    <x:row r="77" ht="16.5" customHeight="1">
      <x:c r="A77" s="16"/>
      <x:c r="B77" s="16"/>
      <x:c r="C77" s="17"/>
      <x:c r="D77" s="15"/>
      <x:c r="E77" s="16"/>
      <x:c r="F77" s="16"/>
      <x:c r="G77" s="16" t="str">
        <x:f>IF(A77="","",IF(E77&lt;=F77,"Sí","No"))</x:f>
      </x:c>
    </x:row>
    <x:row r="78" ht="16.5" customHeight="1">
      <x:c r="A78" s="16"/>
      <x:c r="B78" s="16"/>
      <x:c r="C78" s="17"/>
      <x:c r="D78" s="15"/>
      <x:c r="E78" s="16"/>
      <x:c r="F78" s="16"/>
      <x:c r="G78" s="16" t="str">
        <x:f>IF(A78="","",IF(E78&lt;=F78,"Sí","No"))</x:f>
      </x:c>
    </x:row>
    <x:row r="79" ht="16.5" customHeight="1">
      <x:c r="A79" s="16"/>
      <x:c r="B79" s="16"/>
      <x:c r="C79" s="17"/>
      <x:c r="D79" s="15"/>
      <x:c r="E79" s="16"/>
      <x:c r="F79" s="16"/>
      <x:c r="G79" s="16" t="str">
        <x:f>IF(A79="","",IF(E79&lt;=F79,"Sí","No"))</x:f>
      </x:c>
    </x:row>
    <x:row r="80" ht="16.5" customHeight="1">
      <x:c r="A80" s="16"/>
      <x:c r="B80" s="16"/>
      <x:c r="C80" s="17"/>
      <x:c r="D80" s="15"/>
      <x:c r="E80" s="16"/>
      <x:c r="F80" s="16"/>
      <x:c r="G80" s="16" t="str">
        <x:f>IF(A80="","",IF(E80&lt;=F80,"Sí","No"))</x:f>
      </x:c>
    </x:row>
    <x:row r="81" ht="16.5" customHeight="1">
      <x:c r="A81" s="16"/>
      <x:c r="B81" s="16"/>
      <x:c r="C81" s="17"/>
      <x:c r="D81" s="15"/>
      <x:c r="E81" s="16"/>
      <x:c r="F81" s="16"/>
      <x:c r="G81" s="16" t="str">
        <x:f>IF(A81="","",IF(E81&lt;=F81,"Sí","No"))</x:f>
      </x:c>
    </x:row>
    <x:row r="82" ht="16.5" customHeight="1">
      <x:c r="A82" s="16"/>
      <x:c r="B82" s="16"/>
      <x:c r="C82" s="17"/>
      <x:c r="D82" s="15"/>
      <x:c r="E82" s="16"/>
      <x:c r="F82" s="16"/>
      <x:c r="G82" s="16" t="str">
        <x:f>IF(A82="","",IF(E82&lt;=F82,"Sí","No"))</x:f>
      </x:c>
    </x:row>
    <x:row r="83" ht="16.5" customHeight="1">
      <x:c r="A83" s="16"/>
      <x:c r="B83" s="16"/>
      <x:c r="C83" s="17"/>
      <x:c r="D83" s="15"/>
      <x:c r="E83" s="16"/>
      <x:c r="F83" s="16"/>
      <x:c r="G83" s="16" t="str">
        <x:f>IF(A83="","",IF(E83&lt;=F83,"Sí","No"))</x:f>
      </x:c>
    </x:row>
    <x:row r="84" ht="16.5" customHeight="1">
      <x:c r="A84" s="16"/>
      <x:c r="B84" s="16"/>
      <x:c r="C84" s="17"/>
      <x:c r="D84" s="15"/>
      <x:c r="E84" s="16"/>
      <x:c r="F84" s="16"/>
      <x:c r="G84" s="16" t="str">
        <x:f>IF(A84="","",IF(E84&lt;=F84,"Sí","No"))</x:f>
      </x:c>
    </x:row>
    <x:row r="85" ht="16.5" customHeight="1">
      <x:c r="A85" s="16"/>
      <x:c r="B85" s="16"/>
      <x:c r="C85" s="17"/>
      <x:c r="D85" s="15"/>
      <x:c r="E85" s="16"/>
      <x:c r="F85" s="16"/>
      <x:c r="G85" s="16" t="str">
        <x:f>IF(A85="","",IF(E85&lt;=F85,"Sí","No"))</x:f>
      </x:c>
    </x:row>
    <x:row r="86" ht="16.5" customHeight="1">
      <x:c r="A86" s="16"/>
      <x:c r="B86" s="16"/>
      <x:c r="C86" s="17"/>
      <x:c r="D86" s="15"/>
      <x:c r="E86" s="16"/>
      <x:c r="F86" s="16"/>
      <x:c r="G86" s="16" t="str">
        <x:f>IF(A86="","",IF(E86&lt;=F86,"Sí","No"))</x:f>
      </x:c>
    </x:row>
    <x:row r="87" ht="16.5" customHeight="1">
      <x:c r="A87" s="16"/>
      <x:c r="B87" s="16"/>
      <x:c r="C87" s="17"/>
      <x:c r="D87" s="15"/>
      <x:c r="E87" s="16"/>
      <x:c r="F87" s="16"/>
      <x:c r="G87" s="16" t="str">
        <x:f>IF(A87="","",IF(E87&lt;=F87,"Sí","No"))</x:f>
      </x:c>
    </x:row>
    <x:row r="88" ht="16.5" customHeight="1">
      <x:c r="A88" s="16"/>
      <x:c r="B88" s="16"/>
      <x:c r="C88" s="17"/>
      <x:c r="D88" s="15"/>
      <x:c r="E88" s="16"/>
      <x:c r="F88" s="16"/>
      <x:c r="G88" s="16" t="str">
        <x:f>IF(A88="","",IF(E88&lt;=F88,"Sí","No"))</x:f>
      </x:c>
    </x:row>
    <x:row r="89" ht="16.5" customHeight="1">
      <x:c r="A89" s="16"/>
      <x:c r="B89" s="16"/>
      <x:c r="C89" s="17"/>
      <x:c r="D89" s="15"/>
      <x:c r="E89" s="16"/>
      <x:c r="F89" s="16"/>
      <x:c r="G89" s="16" t="str">
        <x:f>IF(A89="","",IF(E89&lt;=F89,"Sí","No"))</x:f>
      </x:c>
    </x:row>
    <x:row r="90" ht="16.5" customHeight="1">
      <x:c r="A90" s="16"/>
      <x:c r="B90" s="16"/>
      <x:c r="C90" s="17"/>
      <x:c r="D90" s="15"/>
      <x:c r="E90" s="16"/>
      <x:c r="F90" s="16"/>
      <x:c r="G90" s="16" t="str">
        <x:f>IF(A90="","",IF(E90&lt;=F90,"Sí","No"))</x:f>
      </x:c>
    </x:row>
    <x:row r="91" ht="16.5" customHeight="1">
      <x:c r="A91" s="16"/>
      <x:c r="B91" s="16"/>
      <x:c r="C91" s="17"/>
      <x:c r="D91" s="15"/>
      <x:c r="E91" s="16"/>
      <x:c r="F91" s="16"/>
      <x:c r="G91" s="16" t="str">
        <x:f>IF(A91="","",IF(E91&lt;=F91,"Sí","No"))</x:f>
      </x:c>
    </x:row>
    <x:row r="92" ht="16.5" customHeight="1">
      <x:c r="A92" s="16"/>
      <x:c r="B92" s="16"/>
      <x:c r="C92" s="17"/>
      <x:c r="D92" s="15"/>
      <x:c r="E92" s="16"/>
      <x:c r="F92" s="16"/>
      <x:c r="G92" s="16" t="str">
        <x:f>IF(A92="","",IF(E92&lt;=F92,"Sí","No"))</x:f>
      </x:c>
    </x:row>
    <x:row r="93" ht="16.5" customHeight="1">
      <x:c r="A93" s="16"/>
      <x:c r="B93" s="16"/>
      <x:c r="C93" s="17"/>
      <x:c r="D93" s="15"/>
      <x:c r="E93" s="16"/>
      <x:c r="F93" s="16"/>
      <x:c r="G93" s="16" t="str">
        <x:f>IF(A93="","",IF(E93&lt;=F93,"Sí","No"))</x:f>
      </x:c>
    </x:row>
    <x:row r="94" ht="16.5" customHeight="1">
      <x:c r="A94" s="16"/>
      <x:c r="B94" s="16"/>
      <x:c r="C94" s="17"/>
      <x:c r="D94" s="15"/>
      <x:c r="E94" s="16"/>
      <x:c r="F94" s="16"/>
      <x:c r="G94" s="16" t="str">
        <x:f>IF(A94="","",IF(E94&lt;=F94,"Sí","No"))</x:f>
      </x:c>
    </x:row>
    <x:row r="95" ht="16.5" customHeight="1">
      <x:c r="A95" s="16"/>
      <x:c r="B95" s="16"/>
      <x:c r="C95" s="17"/>
      <x:c r="D95" s="15"/>
      <x:c r="E95" s="16"/>
      <x:c r="F95" s="16"/>
      <x:c r="G95" s="16" t="str">
        <x:f>IF(A95="","",IF(E95&lt;=F95,"Sí","No"))</x:f>
      </x:c>
    </x:row>
    <x:row r="96" ht="16.5" customHeight="1">
      <x:c r="A96" s="16"/>
      <x:c r="B96" s="16"/>
      <x:c r="C96" s="17"/>
      <x:c r="D96" s="15"/>
      <x:c r="E96" s="16"/>
      <x:c r="F96" s="16"/>
      <x:c r="G96" s="16" t="str">
        <x:f>IF(A96="","",IF(E96&lt;=F96,"Sí","No"))</x:f>
      </x:c>
    </x:row>
    <x:row r="97" ht="16.5" customHeight="1">
      <x:c r="A97" s="16"/>
      <x:c r="B97" s="16"/>
      <x:c r="C97" s="17"/>
      <x:c r="D97" s="15"/>
      <x:c r="E97" s="16"/>
      <x:c r="F97" s="16"/>
      <x:c r="G97" s="16" t="str">
        <x:f>IF(A97="","",IF(E97&lt;=F97,"Sí","No"))</x:f>
      </x:c>
    </x:row>
    <x:row r="98" ht="16.5" customHeight="1">
      <x:c r="A98" s="16"/>
      <x:c r="B98" s="16"/>
      <x:c r="C98" s="17"/>
      <x:c r="D98" s="15"/>
      <x:c r="E98" s="16"/>
      <x:c r="F98" s="16"/>
      <x:c r="G98" s="16" t="str">
        <x:f>IF(A98="","",IF(E98&lt;=F98,"Sí","No"))</x:f>
      </x:c>
    </x:row>
    <x:row r="99" ht="16.5" customHeight="1">
      <x:c r="A99" s="16"/>
      <x:c r="B99" s="16"/>
      <x:c r="C99" s="17"/>
      <x:c r="D99" s="15"/>
      <x:c r="E99" s="16"/>
      <x:c r="F99" s="16"/>
      <x:c r="G99" s="16" t="str">
        <x:f>IF(A99="","",IF(E99&lt;=F99,"Sí","No"))</x:f>
      </x:c>
    </x:row>
    <x:row r="100" ht="16.5" customHeight="1">
      <x:c r="A100" s="16"/>
      <x:c r="B100" s="16"/>
      <x:c r="C100" s="17"/>
      <x:c r="D100" s="15"/>
      <x:c r="E100" s="16"/>
      <x:c r="F100" s="16"/>
      <x:c r="G100" s="16" t="str">
        <x:f>IF(A100="","",IF(E100&lt;=F100,"Sí","No"))</x:f>
      </x:c>
    </x:row>
    <x:row r="101" ht="16.5" customHeight="1">
      <x:c r="A101" s="16"/>
      <x:c r="B101" s="16"/>
      <x:c r="C101" s="17"/>
      <x:c r="D101" s="15"/>
      <x:c r="E101" s="16"/>
      <x:c r="F101" s="16"/>
      <x:c r="G101" s="16" t="str">
        <x:f>IF(A101="","",IF(E101&lt;=F101,"Sí","No"))</x:f>
      </x:c>
    </x:row>
    <x:row r="102" ht="16.5" customHeight="1">
      <x:c r="A102" s="16"/>
      <x:c r="B102" s="16"/>
      <x:c r="C102" s="17"/>
      <x:c r="D102" s="15"/>
      <x:c r="E102" s="16"/>
      <x:c r="F102" s="16"/>
      <x:c r="G102" s="16" t="str">
        <x:f>IF(A102="","",IF(E102&lt;=F102,"Sí","No"))</x:f>
      </x:c>
    </x:row>
    <x:row r="103" ht="16.5" customHeight="1">
      <x:c r="A103" s="16"/>
      <x:c r="B103" s="16"/>
      <x:c r="C103" s="17"/>
      <x:c r="D103" s="15"/>
      <x:c r="E103" s="16"/>
      <x:c r="F103" s="16"/>
      <x:c r="G103" s="16" t="str">
        <x:f>IF(A103="","",IF(E103&lt;=F103,"Sí","No"))</x:f>
      </x:c>
    </x:row>
    <x:row r="104" ht="16.5" customHeight="1">
      <x:c r="A104" s="16"/>
      <x:c r="B104" s="16"/>
      <x:c r="C104" s="17"/>
      <x:c r="D104" s="15"/>
      <x:c r="E104" s="16"/>
      <x:c r="F104" s="16"/>
      <x:c r="G104" s="16" t="str">
        <x:f>IF(A104="","",IF(E104&lt;=F104,"Sí","No"))</x:f>
      </x:c>
    </x:row>
  </x:sheetData>
  <x:mergeCells>
    <x:mergeCell ref="A1:G2"/>
  </x:mergeCells>
  <x:conditionalFormatting sqref="G5:G104">
    <x:cfRule type="containsText" dxfId="3" priority="1" operator="containsText" text="Sí"/>
    <x:cfRule type="containsText" dxfId="4" priority="2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4f605eab3cf749b9"/>
  </x:tableParts>
</x:worksheet>
</file>