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bcd05e94a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General" sheetId="1" r:id="R4ffbeabac8944b19"/>
    <x:sheet xmlns:r="http://schemas.openxmlformats.org/officeDocument/2006/relationships" name="Registro de Ingresos" sheetId="2" r:id="R6e9f23c1479c466e"/>
    <x:sheet xmlns:r="http://schemas.openxmlformats.org/officeDocument/2006/relationships" name="Registro de Gastos" sheetId="3" r:id="Rd34eb9dd862d42eb"/>
    <x:sheet xmlns:r="http://schemas.openxmlformats.org/officeDocument/2006/relationships" name="Calendario de Pagos" sheetId="4" r:id="R721d3c178e7e4aae"/>
    <x:sheet xmlns:r="http://schemas.openxmlformats.org/officeDocument/2006/relationships" name="Control de Tarjetas de Crédito" sheetId="5" r:id="R6896002a6b834d10"/>
    <x:sheet xmlns:r="http://schemas.openxmlformats.org/officeDocument/2006/relationships" name="Control de Deudas y Cuotas" sheetId="6" r:id="R9840a9b42636493a"/>
    <x:sheet xmlns:r="http://schemas.openxmlformats.org/officeDocument/2006/relationships" name="Ahorro Mensual" sheetId="7" r:id="R4d3738d2cd124c80"/>
    <x:sheet xmlns:r="http://schemas.openxmlformats.org/officeDocument/2006/relationships" name="Fondo de Emergencia" sheetId="8" r:id="Rb40321d89ef841c3"/>
    <x:sheet xmlns:r="http://schemas.openxmlformats.org/officeDocument/2006/relationships" name="Metas Financieras" sheetId="9" r:id="R349d4de209e34500"/>
    <x:sheet xmlns:r="http://schemas.openxmlformats.org/officeDocument/2006/relationships" name="Lista de Mercado" sheetId="10" r:id="R5535e796205e405e"/>
    <x:sheet xmlns:r="http://schemas.openxmlformats.org/officeDocument/2006/relationships" name="Tareas y Pendientes del Hogar" sheetId="11" r:id="Rc5974e9613d14ee3"/>
    <x:sheet xmlns:r="http://schemas.openxmlformats.org/officeDocument/2006/relationships" name="Presupuesto Mensual" sheetId="12" r:id="R55fedd9377e1440b"/>
    <x:sheet xmlns:r="http://schemas.openxmlformats.org/officeDocument/2006/relationships" name="Proyección Financiera" sheetId="13" r:id="Rf04f37cb9819412f"/>
    <x:sheet xmlns:r="http://schemas.openxmlformats.org/officeDocument/2006/relationships" name="Configuración" sheetId="14" r:id="R0565343eb171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yyyy-mm-dd"/>
    <x:numFmt numFmtId="202" formatCode="$#,##0.00;[Red]-$#,##0.00;&quot;-&quot;"/>
    <x:numFmt numFmtId="203" formatCode="0"/>
    <x:numFmt numFmtId="204" formatCode="mmm yyyy"/>
    <x:numFmt numFmtId="205" formatCode="0.0 &quot;meses&quot;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sz val="11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334155"/>
      <x:name val="Aptos"/>
    </x:font>
    <x:font>
      <x:b/>
      <x:sz val="11"/>
      <x:color rgb="FFFFFFFF"/>
      <x:name val="Aptos"/>
    </x:font>
    <x:font>
      <x:sz val="11"/>
      <x:color rgb="FF0F172A"/>
      <x:name val="Aptos"/>
    </x:font>
    <x:font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2" fontId="4" fillId="4" borderId="1" xfId="0" applyNumberFormat="1" applyFont="1" applyFill="1" applyBorder="1" applyAlignment="1">
      <x:alignment vertical="center" wrapText="1"/>
    </x:xf>
    <x:xf numFmtId="203" fontId="4" fillId="4" borderId="1" xfId="0" applyNumberFormat="1" applyFont="1" applyFill="1" applyBorder="1" applyAlignment="1">
      <x:alignment vertical="center" wrapText="1"/>
    </x:xf>
    <x:xf numFmtId="204" fontId="4" fillId="4" borderId="1" xfId="0" applyNumberFormat="1" applyFont="1" applyFill="1" applyBorder="1" applyAlignment="1">
      <x:alignment vertical="center" wrapText="1"/>
    </x:xf>
    <x:xf numFmtId="205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/>
    <x:xf numFmtId="204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202" fontId="10" fillId="4" borderId="1" xfId="0" applyNumberFormat="1" applyFont="1" applyFill="1" applyBorder="1" applyAlignment="1">
      <x:alignment vertical="center" wrapText="1"/>
    </x:xf>
    <x:xf numFmtId="200" fontId="10" fillId="4" borderId="1" xfId="0" applyNumberFormat="1" applyFont="1" applyFill="1" applyBorder="1" applyAlignment="1">
      <x:alignment vertical="center" wrapText="1"/>
    </x:xf>
    <x:xf numFmtId="205" fontId="10" fillId="4" borderId="1" xfId="0" applyNumberFormat="1" applyFont="1" applyFill="1" applyBorder="1" applyAlignment="1">
      <x:alignment vertical="center" wrapText="1"/>
    </x:xf>
    <x:xf numFmtId="204" fontId="10" fillId="4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204" fontId="11" fillId="4" borderId="0" xfId="0" applyNumberFormat="1" applyFont="1" applyFill="1" applyBorder="1"/>
    <x:xf numFmtId="202" fontId="11" fillId="4" borderId="0" xfId="0" applyNumberFormat="1" applyFont="1" applyFill="1" applyBorder="1"/>
    <x:xf numFmtId="201" fontId="10" fillId="4" borderId="1" xfId="0" applyNumberFormat="1" applyFont="1" applyFill="1" applyBorder="1" applyAlignment="1">
      <x:alignment vertical="center" wrapText="1"/>
    </x:xf>
    <x:xf numFmtId="203" fontId="10" fillId="4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" borderId="0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/>
  </x:cellXfs>
  <x:cellStyles count="1">
    <x:cellStyle name="Normal" xfId="0"/>
  </x:cellStyles>
  <x:dxfs count="1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99406a2cd4b0b" /><Relationship Type="http://schemas.openxmlformats.org/officeDocument/2006/relationships/theme" Target="/xl/theme/theme1.xml" Id="R486016ba414e4a1d" /><Relationship Type="http://schemas.microsoft.com/office/2022/11/relationships/FeaturePropertyBag" Target="/xl/featurePropertyBag/featurePropertyBag.xml" Id="R1f05e990d95e47de" /><Relationship Type="http://schemas.openxmlformats.org/officeDocument/2006/relationships/sharedStrings" Target="/xl/sharedStrings.xml" Id="R6a9ffcc3196f4ece" /><Relationship Type="http://schemas.openxmlformats.org/officeDocument/2006/relationships/worksheet" Target="/xl/worksheets/sheet1.xml" Id="R4ffbeabac8944b19" /><Relationship Type="http://schemas.openxmlformats.org/officeDocument/2006/relationships/worksheet" Target="/xl/worksheets/sheet2.xml" Id="R6e9f23c1479c466e" /><Relationship Type="http://schemas.openxmlformats.org/officeDocument/2006/relationships/worksheet" Target="/xl/worksheets/sheet3.xml" Id="Rd34eb9dd862d42eb" /><Relationship Type="http://schemas.openxmlformats.org/officeDocument/2006/relationships/worksheet" Target="/xl/worksheets/sheet4.xml" Id="R721d3c178e7e4aae" /><Relationship Type="http://schemas.openxmlformats.org/officeDocument/2006/relationships/worksheet" Target="/xl/worksheets/sheet5.xml" Id="R6896002a6b834d10" /><Relationship Type="http://schemas.openxmlformats.org/officeDocument/2006/relationships/worksheet" Target="/xl/worksheets/sheet6.xml" Id="R9840a9b42636493a" /><Relationship Type="http://schemas.openxmlformats.org/officeDocument/2006/relationships/worksheet" Target="/xl/worksheets/sheet7.xml" Id="R4d3738d2cd124c80" /><Relationship Type="http://schemas.openxmlformats.org/officeDocument/2006/relationships/worksheet" Target="/xl/worksheets/sheet8.xml" Id="Rb40321d89ef841c3" /><Relationship Type="http://schemas.openxmlformats.org/officeDocument/2006/relationships/worksheet" Target="/xl/worksheets/sheet9.xml" Id="R349d4de209e34500" /><Relationship Type="http://schemas.openxmlformats.org/officeDocument/2006/relationships/worksheet" Target="/xl/worksheets/sheet10.xml" Id="R5535e796205e405e" /><Relationship Type="http://schemas.openxmlformats.org/officeDocument/2006/relationships/worksheet" Target="/xl/worksheets/sheet11.xml" Id="Rc5974e9613d14ee3" /><Relationship Type="http://schemas.openxmlformats.org/officeDocument/2006/relationships/worksheet" Target="/xl/worksheets/sheet12.xml" Id="R55fedd9377e1440b" /><Relationship Type="http://schemas.openxmlformats.org/officeDocument/2006/relationships/worksheet" Target="/xl/worksheets/sheet13.xml" Id="Rf04f37cb9819412f" /><Relationship Type="http://schemas.openxmlformats.org/officeDocument/2006/relationships/worksheet" Target="/xl/worksheets/sheet14.xml" Id="R0565343eb17149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8204c5ff714e0b" /><Relationship Type="http://schemas.openxmlformats.org/officeDocument/2006/relationships/chart" Target="/xl/drawings/charts/chart2.xml" Id="R0013233d0ee1448c" /><Relationship Type="http://schemas.openxmlformats.org/officeDocument/2006/relationships/chart" Target="/xl/drawings/charts/chart3.xml" Id="Red2d857ec8174cc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c425adc0c344e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9094bf507b441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Gastos por Categoría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Gasto mes</c:v>
          </c:tx>
          <c:cat>
            <c:strRef>
              <c:f>'Dashboard General'!$A$16:$A$33</c:f>
              <c:strCache>
                <c:ptCount val="0"/>
              </c:strCache>
            </c:strRef>
          </c:cat>
          <c:val>
            <c:numRef>
              <c:f>'Dashboard General'!$B$16:$B$33</c:f>
              <c:numCache>
                <c:formatCode>$#,##0.00;[Red]-$#,##0.00;"-"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Ingresos vs Gastos y Ahorro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Ingresos</c:v>
          </c:tx>
          <c:cat>
            <c:strRef>
              <c:f>'Dashboard General'!$E$16:$E$27</c:f>
              <c:strCache>
                <c:ptCount val="0"/>
              </c:strCache>
            </c:strRef>
          </c:cat>
          <c:val>
            <c:numRef>
              <c:f>'Dashboard General'!$F$16:$F$27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Gastos</c:v>
          </c:tx>
          <c:cat>
            <c:strRef>
              <c:f>'Dashboard General'!$E$16:$E$27</c:f>
              <c:strCache>
                <c:ptCount val="0"/>
              </c:strCache>
            </c:strRef>
          </c:cat>
          <c:val>
            <c:numRef>
              <c:f>'Dashboard General'!$G$16:$G$27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2"/>
          <c:order val="2"/>
          <c:tx>
            <c:v>Ahorro</c:v>
          </c:tx>
          <c:cat>
            <c:strRef>
              <c:f>'Dashboard General'!$E$16:$E$27</c:f>
              <c:strCache>
                <c:ptCount val="0"/>
              </c:strCache>
            </c:strRef>
          </c:cat>
          <c:val>
            <c:numRef>
              <c:f>'Dashboard General'!$H$16:$H$27</c:f>
              <c:numCache>
                <c:formatCode>$#,##0.00;[Red]-$#,##0.00;"-"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de Ahorro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Ahorro real</c:v>
          </c:tx>
          <c:cat>
            <c:strRef>
              <c:f>'Dashboard General'!$P$16:$P$27</c:f>
              <c:strCache>
                <c:ptCount val="0"/>
              </c:strCache>
            </c:strRef>
          </c:cat>
          <c:val>
            <c:numRef>
              <c:f>'Dashboard General'!$Q$16:$Q$27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Meta de ahorro</c:v>
          </c:tx>
          <c:cat>
            <c:strRef>
              <c:f>'Dashboard General'!$P$16:$P$27</c:f>
              <c:strCache>
                <c:ptCount val="0"/>
              </c:strCache>
            </c:strRef>
          </c:cat>
          <c:val>
            <c:numRef>
              <c:f>'Dashboard General'!$R$16:$R$27</c:f>
              <c:numCache>
                <c:formatCode>$#,##0.00;[Red]-$#,##0.00;"-"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Presupuesto vs Gasto Real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Presupuesto planificado</c:v>
          </c:tx>
          <c:cat>
            <c:strRef>
              <c:f>'Presupuesto Mensual'!$A$6:$A$23</c:f>
              <c:strCache>
                <c:ptCount val="0"/>
              </c:strCache>
            </c:strRef>
          </c:cat>
          <c:val>
            <c:numRef>
              <c:f>'Presupuesto Mensual'!$B$6:$B$23</c:f>
              <c:numCache>
                <c:formatCode>$#,##0.00;[Red]-$#,##0.00;"-"</c:formatCode>
                <c:ptCount val="0"/>
              </c:numCache>
            </c:numRef>
          </c:val>
        </c:ser>
        <c:ser>
          <c:idx val="1"/>
          <c:order val="1"/>
          <c:tx>
            <c:v>Gasto real</c:v>
          </c:tx>
          <c:cat>
            <c:strRef>
              <c:f>'Presupuesto Mensual'!$A$6:$A$23</c:f>
              <c:strCache>
                <c:ptCount val="0"/>
              </c:strCache>
            </c:strRef>
          </c:cat>
          <c:val>
            <c:numRef>
              <c:f>'Presupuesto Mensual'!$C$6:$C$23</c:f>
              <c:numCache>
                <c:formatCode>$#,##0.00;[Red]-$#,##0.00;"-"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Flujo de Caja y Patrimonio Proyectado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Ingreso proyectado</c:v>
          </c:tx>
          <c:cat>
            <c:strRef>
              <c:f>'Proyección Financiera'!$A$6:$A$17</c:f>
              <c:strCache>
                <c:ptCount val="0"/>
              </c:strCache>
            </c:strRef>
          </c:cat>
          <c:val>
            <c:numRef>
              <c:f>'Proyección Financiera'!$B$6:$B$17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Gasto proyectado</c:v>
          </c:tx>
          <c:cat>
            <c:strRef>
              <c:f>'Proyección Financiera'!$A$6:$A$17</c:f>
              <c:strCache>
                <c:ptCount val="0"/>
              </c:strCache>
            </c:strRef>
          </c:cat>
          <c:val>
            <c:numRef>
              <c:f>'Proyección Financiera'!$C$6:$C$17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2"/>
          <c:order val="2"/>
          <c:tx>
            <c:v>Ahorro proyectado</c:v>
          </c:tx>
          <c:cat>
            <c:strRef>
              <c:f>'Proyección Financiera'!$A$6:$A$17</c:f>
              <c:strCache>
                <c:ptCount val="0"/>
              </c:strCache>
            </c:strRef>
          </c:cat>
          <c:val>
            <c:numRef>
              <c:f>'Proyección Financiera'!$D$6:$D$17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3"/>
          <c:order val="3"/>
          <c:tx>
            <c:v>Deuda pendiente proyectada</c:v>
          </c:tx>
          <c:cat>
            <c:strRef>
              <c:f>'Proyección Financiera'!$A$6:$A$17</c:f>
              <c:strCache>
                <c:ptCount val="0"/>
              </c:strCache>
            </c:strRef>
          </c:cat>
          <c:val>
            <c:numRef>
              <c:f>'Proyección Financiera'!$E$6:$E$17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4"/>
          <c:order val="4"/>
          <c:tx>
            <c:v>Patrimonio proyectado</c:v>
          </c:tx>
          <c:cat>
            <c:strRef>
              <c:f>'Proyección Financiera'!$A$6:$A$17</c:f>
              <c:strCache>
                <c:ptCount val="0"/>
              </c:strCache>
            </c:strRef>
          </c:cat>
          <c:val>
            <c:numRef>
              <c:f>'Proyección Financiera'!$F$6:$F$17</c:f>
              <c:numCache>
                <c:formatCode>$#,##0.00;[Red]-$#,##0.00;"-"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8204c5ff714e0b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13233d0ee1448c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2d857ec8174cc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425adc0c344e7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094bf507b4411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Ingresos" displayName="tblIngresos" ref="A5:F505" headerRowCount="1">
  <x:autoFilter ref="A5:F505"/>
  <x:tableColumns count="6">
    <x:tableColumn id="1" name="Fecha"/>
    <x:tableColumn id="2" name="Fuente de ingreso"/>
    <x:tableColumn id="3" name="Categoría"/>
    <x:tableColumn id="4" name="Descripción"/>
    <x:tableColumn id="5" name="Monto"/>
    <x:tableColumn id="6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blGastos" displayName="tblGastos" ref="A5:I505" headerRowCount="1">
  <x:autoFilter ref="A5:I505"/>
  <x:tableColumns count="9">
    <x:tableColumn id="1" name="Fecha"/>
    <x:tableColumn id="2" name="Categoría"/>
    <x:tableColumn id="3" name="Subcategoría"/>
    <x:tableColumn id="4" name="Descripción"/>
    <x:tableColumn id="5" name="Monto"/>
    <x:tableColumn id="6" name="Método de pago"/>
    <x:tableColumn id="7" name="Responsable"/>
    <x:tableColumn id="8" name="Estado"/>
    <x:tableColumn id="9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blPagos" displayName="tblPagos" ref="A5:G505" headerRowCount="1">
  <x:autoFilter ref="A5:G505"/>
  <x:tableColumns count="7">
    <x:tableColumn id="1" name="Concepto"/>
    <x:tableColumn id="2" name="Categoría"/>
    <x:tableColumn id="3" name="Fecha de vencimiento"/>
    <x:tableColumn id="4" name="Monto"/>
    <x:tableColumn id="5" name="Frecuencia"/>
    <x:tableColumn id="6" name="Estado"/>
    <x:tableColumn id="7" name="Días restantes"/>
  </x:tableColumns>
  <x:tableStyleInfo name="TableStyleMedium2" showRowStripes="1"/>
</x:table>
</file>

<file path=xl/tables/table4.xml><?xml version="1.0" encoding="utf-8"?>
<x:table xmlns:x="http://schemas.openxmlformats.org/spreadsheetml/2006/main" id="4" name="tblTarjetas" displayName="tblTarjetas" ref="A5:K505" headerRowCount="1">
  <x:autoFilter ref="A5:K505"/>
  <x:tableColumns count="11">
    <x:tableColumn id="1" name="Banco"/>
    <x:tableColumn id="2" name="Tarjeta"/>
    <x:tableColumn id="3" name="Límite de crédito"/>
    <x:tableColumn id="4" name="Saldo utilizado"/>
    <x:tableColumn id="5" name="Crédito disponible"/>
    <x:tableColumn id="6" name="Fecha de corte"/>
    <x:tableColumn id="7" name="Fecha de pago"/>
    <x:tableColumn id="8" name="Pago mínimo"/>
    <x:tableColumn id="9" name="Pago recomendado"/>
    <x:tableColumn id="10" name="Tasa de interés"/>
    <x:tableColumn id="11" name="% utilizado"/>
  </x:tableColumns>
  <x:tableStyleInfo name="TableStyleMedium2" showRowStripes="1"/>
</x:table>
</file>

<file path=xl/tables/table5.xml><?xml version="1.0" encoding="utf-8"?>
<x:table xmlns:x="http://schemas.openxmlformats.org/spreadsheetml/2006/main" id="5" name="tblDeudas" displayName="tblDeudas" ref="A5:L505" headerRowCount="1">
  <x:autoFilter ref="A5:L505"/>
  <x:tableColumns count="12">
    <x:tableColumn id="1" name="Nombre de la deuda"/>
    <x:tableColumn id="2" name="Acreedor"/>
    <x:tableColumn id="3" name="Monto inicial"/>
    <x:tableColumn id="4" name="Saldo pendiente"/>
    <x:tableColumn id="5" name="Cuota mensual"/>
    <x:tableColumn id="6" name="Fecha de pago"/>
    <x:tableColumn id="7" name="Cuotas pagadas"/>
    <x:tableColumn id="8" name="Cuotas restantes"/>
    <x:tableColumn id="9" name="Tasa de interés"/>
    <x:tableColumn id="10" name="% cancelado"/>
    <x:tableColumn id="11" name="Fecha estimada finalización"/>
    <x:tableColumn id="12" name="Progreso"/>
  </x:tableColumns>
  <x:tableStyleInfo name="TableStyleMedium2" showRowStripes="1"/>
</x:table>
</file>

<file path=xl/tables/table6.xml><?xml version="1.0" encoding="utf-8"?>
<x:table xmlns:x="http://schemas.openxmlformats.org/spreadsheetml/2006/main" id="6" name="tblAhorroMensual" displayName="tblAhorroMensual" ref="A5:G41" headerRowCount="1">
  <x:autoFilter ref="A5:G41"/>
  <x:tableColumns count="7">
    <x:tableColumn id="1" name="Mes"/>
    <x:tableColumn id="2" name="Ingreso total"/>
    <x:tableColumn id="3" name="Meta de ahorro"/>
    <x:tableColumn id="4" name="Ahorro real"/>
    <x:tableColumn id="5" name="Diferencia"/>
    <x:tableColumn id="6" name="% cumplimiento"/>
    <x:tableColumn id="7" name="Tendencia"/>
  </x:tableColumns>
  <x:tableStyleInfo name="TableStyleMedium2" showRowStripes="1"/>
</x:table>
</file>

<file path=xl/tables/table7.xml><?xml version="1.0" encoding="utf-8"?>
<x:table xmlns:x="http://schemas.openxmlformats.org/spreadsheetml/2006/main" id="7" name="tblFondoEmergencia" displayName="tblFondoEmergencia" ref="A5:C505" headerRowCount="1">
  <x:autoFilter ref="A5:C505"/>
  <x:tableColumns count="3">
    <x:tableColumn id="1" name="Fecha"/>
    <x:tableColumn id="2" name="Aporte"/>
    <x:tableColumn id="3" name="Saldo acumulado"/>
  </x:tableColumns>
  <x:tableStyleInfo name="TableStyleMedium2" showRowStripes="1"/>
</x:table>
</file>

<file path=xl/tables/table8.xml><?xml version="1.0" encoding="utf-8"?>
<x:table xmlns:x="http://schemas.openxmlformats.org/spreadsheetml/2006/main" id="8" name="tblMetas" displayName="tblMetas" ref="A5:I505" headerRowCount="1">
  <x:autoFilter ref="A5:I505"/>
  <x:tableColumns count="9">
    <x:tableColumn id="1" name="Nombre de la meta"/>
    <x:tableColumn id="2" name="Categoría"/>
    <x:tableColumn id="3" name="Monto objetivo"/>
    <x:tableColumn id="4" name="Monto acumulado"/>
    <x:tableColumn id="5" name="Diferencia"/>
    <x:tableColumn id="6" name="Fecha objetivo"/>
    <x:tableColumn id="7" name="% completado"/>
    <x:tableColumn id="8" name="Aporte mensual"/>
    <x:tableColumn id="9" name="Fecha estimada cumplimiento"/>
  </x:tableColumns>
  <x:tableStyleInfo name="TableStyleMedium2" showRowStripes="1"/>
</x:table>
</file>

<file path=xl/tables/table9.xml><?xml version="1.0" encoding="utf-8"?>
<x:table xmlns:x="http://schemas.openxmlformats.org/spreadsheetml/2006/main" id="9" name="tblMercado" displayName="tblMercado" ref="A5:F505" headerRowCount="1">
  <x:autoFilter ref="A5:F505"/>
  <x:tableColumns count="6">
    <x:tableColumn id="1" name="Producto"/>
    <x:tableColumn id="2" name="Categoría"/>
    <x:tableColumn id="3" name="Cantidad"/>
    <x:tableColumn id="4" name="Precio estimado"/>
    <x:tableColumn id="5" name="Comprado"/>
    <x:tableColumn id="6" name="Prioridad"/>
  </x:tableColumns>
  <x:tableStyleInfo name="TableStyleMedium2" showRowStripes="1"/>
</x:table>
</file>

<file path=xl/tables/table10.xml><?xml version="1.0" encoding="utf-8"?>
<x:table xmlns:x="http://schemas.openxmlformats.org/spreadsheetml/2006/main" id="10" name="tblTareas" displayName="tblTareas" ref="A5:F505" headerRowCount="1">
  <x:autoFilter ref="A5:F505"/>
  <x:tableColumns count="6">
    <x:tableColumn id="1" name="Tarea"/>
    <x:tableColumn id="2" name="Categoría"/>
    <x:tableColumn id="3" name="Responsable"/>
    <x:tableColumn id="4" name="Fecha límite"/>
    <x:tableColumn id="5" name="Prioridad"/>
    <x:tableColumn id="6" name="Estado"/>
  </x:tableColumns>
  <x:tableStyleInfo name="TableStyleMedium2" showRowStripes="1"/>
</x:table>
</file>

<file path=xl/tables/table11.xml><?xml version="1.0" encoding="utf-8"?>
<x:table xmlns:x="http://schemas.openxmlformats.org/spreadsheetml/2006/main" id="11" name="tblPresupuesto" displayName="tblPresupuesto" ref="A5:E23" headerRowCount="1">
  <x:autoFilter ref="A5:E23"/>
  <x:tableColumns count="5">
    <x:tableColumn id="1" name="Categoría"/>
    <x:tableColumn id="2" name="Presupuesto planificado"/>
    <x:tableColumn id="3" name="Gasto real"/>
    <x:tableColumn id="4" name="Diferencia"/>
    <x:tableColumn id="5" name="% utilizado"/>
  </x:tableColumns>
  <x:tableStyleInfo name="TableStyleMedium2" showRowStripes="1"/>
</x:table>
</file>

<file path=xl/tables/table12.xml><?xml version="1.0" encoding="utf-8"?>
<x:table xmlns:x="http://schemas.openxmlformats.org/spreadsheetml/2006/main" id="12" name="tblProyeccion" displayName="tblProyeccion" ref="A5:H17" headerRowCount="1">
  <x:autoFilter ref="A5:H17"/>
  <x:tableColumns count="8">
    <x:tableColumn id="1" name="Mes"/>
    <x:tableColumn id="2" name="Ingreso proyectado"/>
    <x:tableColumn id="3" name="Gasto proyectado"/>
    <x:tableColumn id="4" name="Ahorro proyectado"/>
    <x:tableColumn id="5" name="Deuda pendiente proyectada"/>
    <x:tableColumn id="6" name="Patrimonio proyectado"/>
    <x:tableColumn id="7" name="Ahorro acumulado"/>
    <x:tableColumn id="8" name="Escen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d8b55b5f2847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1eb27312ce4a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61c43964554b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ca25cd6885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bf9f48806f48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89ba3543fd4a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105ab291e8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a1607b622a4b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154f893fa746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6dbbbc8238c46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7cba83b68040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0f52f173738748bc" /><Relationship Type="http://schemas.openxmlformats.org/officeDocument/2006/relationships/table" Target="/xl/tables/table11.xml" Id="Rdfffd51e4dcd4c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3.xml" Id="R29904333df994f33" /><Relationship Type="http://schemas.openxmlformats.org/officeDocument/2006/relationships/table" Target="/xl/tables/table12.xml" Id="R622038b0079a4a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11.25" hidden="0" customWidth="1"/>
    <x:col min="4" max="4" width="13.7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" hidden="0" customWidth="1"/>
    <x:col min="10" max="10" width="17.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" hidden="0" customWidth="1"/>
    <x:col min="16" max="16" width="1" hidden="0" customWidth="1"/>
    <x:col min="17" max="17" width="1" hidden="0" customWidth="1"/>
    <x:col min="18" max="18" width="1" hidden="0" customWidth="1"/>
  </x:cols>
  <x:sheetData>
    <x:row r="1" ht="28.5" customHeight="1">
      <x:c r="A1" s="34" t="str">
        <x:v>Dashboard General</x:v>
      </x:c>
      <x:c r="B1" s="34" t="str">
        <x:v>Dashboard General</x:v>
      </x:c>
      <x:c r="C1" s="34" t="str">
        <x:v>Dashboard General</x:v>
      </x:c>
      <x:c r="D1" s="34" t="str">
        <x:v>Dashboard General</x:v>
      </x:c>
      <x:c r="E1" s="34" t="str">
        <x:v>Dashboard General</x:v>
      </x:c>
      <x:c r="F1" s="34" t="str">
        <x:v>Dashboard General</x:v>
      </x:c>
      <x:c r="G1" s="34" t="str">
        <x:v>Dashboard General</x:v>
      </x:c>
      <x:c r="H1" s="34" t="str">
        <x:v>Dashboard General</x:v>
      </x:c>
      <x:c r="I1" s="34" t="str">
        <x:v>Dashboard General</x:v>
      </x:c>
      <x:c r="J1" s="34" t="str">
        <x:v>Dashboard General</x:v>
      </x:c>
      <x:c r="K1" s="34" t="str">
        <x:v>Dashboard General</x:v>
      </x:c>
      <x:c r="L1" s="34" t="str">
        <x:v>Dashboard General</x:v>
      </x:c>
      <x:c r="M1" s="34" t="str">
        <x:v>Dashboard General</x:v>
      </x:c>
      <x:c r="N1" s="34" t="str">
        <x:v>Dashboard General</x:v>
      </x:c>
      <x:c r="O1" s="35"/>
      <x:c r="P1" s="35"/>
      <x:c r="Q1" s="35"/>
      <x:c r="R1" s="35"/>
    </x:row>
    <x:row r="2" ht="19.5" customHeight="1">
      <x:c r="A2" s="36" t="str">
        <x:v>Panel ejecutivo conectado a ingresos, gastos, pagos, ahorros, deudas, tarjetas, metas y proyecciones.</x:v>
      </x:c>
      <x:c r="B2" s="36" t="str">
        <x:v>Panel ejecutivo conectado a ingresos, gastos, pagos, ahorros, deudas, tarjetas, metas y proyecciones.</x:v>
      </x:c>
      <x:c r="C2" s="36" t="str">
        <x:v>Panel ejecutivo conectado a ingresos, gastos, pagos, ahorros, deudas, tarjetas, metas y proyecciones.</x:v>
      </x:c>
      <x:c r="D2" s="36" t="str">
        <x:v>Panel ejecutivo conectado a ingresos, gastos, pagos, ahorros, deudas, tarjetas, metas y proyecciones.</x:v>
      </x:c>
      <x:c r="E2" s="36" t="str">
        <x:v>Panel ejecutivo conectado a ingresos, gastos, pagos, ahorros, deudas, tarjetas, metas y proyecciones.</x:v>
      </x:c>
      <x:c r="F2" s="36" t="str">
        <x:v>Panel ejecutivo conectado a ingresos, gastos, pagos, ahorros, deudas, tarjetas, metas y proyecciones.</x:v>
      </x:c>
      <x:c r="G2" s="36" t="str">
        <x:v>Panel ejecutivo conectado a ingresos, gastos, pagos, ahorros, deudas, tarjetas, metas y proyecciones.</x:v>
      </x:c>
      <x:c r="H2" s="36" t="str">
        <x:v>Panel ejecutivo conectado a ingresos, gastos, pagos, ahorros, deudas, tarjetas, metas y proyecciones.</x:v>
      </x:c>
      <x:c r="I2" s="36" t="str">
        <x:v>Panel ejecutivo conectado a ingresos, gastos, pagos, ahorros, deudas, tarjetas, metas y proyecciones.</x:v>
      </x:c>
      <x:c r="J2" s="36" t="str">
        <x:v>Panel ejecutivo conectado a ingresos, gastos, pagos, ahorros, deudas, tarjetas, metas y proyecciones.</x:v>
      </x:c>
      <x:c r="K2" s="36" t="str">
        <x:v>Panel ejecutivo conectado a ingresos, gastos, pagos, ahorros, deudas, tarjetas, metas y proyecciones.</x:v>
      </x:c>
      <x:c r="L2" s="36" t="str">
        <x:v>Panel ejecutivo conectado a ingresos, gastos, pagos, ahorros, deudas, tarjetas, metas y proyecciones.</x:v>
      </x:c>
      <x:c r="M2" s="36" t="str">
        <x:v>Panel ejecutivo conectado a ingresos, gastos, pagos, ahorros, deudas, tarjetas, metas y proyecciones.</x:v>
      </x:c>
      <x:c r="N2" s="36" t="str">
        <x:v>Panel ejecutivo conectado a ingresos, gastos, pagos, ahorros, deudas, tarjetas, metas y proyecciones.</x:v>
      </x:c>
      <x:c r="O2" s="35"/>
      <x:c r="P2" s="35"/>
      <x:c r="Q2" s="35"/>
      <x:c r="R2" s="35"/>
    </x:row>
    <x:row r="3">
      <x:c r="A3" s="37" t="str">
        <x:v>Indicador</x:v>
      </x:c>
      <x:c r="B3" s="37" t="str">
        <x:v>Valor</x:v>
      </x:c>
      <x:c r="C3" s="35"/>
      <x:c r="D3" s="37" t="str">
        <x:v>Indicador</x:v>
      </x:c>
      <x:c r="E3" s="37" t="str">
        <x:v>Valor</x:v>
      </x:c>
      <x:c r="F3" s="35"/>
      <x:c r="G3" s="35"/>
      <x:c r="H3" s="35"/>
      <x:c r="I3" s="35"/>
      <x:c r="J3" s="37" t="str">
        <x:v>Resumen anual</x:v>
      </x:c>
      <x:c r="K3" s="37" t="str">
        <x:v>Ingresos</x:v>
      </x:c>
      <x:c r="L3" s="37" t="str">
        <x:v>Gastos</x:v>
      </x:c>
      <x:c r="M3" s="37" t="str">
        <x:v>Ahorro</x:v>
      </x:c>
      <x:c r="N3" s="37" t="str">
        <x:v>Balance</x:v>
      </x:c>
      <x:c r="O3" s="35"/>
      <x:c r="P3" s="35"/>
      <x:c r="Q3" s="35"/>
      <x:c r="R3" s="35"/>
    </x:row>
    <x:row r="4">
      <x:c r="A4" s="38" t="str">
        <x:v>Ingresos del mes</x:v>
      </x:c>
      <x:c r="B4" s="39" t="n">
        <x:f>SUMIFS('Registro de Ingresos'!$E$6:$E$505,'Registro de Ingresos'!$A$6:$A$505,"&gt;="&amp;EOMONTH(TODAY(),-1)+1,'Registro de Ingresos'!$A$6:$A$505,"&lt;="&amp;EOMONTH(TODAY(),0))</x:f>
        <x:v>4970</x:v>
      </x:c>
      <x:c r="C4" s="35"/>
      <x:c r="D4" s="38" t="str">
        <x:v>Cumplimiento presupuesto</x:v>
      </x:c>
      <x:c r="E4" s="40" t="n">
        <x:f>IFERROR(1-SUM('Presupuesto Mensual'!$C$6:$C$23)/SUM('Presupuesto Mensual'!$B$6:$B$23),0)</x:f>
        <x:v>0.5821428571428571</x:v>
      </x:c>
      <x:c r="F4" s="35"/>
      <x:c r="G4" s="35"/>
      <x:c r="H4" s="35"/>
      <x:c r="I4" s="35"/>
      <x:c r="J4" s="38" t="str">
        <x:v>Año actual</x:v>
      </x:c>
      <x:c r="K4" s="39" t="n">
        <x:f>SUM(F16:F27)</x:f>
        <x:v>4970</x:v>
      </x:c>
      <x:c r="L4" s="39" t="n">
        <x:f>SUM(G16:G27)</x:f>
        <x:v>1715</x:v>
      </x:c>
      <x:c r="M4" s="39" t="n">
        <x:f>SUM(H16:H27)</x:f>
        <x:v>3255</x:v>
      </x:c>
      <x:c r="N4" s="39" t="n">
        <x:f>K4-L4</x:f>
        <x:v>3255</x:v>
      </x:c>
      <x:c r="O4" s="35"/>
      <x:c r="P4" s="35"/>
      <x:c r="Q4" s="35"/>
      <x:c r="R4" s="35"/>
    </x:row>
    <x:row r="5">
      <x:c r="A5" s="38" t="str">
        <x:v>Gastos del mes</x:v>
      </x:c>
      <x:c r="B5" s="39" t="n">
        <x:f>SUMIFS('Registro de Gastos'!$E$6:$E$505,'Registro de Gastos'!$A$6:$A$505,"&gt;="&amp;EOMONTH(TODAY(),-1)+1,'Registro de Gastos'!$A$6:$A$505,"&lt;="&amp;EOMONTH(TODAY(),0),'Registro de Gastos'!$H$6:$H$505,"Pagado")</x:f>
        <x:v>1715</x:v>
      </x:c>
      <x:c r="C5" s="35"/>
      <x:c r="D5" s="38" t="str">
        <x:v>Salud financiera</x:v>
      </x:c>
      <x:c r="E5" s="38" t="str">
        <x:f>IF(AND(B6&gt;0,E6&gt;=3,E7&lt;0.5),"Verde",IF(OR(B6&lt;0,E6&lt;1,E7&gt;=0.8),"Rojo","Amarillo"))</x:f>
        <x:v>Rojo</x:v>
      </x:c>
      <x:c r="F5" s="35"/>
      <x:c r="G5" s="35"/>
      <x:c r="H5" s="35"/>
      <x:c r="I5" s="35"/>
      <x:c r="J5" s="38" t="str">
        <x:v>Promedio mensual</x:v>
      </x:c>
      <x:c r="K5" s="39" t="n">
        <x:f>AVERAGE(F16:F27)</x:f>
        <x:v>414.1666666666667</x:v>
      </x:c>
      <x:c r="L5" s="39" t="n">
        <x:f>AVERAGE(G16:G27)</x:f>
        <x:v>142.91666666666666</x:v>
      </x:c>
      <x:c r="M5" s="39" t="n">
        <x:f>AVERAGE(H16:H27)</x:f>
        <x:v>271.25</x:v>
      </x:c>
      <x:c r="N5" s="39" t="n">
        <x:f>K5-L5</x:f>
        <x:v>271.25</x:v>
      </x:c>
      <x:c r="O5" s="35"/>
      <x:c r="P5" s="35"/>
      <x:c r="Q5" s="35"/>
      <x:c r="R5" s="35"/>
    </x:row>
    <x:row r="6">
      <x:c r="A6" s="38" t="str">
        <x:v>Ahorro del mes</x:v>
      </x:c>
      <x:c r="B6" s="39" t="n">
        <x:f>B4-B5</x:f>
        <x:v>3255</x:v>
      </x:c>
      <x:c r="C6" s="35"/>
      <x:c r="D6" s="38" t="str">
        <x:v>Meses fondo emergencia</x:v>
      </x:c>
      <x:c r="E6" s="41" t="n">
        <x:f>'Fondo de Emergencia'!$F$11</x:f>
        <x:v>0.4892966360856269</x:v>
      </x:c>
      <x:c r="F6" s="35"/>
      <x:c r="G6" s="35"/>
      <x:c r="H6" s="35"/>
      <x:c r="I6" s="35"/>
      <x:c r="J6" s="38" t="str">
        <x:v>Mejor mes ahorro</x:v>
      </x:c>
      <x:c r="K6" s="42" t="str">
        <x:f>INDEX(E16:E27,MATCH(MAX(H16:H27),H16:H27,0))</x:f>
        <x:v>Jun 2026</x:v>
      </x:c>
      <x:c r="L6" s="39" t="str"/>
      <x:c r="M6" s="39" t="n">
        <x:f>MAX(H16:H27)</x:f>
        <x:v>3255</x:v>
      </x:c>
      <x:c r="N6" s="39" t="str"/>
      <x:c r="O6" s="35"/>
      <x:c r="P6" s="35"/>
      <x:c r="Q6" s="35"/>
      <x:c r="R6" s="35"/>
    </x:row>
    <x:row r="7">
      <x:c r="A7" s="38" t="str">
        <x:v>Balance disponible</x:v>
      </x:c>
      <x:c r="B7" s="39" t="n">
        <x:f>B6-SUMIFS('Calendario de Pagos'!$D$6:$D$505,'Calendario de Pagos'!$C$6:$C$505,"&gt;="&amp;TODAY(),'Calendario de Pagos'!$C$6:$C$505,"&lt;="&amp;TODAY()+30,'Calendario de Pagos'!$F$6:$F$505,"Pendiente")</x:f>
        <x:v>1430</x:v>
      </x:c>
      <x:c r="C7" s="35"/>
      <x:c r="D7" s="38" t="str">
        <x:v>Uso promedio tarjetas</x:v>
      </x:c>
      <x:c r="E7" s="40" t="n">
        <x:f>IFERROR(AVERAGE('Control de Tarjetas de Crédito'!$K$6:$K$505),0)</x:f>
        <x:v>0.2916666666666667</x:v>
      </x:c>
      <x:c r="F7" s="35"/>
      <x:c r="G7" s="35"/>
      <x:c r="H7" s="35"/>
      <x:c r="I7" s="35"/>
      <x:c r="J7" s="38" t="str">
        <x:v>Peor mes ahorro</x:v>
      </x:c>
      <x:c r="K7" s="42" t="str">
        <x:f>INDEX(E16:E27,MATCH(MIN(H16:H27),H16:H27,0))</x:f>
        <x:v>Jan 2026</x:v>
      </x:c>
      <x:c r="L7" s="39" t="str"/>
      <x:c r="M7" s="39" t="n">
        <x:f>MIN(H16:H27)</x:f>
        <x:v>0</x:v>
      </x:c>
      <x:c r="N7" s="39" t="str"/>
      <x:c r="O7" s="35"/>
      <x:c r="P7" s="35"/>
      <x:c r="Q7" s="35"/>
      <x:c r="R7" s="35"/>
    </x:row>
    <x:row r="8">
      <x:c r="A8" s="38" t="str">
        <x:v>Total de deudas pendientes</x:v>
      </x:c>
      <x:c r="B8" s="39" t="n">
        <x:f>SUM('Control de Deudas y Cuotas'!$D$6:$D$505)</x:f>
        <x:v>13700</x:v>
      </x:c>
      <x:c r="C8" s="35"/>
      <x:c r="D8" s="35"/>
      <x:c r="E8" s="35"/>
      <x:c r="F8" s="35"/>
      <x:c r="G8" s="35"/>
      <x:c r="H8" s="35"/>
      <x:c r="I8" s="35"/>
      <x:c r="J8" s="38" t="str">
        <x:v>Pagos 30 días</x:v>
      </x:c>
      <x:c r="K8" s="39" t="n">
        <x:f>B11</x:f>
        <x:v>1825</x:v>
      </x:c>
      <x:c r="L8" s="39" t="str"/>
      <x:c r="M8" s="39" t="str"/>
      <x:c r="N8" s="39" t="str"/>
      <x:c r="O8" s="35"/>
      <x:c r="P8" s="35"/>
      <x:c r="Q8" s="35"/>
      <x:c r="R8" s="35"/>
    </x:row>
    <x:row r="9">
      <x:c r="A9" s="38" t="str">
        <x:v>Total de ahorro acumulado</x:v>
      </x:c>
      <x:c r="B9" s="39" t="n">
        <x:f>MAX('Fondo de Emergencia'!$C$6:$C$505)+SUM('Metas Financieras'!$D$6:$D$505)</x:f>
        <x:v>10200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</x:row>
    <x:row r="10">
      <x:c r="A10" s="38" t="str">
        <x:v>Fondo de emergencia acumulado</x:v>
      </x:c>
      <x:c r="B10" s="39" t="n">
        <x:f>MAX('Fondo de Emergencia'!$C$6:$C$505)</x:f>
        <x:v>800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</x:row>
    <x:row r="11">
      <x:c r="A11" s="38" t="str">
        <x:v>Próximos pagos 30 días</x:v>
      </x:c>
      <x:c r="B11" s="39" t="n">
        <x:f>SUMIFS('Calendario de Pagos'!$D$6:$D$505,'Calendario de Pagos'!$C$6:$C$505,"&gt;="&amp;TODAY(),'Calendario de Pagos'!$C$6:$C$505,"&lt;="&amp;TODAY()+30,'Calendario de Pagos'!$F$6:$F$505,"Pendiente")</x:f>
        <x:v>1825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</x:row>
    <x:row r="12">
      <x:c r="A12" s="38" t="str">
        <x:v>Gastos pendientes</x:v>
      </x:c>
      <x:c r="B12" s="39" t="n">
        <x:f>SUMIFS('Registro de Gastos'!$E$6:$E$505,'Registro de Gastos'!$H$6:$H$505,"Pendiente")</x:f>
        <x:v>157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</x:row>
    <x:row r="15">
      <x:c r="A15" s="37" t="str">
        <x:v>Categoría</x:v>
      </x:c>
      <x:c r="B15" s="37" t="str">
        <x:v>Gasto mes</x:v>
      </x:c>
      <x:c r="C15" s="37" t="str">
        <x:v>% total</x:v>
      </x:c>
      <x:c r="D15" s="35"/>
      <x:c r="E15" s="37" t="str">
        <x:v>Mes</x:v>
      </x:c>
      <x:c r="F15" s="37" t="str">
        <x:v>Ingresos</x:v>
      </x:c>
      <x:c r="G15" s="37" t="str">
        <x:v>Gastos</x:v>
      </x:c>
      <x:c r="H15" s="37" t="str">
        <x:v>Ahorro</x:v>
      </x:c>
      <x:c r="I15" s="43" t="str">
        <x:v>Fecha base</x:v>
      </x:c>
      <x:c r="J15" s="35"/>
      <x:c r="K15" s="35"/>
      <x:c r="L15" s="35"/>
      <x:c r="M15" s="35"/>
      <x:c r="N15" s="35"/>
      <x:c r="O15" s="35"/>
      <x:c r="P15" s="43" t="str">
        <x:v>Mes</x:v>
      </x:c>
      <x:c r="Q15" s="43" t="str">
        <x:v>Ahorro real</x:v>
      </x:c>
      <x:c r="R15" s="43" t="str">
        <x:v>Meta de ahorro</x:v>
      </x:c>
    </x:row>
    <x:row r="16">
      <x:c r="A16" s="38" t="str">
        <x:v>Renta/Hipoteca</x:v>
      </x:c>
      <x:c r="B16" s="39" t="n">
        <x:f>SUMIFS('Registro de Gastos'!$E$6:$E$505,'Registro de Gastos'!$B$6:$B$505,A16,'Registro de Gastos'!$A$6:$A$505,"&gt;="&amp;EOMONTH(TODAY(),-1)+1,'Registro de Gastos'!$A$6:$A$505,"&lt;="&amp;EOMONTH(TODAY(),0))</x:f>
        <x:v>1450</x:v>
      </x:c>
      <x:c r="C16" s="40" t="n">
        <x:f>IFERROR(B16/SUM($B$16:$B$33),0)</x:f>
        <x:v>0.7745726495726496</x:v>
      </x:c>
      <x:c r="D16" s="35"/>
      <x:c r="E16" s="38" t="str">
        <x:v>Jan 2026</x:v>
      </x:c>
      <x:c r="F16" s="39" t="n">
        <x:f>SUMIFS('Registro de Ingresos'!$E$6:$E$505,'Registro de Ingresos'!$A$6:$A$505,"&gt;="&amp;I16,'Registro de Ingresos'!$A$6:$A$505,"&lt;"&amp;EDATE(I16,1))</x:f>
        <x:v>0</x:v>
      </x:c>
      <x:c r="G16" s="39" t="n">
        <x:f>SUMIFS('Registro de Gastos'!$E$6:$E$505,'Registro de Gastos'!$A$6:$A$505,"&gt;="&amp;I16,'Registro de Gastos'!$A$6:$A$505,"&lt;"&amp;EDATE(I16,1),'Registro de Gastos'!$H$6:$H$505,"Pagado")</x:f>
        <x:v>0</x:v>
      </x:c>
      <x:c r="H16" s="39" t="n">
        <x:f>F16-G16</x:f>
        <x:v>0</x:v>
      </x:c>
      <x:c r="I16" s="44" t="n">
        <x:v>46023</x:v>
      </x:c>
      <x:c r="J16" s="35"/>
      <x:c r="K16" s="35"/>
      <x:c r="L16" s="35"/>
      <x:c r="M16" s="35"/>
      <x:c r="N16" s="35"/>
      <x:c r="O16" s="35"/>
      <x:c r="P16" s="43" t="str">
        <x:v>Jan 2026</x:v>
      </x:c>
      <x:c r="Q16" s="45" t="n">
        <x:f>H16</x:f>
        <x:v>0</x:v>
      </x:c>
      <x:c r="R16" s="45" t="n">
        <x:f>'Ahorro Mensual'!C6</x:f>
        <x:v>800</x:v>
      </x:c>
    </x:row>
    <x:row r="17">
      <x:c r="A17" s="38" t="str">
        <x:v>Agua</x:v>
      </x:c>
      <x:c r="B17" s="39" t="n">
        <x:f>SUMIFS('Registro de Gastos'!$E$6:$E$505,'Registro de Gastos'!$B$6:$B$505,A17,'Registro de Gastos'!$A$6:$A$505,"&gt;="&amp;EOMONTH(TODAY(),-1)+1,'Registro de Gastos'!$A$6:$A$505,"&lt;="&amp;EOMONTH(TODAY(),0))</x:f>
        <x:v>0</x:v>
      </x:c>
      <x:c r="C17" s="40" t="n">
        <x:f>IFERROR(B17/SUM($B$16:$B$33),0)</x:f>
        <x:v>0</x:v>
      </x:c>
      <x:c r="D17" s="35"/>
      <x:c r="E17" s="38" t="str">
        <x:v>Feb 2026</x:v>
      </x:c>
      <x:c r="F17" s="39" t="n">
        <x:f>SUMIFS('Registro de Ingresos'!$E$6:$E$505,'Registro de Ingresos'!$A$6:$A$505,"&gt;="&amp;I17,'Registro de Ingresos'!$A$6:$A$505,"&lt;"&amp;EDATE(I17,1))</x:f>
        <x:v>0</x:v>
      </x:c>
      <x:c r="G17" s="39" t="n">
        <x:f>SUMIFS('Registro de Gastos'!$E$6:$E$505,'Registro de Gastos'!$A$6:$A$505,"&gt;="&amp;I17,'Registro de Gastos'!$A$6:$A$505,"&lt;"&amp;EDATE(I17,1),'Registro de Gastos'!$H$6:$H$505,"Pagado")</x:f>
        <x:v>0</x:v>
      </x:c>
      <x:c r="H17" s="39" t="n">
        <x:f>F17-G17</x:f>
        <x:v>0</x:v>
      </x:c>
      <x:c r="I17" s="44" t="n">
        <x:v>46054</x:v>
      </x:c>
      <x:c r="J17" s="35"/>
      <x:c r="K17" s="35"/>
      <x:c r="L17" s="35"/>
      <x:c r="M17" s="35"/>
      <x:c r="N17" s="35"/>
      <x:c r="O17" s="35"/>
      <x:c r="P17" s="43" t="str">
        <x:v>Feb 2026</x:v>
      </x:c>
      <x:c r="Q17" s="45" t="n">
        <x:f>H17</x:f>
        <x:v>0</x:v>
      </x:c>
      <x:c r="R17" s="45" t="n">
        <x:f>'Ahorro Mensual'!C7</x:f>
        <x:v>800</x:v>
      </x:c>
    </x:row>
    <x:row r="18">
      <x:c r="A18" s="38" t="str">
        <x:v>Electricidad</x:v>
      </x:c>
      <x:c r="B18" s="39" t="n">
        <x:f>SUMIFS('Registro de Gastos'!$E$6:$E$505,'Registro de Gastos'!$B$6:$B$505,A18,'Registro de Gastos'!$A$6:$A$505,"&gt;="&amp;EOMONTH(TODAY(),-1)+1,'Registro de Gastos'!$A$6:$A$505,"&lt;="&amp;EOMONTH(TODAY(),0))</x:f>
        <x:v>115</x:v>
      </x:c>
      <x:c r="C18" s="40" t="n">
        <x:f>IFERROR(B18/SUM($B$16:$B$33),0)</x:f>
        <x:v>0.06143162393162393</x:v>
      </x:c>
      <x:c r="D18" s="35"/>
      <x:c r="E18" s="38" t="str">
        <x:v>Mar 2026</x:v>
      </x:c>
      <x:c r="F18" s="39" t="n">
        <x:f>SUMIFS('Registro de Ingresos'!$E$6:$E$505,'Registro de Ingresos'!$A$6:$A$505,"&gt;="&amp;I18,'Registro de Ingresos'!$A$6:$A$505,"&lt;"&amp;EDATE(I18,1))</x:f>
        <x:v>0</x:v>
      </x:c>
      <x:c r="G18" s="39" t="n">
        <x:f>SUMIFS('Registro de Gastos'!$E$6:$E$505,'Registro de Gastos'!$A$6:$A$505,"&gt;="&amp;I18,'Registro de Gastos'!$A$6:$A$505,"&lt;"&amp;EDATE(I18,1),'Registro de Gastos'!$H$6:$H$505,"Pagado")</x:f>
        <x:v>0</x:v>
      </x:c>
      <x:c r="H18" s="39" t="n">
        <x:f>F18-G18</x:f>
        <x:v>0</x:v>
      </x:c>
      <x:c r="I18" s="44" t="n">
        <x:v>46082</x:v>
      </x:c>
      <x:c r="J18" s="35"/>
      <x:c r="K18" s="35"/>
      <x:c r="L18" s="35"/>
      <x:c r="M18" s="35"/>
      <x:c r="N18" s="35"/>
      <x:c r="O18" s="35"/>
      <x:c r="P18" s="43" t="str">
        <x:v>Mar 2026</x:v>
      </x:c>
      <x:c r="Q18" s="45" t="n">
        <x:f>H18</x:f>
        <x:v>0</x:v>
      </x:c>
      <x:c r="R18" s="45" t="n">
        <x:f>'Ahorro Mensual'!C8</x:f>
        <x:v>800</x:v>
      </x:c>
    </x:row>
    <x:row r="19">
      <x:c r="A19" s="38" t="str">
        <x:v>Gas</x:v>
      </x:c>
      <x:c r="B19" s="39" t="n">
        <x:f>SUMIFS('Registro de Gastos'!$E$6:$E$505,'Registro de Gastos'!$B$6:$B$505,A19,'Registro de Gastos'!$A$6:$A$505,"&gt;="&amp;EOMONTH(TODAY(),-1)+1,'Registro de Gastos'!$A$6:$A$505,"&lt;="&amp;EOMONTH(TODAY(),0))</x:f>
        <x:v>0</x:v>
      </x:c>
      <x:c r="C19" s="40" t="n">
        <x:f>IFERROR(B19/SUM($B$16:$B$33),0)</x:f>
        <x:v>0</x:v>
      </x:c>
      <x:c r="D19" s="35"/>
      <x:c r="E19" s="38" t="str">
        <x:v>Apr 2026</x:v>
      </x:c>
      <x:c r="F19" s="39" t="n">
        <x:f>SUMIFS('Registro de Ingresos'!$E$6:$E$505,'Registro de Ingresos'!$A$6:$A$505,"&gt;="&amp;I19,'Registro de Ingresos'!$A$6:$A$505,"&lt;"&amp;EDATE(I19,1))</x:f>
        <x:v>0</x:v>
      </x:c>
      <x:c r="G19" s="39" t="n">
        <x:f>SUMIFS('Registro de Gastos'!$E$6:$E$505,'Registro de Gastos'!$A$6:$A$505,"&gt;="&amp;I19,'Registro de Gastos'!$A$6:$A$505,"&lt;"&amp;EDATE(I19,1),'Registro de Gastos'!$H$6:$H$505,"Pagado")</x:f>
        <x:v>0</x:v>
      </x:c>
      <x:c r="H19" s="39" t="n">
        <x:f>F19-G19</x:f>
        <x:v>0</x:v>
      </x:c>
      <x:c r="I19" s="44" t="n">
        <x:v>46113</x:v>
      </x:c>
      <x:c r="J19" s="35"/>
      <x:c r="K19" s="35"/>
      <x:c r="L19" s="35"/>
      <x:c r="M19" s="35"/>
      <x:c r="N19" s="35"/>
      <x:c r="O19" s="35"/>
      <x:c r="P19" s="43" t="str">
        <x:v>Apr 2026</x:v>
      </x:c>
      <x:c r="Q19" s="45" t="n">
        <x:f>H19</x:f>
        <x:v>0</x:v>
      </x:c>
      <x:c r="R19" s="45" t="n">
        <x:f>'Ahorro Mensual'!C9</x:f>
        <x:v>800</x:v>
      </x:c>
    </x:row>
    <x:row r="20">
      <x:c r="A20" s="38" t="str">
        <x:v>Internet</x:v>
      </x:c>
      <x:c r="B20" s="39" t="n">
        <x:f>SUMIFS('Registro de Gastos'!$E$6:$E$505,'Registro de Gastos'!$B$6:$B$505,A20,'Registro de Gastos'!$A$6:$A$505,"&gt;="&amp;EOMONTH(TODAY(),-1)+1,'Registro de Gastos'!$A$6:$A$505,"&lt;="&amp;EOMONTH(TODAY(),0))</x:f>
        <x:v>0</x:v>
      </x:c>
      <x:c r="C20" s="40" t="n">
        <x:f>IFERROR(B20/SUM($B$16:$B$33),0)</x:f>
        <x:v>0</x:v>
      </x:c>
      <x:c r="D20" s="35"/>
      <x:c r="E20" s="38" t="str">
        <x:v>May 2026</x:v>
      </x:c>
      <x:c r="F20" s="39" t="n">
        <x:f>SUMIFS('Registro de Ingresos'!$E$6:$E$505,'Registro de Ingresos'!$A$6:$A$505,"&gt;="&amp;I20,'Registro de Ingresos'!$A$6:$A$505,"&lt;"&amp;EDATE(I20,1))</x:f>
        <x:v>0</x:v>
      </x:c>
      <x:c r="G20" s="39" t="n">
        <x:f>SUMIFS('Registro de Gastos'!$E$6:$E$505,'Registro de Gastos'!$A$6:$A$505,"&gt;="&amp;I20,'Registro de Gastos'!$A$6:$A$505,"&lt;"&amp;EDATE(I20,1),'Registro de Gastos'!$H$6:$H$505,"Pagado")</x:f>
        <x:v>0</x:v>
      </x:c>
      <x:c r="H20" s="39" t="n">
        <x:f>F20-G20</x:f>
        <x:v>0</x:v>
      </x:c>
      <x:c r="I20" s="44" t="n">
        <x:v>46143</x:v>
      </x:c>
      <x:c r="J20" s="35"/>
      <x:c r="K20" s="35"/>
      <x:c r="L20" s="35"/>
      <x:c r="M20" s="35"/>
      <x:c r="N20" s="35"/>
      <x:c r="O20" s="35"/>
      <x:c r="P20" s="43" t="str">
        <x:v>May 2026</x:v>
      </x:c>
      <x:c r="Q20" s="45" t="n">
        <x:f>H20</x:f>
        <x:v>0</x:v>
      </x:c>
      <x:c r="R20" s="45" t="n">
        <x:f>'Ahorro Mensual'!C10</x:f>
        <x:v>800</x:v>
      </x:c>
    </x:row>
    <x:row r="21">
      <x:c r="A21" s="38" t="str">
        <x:v>Teléfono</x:v>
      </x:c>
      <x:c r="B21" s="39" t="n">
        <x:f>SUMIFS('Registro de Gastos'!$E$6:$E$505,'Registro de Gastos'!$B$6:$B$505,A21,'Registro de Gastos'!$A$6:$A$505,"&gt;="&amp;EOMONTH(TODAY(),-1)+1,'Registro de Gastos'!$A$6:$A$505,"&lt;="&amp;EOMONTH(TODAY(),0))</x:f>
        <x:v>0</x:v>
      </x:c>
      <x:c r="C21" s="40" t="n">
        <x:f>IFERROR(B21/SUM($B$16:$B$33),0)</x:f>
        <x:v>0</x:v>
      </x:c>
      <x:c r="D21" s="35"/>
      <x:c r="E21" s="38" t="str">
        <x:v>Jun 2026</x:v>
      </x:c>
      <x:c r="F21" s="39" t="n">
        <x:f>SUMIFS('Registro de Ingresos'!$E$6:$E$505,'Registro de Ingresos'!$A$6:$A$505,"&gt;="&amp;I21,'Registro de Ingresos'!$A$6:$A$505,"&lt;"&amp;EDATE(I21,1))</x:f>
        <x:v>4970</x:v>
      </x:c>
      <x:c r="G21" s="39" t="n">
        <x:f>SUMIFS('Registro de Gastos'!$E$6:$E$505,'Registro de Gastos'!$A$6:$A$505,"&gt;="&amp;I21,'Registro de Gastos'!$A$6:$A$505,"&lt;"&amp;EDATE(I21,1),'Registro de Gastos'!$H$6:$H$505,"Pagado")</x:f>
        <x:v>1715</x:v>
      </x:c>
      <x:c r="H21" s="39" t="n">
        <x:f>F21-G21</x:f>
        <x:v>3255</x:v>
      </x:c>
      <x:c r="I21" s="44" t="n">
        <x:v>46174</x:v>
      </x:c>
      <x:c r="J21" s="35"/>
      <x:c r="K21" s="35"/>
      <x:c r="L21" s="35"/>
      <x:c r="M21" s="35"/>
      <x:c r="N21" s="35"/>
      <x:c r="O21" s="35"/>
      <x:c r="P21" s="43" t="str">
        <x:v>Jun 2026</x:v>
      </x:c>
      <x:c r="Q21" s="45" t="n">
        <x:f>H21</x:f>
        <x:v>3255</x:v>
      </x:c>
      <x:c r="R21" s="45" t="n">
        <x:f>'Ahorro Mensual'!C11</x:f>
        <x:v>800</x:v>
      </x:c>
    </x:row>
    <x:row r="22">
      <x:c r="A22" s="38" t="str">
        <x:v>Mercado</x:v>
      </x:c>
      <x:c r="B22" s="39" t="n">
        <x:f>SUMIFS('Registro de Gastos'!$E$6:$E$505,'Registro de Gastos'!$B$6:$B$505,A22,'Registro de Gastos'!$A$6:$A$505,"&gt;="&amp;EOMONTH(TODAY(),-1)+1,'Registro de Gastos'!$A$6:$A$505,"&lt;="&amp;EOMONTH(TODAY(),0))</x:f>
        <x:v>185</x:v>
      </x:c>
      <x:c r="C22" s="40" t="n">
        <x:f>IFERROR(B22/SUM($B$16:$B$33),0)</x:f>
        <x:v>0.09882478632478632</x:v>
      </x:c>
      <x:c r="D22" s="35"/>
      <x:c r="E22" s="38" t="str">
        <x:v>Jul 2026</x:v>
      </x:c>
      <x:c r="F22" s="39" t="n">
        <x:f>SUMIFS('Registro de Ingresos'!$E$6:$E$505,'Registro de Ingresos'!$A$6:$A$505,"&gt;="&amp;I22,'Registro de Ingresos'!$A$6:$A$505,"&lt;"&amp;EDATE(I22,1))</x:f>
        <x:v>0</x:v>
      </x:c>
      <x:c r="G22" s="39" t="n">
        <x:f>SUMIFS('Registro de Gastos'!$E$6:$E$505,'Registro de Gastos'!$A$6:$A$505,"&gt;="&amp;I22,'Registro de Gastos'!$A$6:$A$505,"&lt;"&amp;EDATE(I22,1),'Registro de Gastos'!$H$6:$H$505,"Pagado")</x:f>
        <x:v>0</x:v>
      </x:c>
      <x:c r="H22" s="39" t="n">
        <x:f>F22-G22</x:f>
        <x:v>0</x:v>
      </x:c>
      <x:c r="I22" s="44" t="n">
        <x:v>46204</x:v>
      </x:c>
      <x:c r="J22" s="35"/>
      <x:c r="K22" s="35"/>
      <x:c r="L22" s="35"/>
      <x:c r="M22" s="35"/>
      <x:c r="N22" s="35"/>
      <x:c r="O22" s="35"/>
      <x:c r="P22" s="43" t="str">
        <x:v>Jul 2026</x:v>
      </x:c>
      <x:c r="Q22" s="45" t="n">
        <x:f>H22</x:f>
        <x:v>0</x:v>
      </x:c>
      <x:c r="R22" s="45" t="n">
        <x:f>'Ahorro Mensual'!C12</x:f>
        <x:v>800</x:v>
      </x:c>
    </x:row>
    <x:row r="23">
      <x:c r="A23" s="38" t="str">
        <x:v>Transporte</x:v>
      </x:c>
      <x:c r="B23" s="39" t="n">
        <x:f>SUMIFS('Registro de Gastos'!$E$6:$E$505,'Registro de Gastos'!$B$6:$B$505,A23,'Registro de Gastos'!$A$6:$A$505,"&gt;="&amp;EOMONTH(TODAY(),-1)+1,'Registro de Gastos'!$A$6:$A$505,"&lt;="&amp;EOMONTH(TODAY(),0))</x:f>
        <x:v>80</x:v>
      </x:c>
      <x:c r="C23" s="40" t="n">
        <x:f>IFERROR(B23/SUM($B$16:$B$33),0)</x:f>
        <x:v>0.042735042735042736</x:v>
      </x:c>
      <x:c r="D23" s="35"/>
      <x:c r="E23" s="38" t="str">
        <x:v>Aug 2026</x:v>
      </x:c>
      <x:c r="F23" s="39" t="n">
        <x:f>SUMIFS('Registro de Ingresos'!$E$6:$E$505,'Registro de Ingresos'!$A$6:$A$505,"&gt;="&amp;I23,'Registro de Ingresos'!$A$6:$A$505,"&lt;"&amp;EDATE(I23,1))</x:f>
        <x:v>0</x:v>
      </x:c>
      <x:c r="G23" s="39" t="n">
        <x:f>SUMIFS('Registro de Gastos'!$E$6:$E$505,'Registro de Gastos'!$A$6:$A$505,"&gt;="&amp;I23,'Registro de Gastos'!$A$6:$A$505,"&lt;"&amp;EDATE(I23,1),'Registro de Gastos'!$H$6:$H$505,"Pagado")</x:f>
        <x:v>0</x:v>
      </x:c>
      <x:c r="H23" s="39" t="n">
        <x:f>F23-G23</x:f>
        <x:v>0</x:v>
      </x:c>
      <x:c r="I23" s="44" t="n">
        <x:v>46235</x:v>
      </x:c>
      <x:c r="J23" s="35"/>
      <x:c r="K23" s="35"/>
      <x:c r="L23" s="35"/>
      <x:c r="M23" s="35"/>
      <x:c r="N23" s="35"/>
      <x:c r="O23" s="35"/>
      <x:c r="P23" s="43" t="str">
        <x:v>Aug 2026</x:v>
      </x:c>
      <x:c r="Q23" s="45" t="n">
        <x:f>H23</x:f>
        <x:v>0</x:v>
      </x:c>
      <x:c r="R23" s="45" t="n">
        <x:f>'Ahorro Mensual'!C13</x:f>
        <x:v>800</x:v>
      </x:c>
    </x:row>
    <x:row r="24">
      <x:c r="A24" s="38" t="str">
        <x:v>Combustible</x:v>
      </x:c>
      <x:c r="B24" s="39" t="n">
        <x:f>SUMIFS('Registro de Gastos'!$E$6:$E$505,'Registro de Gastos'!$B$6:$B$505,A24,'Registro de Gastos'!$A$6:$A$505,"&gt;="&amp;EOMONTH(TODAY(),-1)+1,'Registro de Gastos'!$A$6:$A$505,"&lt;="&amp;EOMONTH(TODAY(),0))</x:f>
        <x:v>0</x:v>
      </x:c>
      <x:c r="C24" s="40" t="n">
        <x:f>IFERROR(B24/SUM($B$16:$B$33),0)</x:f>
        <x:v>0</x:v>
      </x:c>
      <x:c r="D24" s="35"/>
      <x:c r="E24" s="38" t="str">
        <x:v>Sep 2026</x:v>
      </x:c>
      <x:c r="F24" s="39" t="n">
        <x:f>SUMIFS('Registro de Ingresos'!$E$6:$E$505,'Registro de Ingresos'!$A$6:$A$505,"&gt;="&amp;I24,'Registro de Ingresos'!$A$6:$A$505,"&lt;"&amp;EDATE(I24,1))</x:f>
        <x:v>0</x:v>
      </x:c>
      <x:c r="G24" s="39" t="n">
        <x:f>SUMIFS('Registro de Gastos'!$E$6:$E$505,'Registro de Gastos'!$A$6:$A$505,"&gt;="&amp;I24,'Registro de Gastos'!$A$6:$A$505,"&lt;"&amp;EDATE(I24,1),'Registro de Gastos'!$H$6:$H$505,"Pagado")</x:f>
        <x:v>0</x:v>
      </x:c>
      <x:c r="H24" s="39" t="n">
        <x:f>F24-G24</x:f>
        <x:v>0</x:v>
      </x:c>
      <x:c r="I24" s="44" t="n">
        <x:v>46266</x:v>
      </x:c>
      <x:c r="J24" s="35"/>
      <x:c r="K24" s="35"/>
      <x:c r="L24" s="35"/>
      <x:c r="M24" s="35"/>
      <x:c r="N24" s="35"/>
      <x:c r="O24" s="35"/>
      <x:c r="P24" s="43" t="str">
        <x:v>Sep 2026</x:v>
      </x:c>
      <x:c r="Q24" s="45" t="n">
        <x:f>H24</x:f>
        <x:v>0</x:v>
      </x:c>
      <x:c r="R24" s="45" t="n">
        <x:f>'Ahorro Mensual'!C14</x:f>
        <x:v>800</x:v>
      </x:c>
    </x:row>
    <x:row r="25">
      <x:c r="A25" s="38" t="str">
        <x:v>Salud</x:v>
      </x:c>
      <x:c r="B25" s="39" t="n">
        <x:f>SUMIFS('Registro de Gastos'!$E$6:$E$505,'Registro de Gastos'!$B$6:$B$505,A25,'Registro de Gastos'!$A$6:$A$505,"&gt;="&amp;EOMONTH(TODAY(),-1)+1,'Registro de Gastos'!$A$6:$A$505,"&lt;="&amp;EOMONTH(TODAY(),0))</x:f>
        <x:v>0</x:v>
      </x:c>
      <x:c r="C25" s="40" t="n">
        <x:f>IFERROR(B25/SUM($B$16:$B$33),0)</x:f>
        <x:v>0</x:v>
      </x:c>
      <x:c r="D25" s="35"/>
      <x:c r="E25" s="38" t="str">
        <x:v>Oct 2026</x:v>
      </x:c>
      <x:c r="F25" s="39" t="n">
        <x:f>SUMIFS('Registro de Ingresos'!$E$6:$E$505,'Registro de Ingresos'!$A$6:$A$505,"&gt;="&amp;I25,'Registro de Ingresos'!$A$6:$A$505,"&lt;"&amp;EDATE(I25,1))</x:f>
        <x:v>0</x:v>
      </x:c>
      <x:c r="G25" s="39" t="n">
        <x:f>SUMIFS('Registro de Gastos'!$E$6:$E$505,'Registro de Gastos'!$A$6:$A$505,"&gt;="&amp;I25,'Registro de Gastos'!$A$6:$A$505,"&lt;"&amp;EDATE(I25,1),'Registro de Gastos'!$H$6:$H$505,"Pagado")</x:f>
        <x:v>0</x:v>
      </x:c>
      <x:c r="H25" s="39" t="n">
        <x:f>F25-G25</x:f>
        <x:v>0</x:v>
      </x:c>
      <x:c r="I25" s="44" t="n">
        <x:v>46296</x:v>
      </x:c>
      <x:c r="J25" s="35"/>
      <x:c r="K25" s="35"/>
      <x:c r="L25" s="35"/>
      <x:c r="M25" s="35"/>
      <x:c r="N25" s="35"/>
      <x:c r="O25" s="35"/>
      <x:c r="P25" s="43" t="str">
        <x:v>Oct 2026</x:v>
      </x:c>
      <x:c r="Q25" s="45" t="n">
        <x:f>H25</x:f>
        <x:v>0</x:v>
      </x:c>
      <x:c r="R25" s="45" t="n">
        <x:f>'Ahorro Mensual'!C15</x:f>
        <x:v>800</x:v>
      </x:c>
    </x:row>
    <x:row r="26">
      <x:c r="A26" s="38" t="str">
        <x:v>Educación</x:v>
      </x:c>
      <x:c r="B26" s="39" t="n">
        <x:f>SUMIFS('Registro de Gastos'!$E$6:$E$505,'Registro de Gastos'!$B$6:$B$505,A26,'Registro de Gastos'!$A$6:$A$505,"&gt;="&amp;EOMONTH(TODAY(),-1)+1,'Registro de Gastos'!$A$6:$A$505,"&lt;="&amp;EOMONTH(TODAY(),0))</x:f>
        <x:v>0</x:v>
      </x:c>
      <x:c r="C26" s="40" t="n">
        <x:f>IFERROR(B26/SUM($B$16:$B$33),0)</x:f>
        <x:v>0</x:v>
      </x:c>
      <x:c r="D26" s="35"/>
      <x:c r="E26" s="38" t="str">
        <x:v>Nov 2026</x:v>
      </x:c>
      <x:c r="F26" s="39" t="n">
        <x:f>SUMIFS('Registro de Ingresos'!$E$6:$E$505,'Registro de Ingresos'!$A$6:$A$505,"&gt;="&amp;I26,'Registro de Ingresos'!$A$6:$A$505,"&lt;"&amp;EDATE(I26,1))</x:f>
        <x:v>0</x:v>
      </x:c>
      <x:c r="G26" s="39" t="n">
        <x:f>SUMIFS('Registro de Gastos'!$E$6:$E$505,'Registro de Gastos'!$A$6:$A$505,"&gt;="&amp;I26,'Registro de Gastos'!$A$6:$A$505,"&lt;"&amp;EDATE(I26,1),'Registro de Gastos'!$H$6:$H$505,"Pagado")</x:f>
        <x:v>0</x:v>
      </x:c>
      <x:c r="H26" s="39" t="n">
        <x:f>F26-G26</x:f>
        <x:v>0</x:v>
      </x:c>
      <x:c r="I26" s="44" t="n">
        <x:v>46327</x:v>
      </x:c>
      <x:c r="J26" s="35"/>
      <x:c r="K26" s="35"/>
      <x:c r="L26" s="35"/>
      <x:c r="M26" s="35"/>
      <x:c r="N26" s="35"/>
      <x:c r="O26" s="35"/>
      <x:c r="P26" s="43" t="str">
        <x:v>Nov 2026</x:v>
      </x:c>
      <x:c r="Q26" s="45" t="n">
        <x:f>H26</x:f>
        <x:v>0</x:v>
      </x:c>
      <x:c r="R26" s="45" t="n">
        <x:f>'Ahorro Mensual'!C16</x:f>
        <x:v>800</x:v>
      </x:c>
    </x:row>
    <x:row r="27">
      <x:c r="A27" s="38" t="str">
        <x:v>Mascotas</x:v>
      </x:c>
      <x:c r="B27" s="39" t="n">
        <x:f>SUMIFS('Registro de Gastos'!$E$6:$E$505,'Registro de Gastos'!$B$6:$B$505,A27,'Registro de Gastos'!$A$6:$A$505,"&gt;="&amp;EOMONTH(TODAY(),-1)+1,'Registro de Gastos'!$A$6:$A$505,"&lt;="&amp;EOMONTH(TODAY(),0))</x:f>
        <x:v>0</x:v>
      </x:c>
      <x:c r="C27" s="40" t="n">
        <x:f>IFERROR(B27/SUM($B$16:$B$33),0)</x:f>
        <x:v>0</x:v>
      </x:c>
      <x:c r="D27" s="35"/>
      <x:c r="E27" s="38" t="str">
        <x:v>Dec 2026</x:v>
      </x:c>
      <x:c r="F27" s="39" t="n">
        <x:f>SUMIFS('Registro de Ingresos'!$E$6:$E$505,'Registro de Ingresos'!$A$6:$A$505,"&gt;="&amp;I27,'Registro de Ingresos'!$A$6:$A$505,"&lt;"&amp;EDATE(I27,1))</x:f>
        <x:v>0</x:v>
      </x:c>
      <x:c r="G27" s="39" t="n">
        <x:f>SUMIFS('Registro de Gastos'!$E$6:$E$505,'Registro de Gastos'!$A$6:$A$505,"&gt;="&amp;I27,'Registro de Gastos'!$A$6:$A$505,"&lt;"&amp;EDATE(I27,1),'Registro de Gastos'!$H$6:$H$505,"Pagado")</x:f>
        <x:v>0</x:v>
      </x:c>
      <x:c r="H27" s="39" t="n">
        <x:f>F27-G27</x:f>
        <x:v>0</x:v>
      </x:c>
      <x:c r="I27" s="44" t="n">
        <x:v>46357</x:v>
      </x:c>
      <x:c r="J27" s="35"/>
      <x:c r="K27" s="35"/>
      <x:c r="L27" s="35"/>
      <x:c r="M27" s="35"/>
      <x:c r="N27" s="35"/>
      <x:c r="O27" s="35"/>
      <x:c r="P27" s="43" t="str">
        <x:v>Dec 2026</x:v>
      </x:c>
      <x:c r="Q27" s="45" t="n">
        <x:f>H27</x:f>
        <x:v>0</x:v>
      </x:c>
      <x:c r="R27" s="45" t="n">
        <x:f>'Ahorro Mensual'!C17</x:f>
        <x:v>800</x:v>
      </x:c>
    </x:row>
    <x:row r="28">
      <x:c r="A28" s="38" t="str">
        <x:v>Entretenimiento</x:v>
      </x:c>
      <x:c r="B28" s="39" t="n">
        <x:f>SUMIFS('Registro de Gastos'!$E$6:$E$505,'Registro de Gastos'!$B$6:$B$505,A28,'Registro de Gastos'!$A$6:$A$505,"&gt;="&amp;EOMONTH(TODAY(),-1)+1,'Registro de Gastos'!$A$6:$A$505,"&lt;="&amp;EOMONTH(TODAY(),0))</x:f>
        <x:v>0</x:v>
      </x:c>
      <x:c r="C28" s="40" t="n">
        <x:f>IFERROR(B28/SUM($B$16:$B$33),0)</x:f>
        <x:v>0</x:v>
      </x:c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</x:row>
    <x:row r="29">
      <x:c r="A29" s="38" t="str">
        <x:v>Impuestos</x:v>
      </x:c>
      <x:c r="B29" s="39" t="n">
        <x:f>SUMIFS('Registro de Gastos'!$E$6:$E$505,'Registro de Gastos'!$B$6:$B$505,A29,'Registro de Gastos'!$A$6:$A$505,"&gt;="&amp;EOMONTH(TODAY(),-1)+1,'Registro de Gastos'!$A$6:$A$505,"&lt;="&amp;EOMONTH(TODAY(),0))</x:f>
        <x:v>0</x:v>
      </x:c>
      <x:c r="C29" s="40" t="n">
        <x:f>IFERROR(B29/SUM($B$16:$B$33),0)</x:f>
        <x:v>0</x:v>
      </x:c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</x:row>
    <x:row r="30">
      <x:c r="A30" s="38" t="str">
        <x:v>Seguros</x:v>
      </x:c>
      <x:c r="B30" s="39" t="n">
        <x:f>SUMIFS('Registro de Gastos'!$E$6:$E$505,'Registro de Gastos'!$B$6:$B$505,A30,'Registro de Gastos'!$A$6:$A$505,"&gt;="&amp;EOMONTH(TODAY(),-1)+1,'Registro de Gastos'!$A$6:$A$505,"&lt;="&amp;EOMONTH(TODAY(),0))</x:f>
        <x:v>0</x:v>
      </x:c>
      <x:c r="C30" s="40" t="n">
        <x:f>IFERROR(B30/SUM($B$16:$B$33),0)</x:f>
        <x:v>0</x:v>
      </x:c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</x:row>
    <x:row r="31">
      <x:c r="A31" s="38" t="str">
        <x:v>Mantenimiento</x:v>
      </x:c>
      <x:c r="B31" s="39" t="n">
        <x:f>SUMIFS('Registro de Gastos'!$E$6:$E$505,'Registro de Gastos'!$B$6:$B$505,A31,'Registro de Gastos'!$A$6:$A$505,"&gt;="&amp;EOMONTH(TODAY(),-1)+1,'Registro de Gastos'!$A$6:$A$505,"&lt;="&amp;EOMONTH(TODAY(),0))</x:f>
        <x:v>0</x:v>
      </x:c>
      <x:c r="C31" s="40" t="n">
        <x:f>IFERROR(B31/SUM($B$16:$B$33),0)</x:f>
        <x:v>0</x:v>
      </x:c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</x:row>
    <x:row r="32">
      <x:c r="A32" s="38" t="str">
        <x:v>Suscripciones</x:v>
      </x:c>
      <x:c r="B32" s="39" t="n">
        <x:f>SUMIFS('Registro de Gastos'!$E$6:$E$505,'Registro de Gastos'!$B$6:$B$505,A32,'Registro de Gastos'!$A$6:$A$505,"&gt;="&amp;EOMONTH(TODAY(),-1)+1,'Registro de Gastos'!$A$6:$A$505,"&lt;="&amp;EOMONTH(TODAY(),0))</x:f>
        <x:v>42</x:v>
      </x:c>
      <x:c r="C32" s="40" t="n">
        <x:f>IFERROR(B32/SUM($B$16:$B$33),0)</x:f>
        <x:v>0.022435897435897436</x:v>
      </x:c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</x:row>
    <x:row r="33">
      <x:c r="A33" s="38" t="str">
        <x:v>Otros</x:v>
      </x:c>
      <x:c r="B33" s="39" t="n">
        <x:f>SUMIFS('Registro de Gastos'!$E$6:$E$505,'Registro de Gastos'!$B$6:$B$505,A33,'Registro de Gastos'!$A$6:$A$505,"&gt;="&amp;EOMONTH(TODAY(),-1)+1,'Registro de Gastos'!$A$6:$A$505,"&lt;="&amp;EOMONTH(TODAY(),0))</x:f>
        <x:v>0</x:v>
      </x:c>
      <x:c r="C33" s="40" t="n">
        <x:f>IFERROR(B33/SUM($B$16:$B$33),0)</x:f>
        <x:v>0</x:v>
      </x:c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</x:row>
  </x:sheetData>
  <x:mergeCells>
    <x:mergeCell ref="A1:N1"/>
    <x:mergeCell ref="A2:N2"/>
  </x:mergeCells>
  <x:conditionalFormatting sqref="E5:E5">
    <x:cfRule type="containsText" dxfId="12" priority="1" operator="containsText" text="Verde"/>
    <x:cfRule type="containsText" dxfId="13" priority="2" operator="containsText" text="Amarillo"/>
    <x:cfRule type="containsText" dxfId="14" priority="3" operator="containsText" text="Rojo"/>
  </x:conditionalFormatting>
  <x:conditionalFormatting sqref="B4:B12">
    <x:cfRule type="expression" dxfId="15" priority="4">
      <x:formula>B4&lt;0</x:formula>
    </x:cfRule>
  </x:conditionalFormatting>
  <x:pageMargins left="0.7" right="0.7" top="0.75" bottom="0.75" header="0.3" footer="0.3"/>
  <x:drawing xmlns:r="http://schemas.openxmlformats.org/officeDocument/2006/relationships" r:id="R60d8b55b5f28479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8.75" hidden="0" customWidth="1"/>
    <x:col min="3" max="3" width="16.25" hidden="0" customWidth="1"/>
    <x:col min="4" max="4" width="27.5" hidden="0" customWidth="1"/>
    <x:col min="5" max="5" width="13.75" hidden="0" customWidth="1"/>
    <x:col min="6" max="6" width="27.5" hidden="0" customWidth="1"/>
  </x:cols>
  <x:sheetData>
    <x:row r="1" ht="28.5" customHeight="1">
      <x:c r="A1" s="34" t="str">
        <x:v>Registro de Ingresos</x:v>
      </x:c>
      <x:c r="B1" s="34" t="str">
        <x:v>Registro de Ingresos</x:v>
      </x:c>
      <x:c r="C1" s="34" t="str">
        <x:v>Registro de Ingresos</x:v>
      </x:c>
      <x:c r="D1" s="34" t="str">
        <x:v>Registro de Ingresos</x:v>
      </x:c>
      <x:c r="E1" s="34" t="str">
        <x:v>Registro de Ingresos</x:v>
      </x:c>
      <x:c r="F1" s="34" t="str">
        <x:v>Registro de Ingresos</x:v>
      </x:c>
    </x:row>
    <x:row r="2" ht="19.5" customHeight="1">
      <x:c r="A2" s="36" t="str">
        <x:v>Captura todos los ingresos familiares. El dashboard calcula automáticamente el mes actual y el resumen anual.</x:v>
      </x:c>
      <x:c r="B2" s="36" t="str">
        <x:v>Captura todos los ingresos familiares. El dashboard calcula automáticamente el mes actual y el resumen anual.</x:v>
      </x:c>
      <x:c r="C2" s="36" t="str">
        <x:v>Captura todos los ingresos familiares. El dashboard calcula automáticamente el mes actual y el resumen anual.</x:v>
      </x:c>
      <x:c r="D2" s="36" t="str">
        <x:v>Captura todos los ingresos familiares. El dashboard calcula automáticamente el mes actual y el resumen anual.</x:v>
      </x:c>
      <x:c r="E2" s="36" t="str">
        <x:v>Captura todos los ingresos familiares. El dashboard calcula automáticamente el mes actual y el resumen anual.</x:v>
      </x:c>
      <x:c r="F2" s="36" t="str">
        <x:v>Captura todos los ingresos familiares. El dashboard calcula automáticamente el mes actual y el resumen anual.</x:v>
      </x:c>
    </x:row>
    <x:row r="3">
      <x:c r="A3" s="35"/>
      <x:c r="B3" s="35"/>
      <x:c r="C3" s="35"/>
      <x:c r="D3" s="35"/>
      <x:c r="E3" s="35"/>
      <x:c r="F3" s="35"/>
    </x:row>
    <x:row r="4">
      <x:c r="A4" s="35"/>
      <x:c r="B4" s="35"/>
      <x:c r="C4" s="35"/>
      <x:c r="D4" s="35"/>
      <x:c r="E4" s="35"/>
      <x:c r="F4" s="35"/>
    </x:row>
    <x:row r="5">
      <x:c r="A5" s="37" t="str">
        <x:v>Fecha</x:v>
      </x:c>
      <x:c r="B5" s="37" t="str">
        <x:v>Fuente de ingreso</x:v>
      </x:c>
      <x:c r="C5" s="37" t="str">
        <x:v>Categoría</x:v>
      </x:c>
      <x:c r="D5" s="37" t="str">
        <x:v>Descripción</x:v>
      </x:c>
      <x:c r="E5" s="37" t="str">
        <x:v>Monto</x:v>
      </x:c>
      <x:c r="F5" s="37" t="str">
        <x:v>Observaciones</x:v>
      </x:c>
    </x:row>
    <x:row r="6">
      <x:c r="A6" s="46" t="n">
        <x:v>46174</x:v>
      </x:c>
      <x:c r="B6" s="38" t="str">
        <x:v>Empresa</x:v>
      </x:c>
      <x:c r="C6" s="38" t="str">
        <x:v>Salario</x:v>
      </x:c>
      <x:c r="D6" s="38" t="str">
        <x:v>Nómina mensual</x:v>
      </x:c>
      <x:c r="E6" s="39" t="n">
        <x:v>4200</x:v>
      </x:c>
      <x:c r="F6" s="38" t="str"/>
    </x:row>
    <x:row r="7">
      <x:c r="A7" s="46" t="n">
        <x:v>46181</x:v>
      </x:c>
      <x:c r="B7" s="38" t="str">
        <x:v>Cliente freelance</x:v>
      </x:c>
      <x:c r="C7" s="38" t="str">
        <x:v>Freelance</x:v>
      </x:c>
      <x:c r="D7" s="38" t="str">
        <x:v>Proyecto web</x:v>
      </x:c>
      <x:c r="E7" s="39" t="n">
        <x:v>650</x:v>
      </x:c>
      <x:c r="F7" s="38" t="str">
        <x:v>Ingreso variable</x:v>
      </x:c>
    </x:row>
    <x:row r="8">
      <x:c r="A8" s="46" t="n">
        <x:v>46188</x:v>
      </x:c>
      <x:c r="B8" s="38" t="str">
        <x:v>Cuenta inversión</x:v>
      </x:c>
      <x:c r="C8" s="38" t="str">
        <x:v>Inversiones</x:v>
      </x:c>
      <x:c r="D8" s="38" t="str">
        <x:v>Dividendos</x:v>
      </x:c>
      <x:c r="E8" s="39" t="n">
        <x:v>120</x:v>
      </x:c>
      <x:c r="F8" s="38" t="str"/>
    </x:row>
    <x:row r="9">
      <x:c r="A9" s="46"/>
      <x:c r="B9" s="38" t="str"/>
      <x:c r="C9" s="38" t="str"/>
      <x:c r="D9" s="38" t="str"/>
      <x:c r="E9" s="39"/>
      <x:c r="F9" s="38" t="str"/>
    </x:row>
    <x:row r="10">
      <x:c r="A10" s="46"/>
      <x:c r="B10" s="38" t="str"/>
      <x:c r="C10" s="38" t="str"/>
      <x:c r="D10" s="38" t="str"/>
      <x:c r="E10" s="39"/>
      <x:c r="F10" s="38" t="str"/>
    </x:row>
    <x:row r="11">
      <x:c r="A11" s="46"/>
      <x:c r="B11" s="38" t="str"/>
      <x:c r="C11" s="38" t="str"/>
      <x:c r="D11" s="38" t="str"/>
      <x:c r="E11" s="39"/>
      <x:c r="F11" s="38" t="str"/>
    </x:row>
    <x:row r="12">
      <x:c r="A12" s="46"/>
      <x:c r="B12" s="38" t="str"/>
      <x:c r="C12" s="38" t="str"/>
      <x:c r="D12" s="38" t="str"/>
      <x:c r="E12" s="39"/>
      <x:c r="F12" s="38" t="str"/>
    </x:row>
    <x:row r="13">
      <x:c r="A13" s="46"/>
      <x:c r="B13" s="38" t="str"/>
      <x:c r="C13" s="38" t="str"/>
      <x:c r="D13" s="38" t="str"/>
      <x:c r="E13" s="39"/>
      <x:c r="F13" s="38" t="str"/>
    </x:row>
    <x:row r="14">
      <x:c r="A14" s="46"/>
      <x:c r="B14" s="38" t="str"/>
      <x:c r="C14" s="38" t="str"/>
      <x:c r="D14" s="38" t="str"/>
      <x:c r="E14" s="39"/>
      <x:c r="F14" s="38" t="str"/>
    </x:row>
    <x:row r="15">
      <x:c r="A15" s="46"/>
      <x:c r="B15" s="38" t="str"/>
      <x:c r="C15" s="38" t="str"/>
      <x:c r="D15" s="38" t="str"/>
      <x:c r="E15" s="39"/>
      <x:c r="F15" s="38" t="str"/>
    </x:row>
    <x:row r="16">
      <x:c r="A16" s="46"/>
      <x:c r="B16" s="38" t="str"/>
      <x:c r="C16" s="38" t="str"/>
      <x:c r="D16" s="38" t="str"/>
      <x:c r="E16" s="39"/>
      <x:c r="F16" s="38" t="str"/>
    </x:row>
    <x:row r="17">
      <x:c r="A17" s="46"/>
      <x:c r="B17" s="38" t="str"/>
      <x:c r="C17" s="38" t="str"/>
      <x:c r="D17" s="38" t="str"/>
      <x:c r="E17" s="39"/>
      <x:c r="F17" s="38" t="str"/>
    </x:row>
    <x:row r="18">
      <x:c r="A18" s="46"/>
      <x:c r="B18" s="38" t="str"/>
      <x:c r="C18" s="38" t="str"/>
      <x:c r="D18" s="38" t="str"/>
      <x:c r="E18" s="39"/>
      <x:c r="F18" s="38" t="str"/>
    </x:row>
    <x:row r="19">
      <x:c r="A19" s="46"/>
      <x:c r="B19" s="38" t="str"/>
      <x:c r="C19" s="38" t="str"/>
      <x:c r="D19" s="38" t="str"/>
      <x:c r="E19" s="39"/>
      <x:c r="F19" s="38" t="str"/>
    </x:row>
    <x:row r="20">
      <x:c r="A20" s="46"/>
      <x:c r="B20" s="38" t="str"/>
      <x:c r="C20" s="38" t="str"/>
      <x:c r="D20" s="38" t="str"/>
      <x:c r="E20" s="39"/>
      <x:c r="F20" s="38" t="str"/>
    </x:row>
    <x:row r="21">
      <x:c r="A21" s="46"/>
      <x:c r="B21" s="38" t="str"/>
      <x:c r="C21" s="38" t="str"/>
      <x:c r="D21" s="38" t="str"/>
      <x:c r="E21" s="39"/>
      <x:c r="F21" s="38" t="str"/>
    </x:row>
    <x:row r="22">
      <x:c r="A22" s="46"/>
      <x:c r="B22" s="38" t="str"/>
      <x:c r="C22" s="38" t="str"/>
      <x:c r="D22" s="38" t="str"/>
      <x:c r="E22" s="39"/>
      <x:c r="F22" s="38" t="str"/>
    </x:row>
    <x:row r="23">
      <x:c r="A23" s="46"/>
      <x:c r="B23" s="38" t="str"/>
      <x:c r="C23" s="38" t="str"/>
      <x:c r="D23" s="38" t="str"/>
      <x:c r="E23" s="39"/>
      <x:c r="F23" s="38" t="str"/>
    </x:row>
    <x:row r="24">
      <x:c r="A24" s="46"/>
      <x:c r="B24" s="38" t="str"/>
      <x:c r="C24" s="38" t="str"/>
      <x:c r="D24" s="38" t="str"/>
      <x:c r="E24" s="39"/>
      <x:c r="F24" s="38" t="str"/>
    </x:row>
    <x:row r="25">
      <x:c r="A25" s="46"/>
      <x:c r="B25" s="38" t="str"/>
      <x:c r="C25" s="38" t="str"/>
      <x:c r="D25" s="38" t="str"/>
      <x:c r="E25" s="39"/>
      <x:c r="F25" s="38" t="str"/>
    </x:row>
    <x:row r="26">
      <x:c r="A26" s="46"/>
      <x:c r="B26" s="38" t="str"/>
      <x:c r="C26" s="38" t="str"/>
      <x:c r="D26" s="38" t="str"/>
      <x:c r="E26" s="39"/>
      <x:c r="F26" s="38" t="str"/>
    </x:row>
    <x:row r="27">
      <x:c r="A27" s="46"/>
      <x:c r="B27" s="38" t="str"/>
      <x:c r="C27" s="38" t="str"/>
      <x:c r="D27" s="38" t="str"/>
      <x:c r="E27" s="39"/>
      <x:c r="F27" s="38" t="str"/>
    </x:row>
    <x:row r="28">
      <x:c r="A28" s="46"/>
      <x:c r="B28" s="38" t="str"/>
      <x:c r="C28" s="38" t="str"/>
      <x:c r="D28" s="38" t="str"/>
      <x:c r="E28" s="39"/>
      <x:c r="F28" s="38" t="str"/>
    </x:row>
    <x:row r="29">
      <x:c r="A29" s="46"/>
      <x:c r="B29" s="38" t="str"/>
      <x:c r="C29" s="38" t="str"/>
      <x:c r="D29" s="38" t="str"/>
      <x:c r="E29" s="39"/>
      <x:c r="F29" s="38" t="str"/>
    </x:row>
    <x:row r="30">
      <x:c r="A30" s="46"/>
      <x:c r="B30" s="38" t="str"/>
      <x:c r="C30" s="38" t="str"/>
      <x:c r="D30" s="38" t="str"/>
      <x:c r="E30" s="39"/>
      <x:c r="F30" s="38" t="str"/>
    </x:row>
    <x:row r="31">
      <x:c r="A31" s="46"/>
      <x:c r="B31" s="38" t="str"/>
      <x:c r="C31" s="38" t="str"/>
      <x:c r="D31" s="38" t="str"/>
      <x:c r="E31" s="39"/>
      <x:c r="F31" s="38" t="str"/>
    </x:row>
    <x:row r="32">
      <x:c r="A32" s="46"/>
      <x:c r="B32" s="38" t="str"/>
      <x:c r="C32" s="38" t="str"/>
      <x:c r="D32" s="38" t="str"/>
      <x:c r="E32" s="39"/>
      <x:c r="F32" s="38" t="str"/>
    </x:row>
    <x:row r="33">
      <x:c r="A33" s="46"/>
      <x:c r="B33" s="38" t="str"/>
      <x:c r="C33" s="38" t="str"/>
      <x:c r="D33" s="38" t="str"/>
      <x:c r="E33" s="39"/>
      <x:c r="F33" s="38" t="str"/>
    </x:row>
    <x:row r="34">
      <x:c r="A34" s="46"/>
      <x:c r="B34" s="38" t="str"/>
      <x:c r="C34" s="38" t="str"/>
      <x:c r="D34" s="38" t="str"/>
      <x:c r="E34" s="39"/>
      <x:c r="F34" s="38" t="str"/>
    </x:row>
    <x:row r="35">
      <x:c r="A35" s="46"/>
      <x:c r="B35" s="38" t="str"/>
      <x:c r="C35" s="38" t="str"/>
      <x:c r="D35" s="38" t="str"/>
      <x:c r="E35" s="39"/>
      <x:c r="F35" s="38" t="str"/>
    </x:row>
    <x:row r="36">
      <x:c r="A36" s="46"/>
      <x:c r="B36" s="38" t="str"/>
      <x:c r="C36" s="38" t="str"/>
      <x:c r="D36" s="38" t="str"/>
      <x:c r="E36" s="39"/>
      <x:c r="F36" s="38" t="str"/>
    </x:row>
    <x:row r="37">
      <x:c r="A37" s="46"/>
      <x:c r="B37" s="38" t="str"/>
      <x:c r="C37" s="38" t="str"/>
      <x:c r="D37" s="38" t="str"/>
      <x:c r="E37" s="39"/>
      <x:c r="F37" s="38" t="str"/>
    </x:row>
    <x:row r="38">
      <x:c r="A38" s="46"/>
      <x:c r="B38" s="38" t="str"/>
      <x:c r="C38" s="38" t="str"/>
      <x:c r="D38" s="38" t="str"/>
      <x:c r="E38" s="39"/>
      <x:c r="F38" s="38" t="str"/>
    </x:row>
    <x:row r="39">
      <x:c r="A39" s="46"/>
      <x:c r="B39" s="38" t="str"/>
      <x:c r="C39" s="38" t="str"/>
      <x:c r="D39" s="38" t="str"/>
      <x:c r="E39" s="39"/>
      <x:c r="F39" s="38" t="str"/>
    </x:row>
    <x:row r="40">
      <x:c r="A40" s="46"/>
      <x:c r="B40" s="38" t="str"/>
      <x:c r="C40" s="38" t="str"/>
      <x:c r="D40" s="38" t="str"/>
      <x:c r="E40" s="39"/>
      <x:c r="F40" s="38" t="str"/>
    </x:row>
    <x:row r="41">
      <x:c r="A41" s="46"/>
      <x:c r="B41" s="38" t="str"/>
      <x:c r="C41" s="38" t="str"/>
      <x:c r="D41" s="38" t="str"/>
      <x:c r="E41" s="39"/>
      <x:c r="F41" s="38" t="str"/>
    </x:row>
    <x:row r="42">
      <x:c r="A42" s="46"/>
      <x:c r="B42" s="38" t="str"/>
      <x:c r="C42" s="38" t="str"/>
      <x:c r="D42" s="38" t="str"/>
      <x:c r="E42" s="39"/>
      <x:c r="F42" s="38" t="str"/>
    </x:row>
    <x:row r="43">
      <x:c r="A43" s="46"/>
      <x:c r="B43" s="38" t="str"/>
      <x:c r="C43" s="38" t="str"/>
      <x:c r="D43" s="38" t="str"/>
      <x:c r="E43" s="39"/>
      <x:c r="F43" s="38" t="str"/>
    </x:row>
    <x:row r="44">
      <x:c r="A44" s="46"/>
      <x:c r="B44" s="38" t="str"/>
      <x:c r="C44" s="38" t="str"/>
      <x:c r="D44" s="38" t="str"/>
      <x:c r="E44" s="39"/>
      <x:c r="F44" s="38" t="str"/>
    </x:row>
    <x:row r="45">
      <x:c r="A45" s="46"/>
      <x:c r="B45" s="38" t="str"/>
      <x:c r="C45" s="38" t="str"/>
      <x:c r="D45" s="38" t="str"/>
      <x:c r="E45" s="39"/>
      <x:c r="F45" s="38" t="str"/>
    </x:row>
    <x:row r="46">
      <x:c r="A46" s="46"/>
      <x:c r="B46" s="38" t="str"/>
      <x:c r="C46" s="38" t="str"/>
      <x:c r="D46" s="38" t="str"/>
      <x:c r="E46" s="39"/>
      <x:c r="F46" s="38" t="str"/>
    </x:row>
    <x:row r="47">
      <x:c r="A47" s="46"/>
      <x:c r="B47" s="38" t="str"/>
      <x:c r="C47" s="38" t="str"/>
      <x:c r="D47" s="38" t="str"/>
      <x:c r="E47" s="39"/>
      <x:c r="F47" s="38" t="str"/>
    </x:row>
    <x:row r="48">
      <x:c r="A48" s="46"/>
      <x:c r="B48" s="38" t="str"/>
      <x:c r="C48" s="38" t="str"/>
      <x:c r="D48" s="38" t="str"/>
      <x:c r="E48" s="39"/>
      <x:c r="F48" s="38" t="str"/>
    </x:row>
    <x:row r="49">
      <x:c r="A49" s="46"/>
      <x:c r="B49" s="38" t="str"/>
      <x:c r="C49" s="38" t="str"/>
      <x:c r="D49" s="38" t="str"/>
      <x:c r="E49" s="39"/>
      <x:c r="F49" s="38" t="str"/>
    </x:row>
    <x:row r="50">
      <x:c r="A50" s="46"/>
      <x:c r="B50" s="38" t="str"/>
      <x:c r="C50" s="38" t="str"/>
      <x:c r="D50" s="38" t="str"/>
      <x:c r="E50" s="39"/>
      <x:c r="F50" s="38" t="str"/>
    </x:row>
    <x:row r="51">
      <x:c r="A51" s="46"/>
      <x:c r="B51" s="38" t="str"/>
      <x:c r="C51" s="38" t="str"/>
      <x:c r="D51" s="38" t="str"/>
      <x:c r="E51" s="39"/>
      <x:c r="F51" s="38" t="str"/>
    </x:row>
    <x:row r="52">
      <x:c r="A52" s="46"/>
      <x:c r="B52" s="38" t="str"/>
      <x:c r="C52" s="38" t="str"/>
      <x:c r="D52" s="38" t="str"/>
      <x:c r="E52" s="39"/>
      <x:c r="F52" s="38" t="str"/>
    </x:row>
    <x:row r="53">
      <x:c r="A53" s="46"/>
      <x:c r="B53" s="38" t="str"/>
      <x:c r="C53" s="38" t="str"/>
      <x:c r="D53" s="38" t="str"/>
      <x:c r="E53" s="39"/>
      <x:c r="F53" s="38" t="str"/>
    </x:row>
    <x:row r="54">
      <x:c r="A54" s="46"/>
      <x:c r="B54" s="38" t="str"/>
      <x:c r="C54" s="38" t="str"/>
      <x:c r="D54" s="38" t="str"/>
      <x:c r="E54" s="39"/>
      <x:c r="F54" s="38" t="str"/>
    </x:row>
    <x:row r="55">
      <x:c r="A55" s="46"/>
      <x:c r="B55" s="38" t="str"/>
      <x:c r="C55" s="38" t="str"/>
      <x:c r="D55" s="38" t="str"/>
      <x:c r="E55" s="39"/>
      <x:c r="F55" s="38" t="str"/>
    </x:row>
    <x:row r="56">
      <x:c r="A56" s="46"/>
      <x:c r="B56" s="38" t="str"/>
      <x:c r="C56" s="38" t="str"/>
      <x:c r="D56" s="38" t="str"/>
      <x:c r="E56" s="39"/>
      <x:c r="F56" s="38" t="str"/>
    </x:row>
    <x:row r="57">
      <x:c r="A57" s="46"/>
      <x:c r="B57" s="38" t="str"/>
      <x:c r="C57" s="38" t="str"/>
      <x:c r="D57" s="38" t="str"/>
      <x:c r="E57" s="39"/>
      <x:c r="F57" s="38" t="str"/>
    </x:row>
    <x:row r="58">
      <x:c r="A58" s="46"/>
      <x:c r="B58" s="38" t="str"/>
      <x:c r="C58" s="38" t="str"/>
      <x:c r="D58" s="38" t="str"/>
      <x:c r="E58" s="39"/>
      <x:c r="F58" s="38" t="str"/>
    </x:row>
    <x:row r="59">
      <x:c r="A59" s="46"/>
      <x:c r="B59" s="38" t="str"/>
      <x:c r="C59" s="38" t="str"/>
      <x:c r="D59" s="38" t="str"/>
      <x:c r="E59" s="39"/>
      <x:c r="F59" s="38" t="str"/>
    </x:row>
    <x:row r="60">
      <x:c r="A60" s="46"/>
      <x:c r="B60" s="38" t="str"/>
      <x:c r="C60" s="38" t="str"/>
      <x:c r="D60" s="38" t="str"/>
      <x:c r="E60" s="39"/>
      <x:c r="F60" s="38" t="str"/>
    </x:row>
    <x:row r="61">
      <x:c r="A61" s="46"/>
      <x:c r="B61" s="38" t="str"/>
      <x:c r="C61" s="38" t="str"/>
      <x:c r="D61" s="38" t="str"/>
      <x:c r="E61" s="39"/>
      <x:c r="F61" s="38" t="str"/>
    </x:row>
    <x:row r="62">
      <x:c r="A62" s="46"/>
      <x:c r="B62" s="38" t="str"/>
      <x:c r="C62" s="38" t="str"/>
      <x:c r="D62" s="38" t="str"/>
      <x:c r="E62" s="39"/>
      <x:c r="F62" s="38" t="str"/>
    </x:row>
    <x:row r="63">
      <x:c r="A63" s="46"/>
      <x:c r="B63" s="38" t="str"/>
      <x:c r="C63" s="38" t="str"/>
      <x:c r="D63" s="38" t="str"/>
      <x:c r="E63" s="39"/>
      <x:c r="F63" s="38" t="str"/>
    </x:row>
    <x:row r="64">
      <x:c r="A64" s="46"/>
      <x:c r="B64" s="38" t="str"/>
      <x:c r="C64" s="38" t="str"/>
      <x:c r="D64" s="38" t="str"/>
      <x:c r="E64" s="39"/>
      <x:c r="F64" s="38" t="str"/>
    </x:row>
    <x:row r="65">
      <x:c r="A65" s="46"/>
      <x:c r="B65" s="38" t="str"/>
      <x:c r="C65" s="38" t="str"/>
      <x:c r="D65" s="38" t="str"/>
      <x:c r="E65" s="39"/>
      <x:c r="F65" s="38" t="str"/>
    </x:row>
    <x:row r="66">
      <x:c r="A66" s="46"/>
      <x:c r="B66" s="38" t="str"/>
      <x:c r="C66" s="38" t="str"/>
      <x:c r="D66" s="38" t="str"/>
      <x:c r="E66" s="39"/>
      <x:c r="F66" s="38" t="str"/>
    </x:row>
    <x:row r="67">
      <x:c r="A67" s="46"/>
      <x:c r="B67" s="38" t="str"/>
      <x:c r="C67" s="38" t="str"/>
      <x:c r="D67" s="38" t="str"/>
      <x:c r="E67" s="39"/>
      <x:c r="F67" s="38" t="str"/>
    </x:row>
    <x:row r="68">
      <x:c r="A68" s="46"/>
      <x:c r="B68" s="38" t="str"/>
      <x:c r="C68" s="38" t="str"/>
      <x:c r="D68" s="38" t="str"/>
      <x:c r="E68" s="39"/>
      <x:c r="F68" s="38" t="str"/>
    </x:row>
    <x:row r="69">
      <x:c r="A69" s="46"/>
      <x:c r="B69" s="38" t="str"/>
      <x:c r="C69" s="38" t="str"/>
      <x:c r="D69" s="38" t="str"/>
      <x:c r="E69" s="39"/>
      <x:c r="F69" s="38" t="str"/>
    </x:row>
    <x:row r="70">
      <x:c r="A70" s="46"/>
      <x:c r="B70" s="38" t="str"/>
      <x:c r="C70" s="38" t="str"/>
      <x:c r="D70" s="38" t="str"/>
      <x:c r="E70" s="39"/>
      <x:c r="F70" s="38" t="str"/>
    </x:row>
    <x:row r="71">
      <x:c r="A71" s="46"/>
      <x:c r="B71" s="38" t="str"/>
      <x:c r="C71" s="38" t="str"/>
      <x:c r="D71" s="38" t="str"/>
      <x:c r="E71" s="39"/>
      <x:c r="F71" s="38" t="str"/>
    </x:row>
    <x:row r="72">
      <x:c r="A72" s="46"/>
      <x:c r="B72" s="38" t="str"/>
      <x:c r="C72" s="38" t="str"/>
      <x:c r="D72" s="38" t="str"/>
      <x:c r="E72" s="39"/>
      <x:c r="F72" s="38" t="str"/>
    </x:row>
    <x:row r="73">
      <x:c r="A73" s="46"/>
      <x:c r="B73" s="38" t="str"/>
      <x:c r="C73" s="38" t="str"/>
      <x:c r="D73" s="38" t="str"/>
      <x:c r="E73" s="39"/>
      <x:c r="F73" s="38" t="str"/>
    </x:row>
    <x:row r="74">
      <x:c r="A74" s="46"/>
      <x:c r="B74" s="38" t="str"/>
      <x:c r="C74" s="38" t="str"/>
      <x:c r="D74" s="38" t="str"/>
      <x:c r="E74" s="39"/>
      <x:c r="F74" s="38" t="str"/>
    </x:row>
    <x:row r="75">
      <x:c r="A75" s="46"/>
      <x:c r="B75" s="38" t="str"/>
      <x:c r="C75" s="38" t="str"/>
      <x:c r="D75" s="38" t="str"/>
      <x:c r="E75" s="39"/>
      <x:c r="F75" s="38" t="str"/>
    </x:row>
    <x:row r="76">
      <x:c r="A76" s="46"/>
      <x:c r="B76" s="38" t="str"/>
      <x:c r="C76" s="38" t="str"/>
      <x:c r="D76" s="38" t="str"/>
      <x:c r="E76" s="39"/>
      <x:c r="F76" s="38" t="str"/>
    </x:row>
    <x:row r="77">
      <x:c r="A77" s="46"/>
      <x:c r="B77" s="38" t="str"/>
      <x:c r="C77" s="38" t="str"/>
      <x:c r="D77" s="38" t="str"/>
      <x:c r="E77" s="39"/>
      <x:c r="F77" s="38" t="str"/>
    </x:row>
    <x:row r="78">
      <x:c r="A78" s="46"/>
      <x:c r="B78" s="38" t="str"/>
      <x:c r="C78" s="38" t="str"/>
      <x:c r="D78" s="38" t="str"/>
      <x:c r="E78" s="39"/>
      <x:c r="F78" s="38" t="str"/>
    </x:row>
    <x:row r="79">
      <x:c r="A79" s="46"/>
      <x:c r="B79" s="38" t="str"/>
      <x:c r="C79" s="38" t="str"/>
      <x:c r="D79" s="38" t="str"/>
      <x:c r="E79" s="39"/>
      <x:c r="F79" s="38" t="str"/>
    </x:row>
    <x:row r="80">
      <x:c r="A80" s="46"/>
      <x:c r="B80" s="38" t="str"/>
      <x:c r="C80" s="38" t="str"/>
      <x:c r="D80" s="38" t="str"/>
      <x:c r="E80" s="39"/>
      <x:c r="F80" s="38" t="str"/>
    </x:row>
    <x:row r="81">
      <x:c r="A81" s="46"/>
      <x:c r="B81" s="38" t="str"/>
      <x:c r="C81" s="38" t="str"/>
      <x:c r="D81" s="38" t="str"/>
      <x:c r="E81" s="39"/>
      <x:c r="F81" s="38" t="str"/>
    </x:row>
    <x:row r="82">
      <x:c r="A82" s="46"/>
      <x:c r="B82" s="38" t="str"/>
      <x:c r="C82" s="38" t="str"/>
      <x:c r="D82" s="38" t="str"/>
      <x:c r="E82" s="39"/>
      <x:c r="F82" s="38" t="str"/>
    </x:row>
    <x:row r="83">
      <x:c r="A83" s="46"/>
      <x:c r="B83" s="38" t="str"/>
      <x:c r="C83" s="38" t="str"/>
      <x:c r="D83" s="38" t="str"/>
      <x:c r="E83" s="39"/>
      <x:c r="F83" s="38" t="str"/>
    </x:row>
    <x:row r="84">
      <x:c r="A84" s="46"/>
      <x:c r="B84" s="38" t="str"/>
      <x:c r="C84" s="38" t="str"/>
      <x:c r="D84" s="38" t="str"/>
      <x:c r="E84" s="39"/>
      <x:c r="F84" s="38" t="str"/>
    </x:row>
    <x:row r="85">
      <x:c r="A85" s="46"/>
      <x:c r="B85" s="38" t="str"/>
      <x:c r="C85" s="38" t="str"/>
      <x:c r="D85" s="38" t="str"/>
      <x:c r="E85" s="39"/>
      <x:c r="F85" s="38" t="str"/>
    </x:row>
    <x:row r="86">
      <x:c r="A86" s="46"/>
      <x:c r="B86" s="38" t="str"/>
      <x:c r="C86" s="38" t="str"/>
      <x:c r="D86" s="38" t="str"/>
      <x:c r="E86" s="39"/>
      <x:c r="F86" s="38" t="str"/>
    </x:row>
    <x:row r="87">
      <x:c r="A87" s="46"/>
      <x:c r="B87" s="38" t="str"/>
      <x:c r="C87" s="38" t="str"/>
      <x:c r="D87" s="38" t="str"/>
      <x:c r="E87" s="39"/>
      <x:c r="F87" s="38" t="str"/>
    </x:row>
    <x:row r="88">
      <x:c r="A88" s="46"/>
      <x:c r="B88" s="38" t="str"/>
      <x:c r="C88" s="38" t="str"/>
      <x:c r="D88" s="38" t="str"/>
      <x:c r="E88" s="39"/>
      <x:c r="F88" s="38" t="str"/>
    </x:row>
    <x:row r="89">
      <x:c r="A89" s="46"/>
      <x:c r="B89" s="38" t="str"/>
      <x:c r="C89" s="38" t="str"/>
      <x:c r="D89" s="38" t="str"/>
      <x:c r="E89" s="39"/>
      <x:c r="F89" s="38" t="str"/>
    </x:row>
    <x:row r="90">
      <x:c r="A90" s="46"/>
      <x:c r="B90" s="38" t="str"/>
      <x:c r="C90" s="38" t="str"/>
      <x:c r="D90" s="38" t="str"/>
      <x:c r="E90" s="39"/>
      <x:c r="F90" s="38" t="str"/>
    </x:row>
    <x:row r="91">
      <x:c r="A91" s="46"/>
      <x:c r="B91" s="38" t="str"/>
      <x:c r="C91" s="38" t="str"/>
      <x:c r="D91" s="38" t="str"/>
      <x:c r="E91" s="39"/>
      <x:c r="F91" s="38" t="str"/>
    </x:row>
    <x:row r="92">
      <x:c r="A92" s="46"/>
      <x:c r="B92" s="38" t="str"/>
      <x:c r="C92" s="38" t="str"/>
      <x:c r="D92" s="38" t="str"/>
      <x:c r="E92" s="39"/>
      <x:c r="F92" s="38" t="str"/>
    </x:row>
    <x:row r="93">
      <x:c r="A93" s="46"/>
      <x:c r="B93" s="38" t="str"/>
      <x:c r="C93" s="38" t="str"/>
      <x:c r="D93" s="38" t="str"/>
      <x:c r="E93" s="39"/>
      <x:c r="F93" s="38" t="str"/>
    </x:row>
    <x:row r="94">
      <x:c r="A94" s="46"/>
      <x:c r="B94" s="38" t="str"/>
      <x:c r="C94" s="38" t="str"/>
      <x:c r="D94" s="38" t="str"/>
      <x:c r="E94" s="39"/>
      <x:c r="F94" s="38" t="str"/>
    </x:row>
    <x:row r="95">
      <x:c r="A95" s="46"/>
      <x:c r="B95" s="38" t="str"/>
      <x:c r="C95" s="38" t="str"/>
      <x:c r="D95" s="38" t="str"/>
      <x:c r="E95" s="39"/>
      <x:c r="F95" s="38" t="str"/>
    </x:row>
    <x:row r="96">
      <x:c r="A96" s="46"/>
      <x:c r="B96" s="38" t="str"/>
      <x:c r="C96" s="38" t="str"/>
      <x:c r="D96" s="38" t="str"/>
      <x:c r="E96" s="39"/>
      <x:c r="F96" s="38" t="str"/>
    </x:row>
    <x:row r="97">
      <x:c r="A97" s="46"/>
      <x:c r="B97" s="38" t="str"/>
      <x:c r="C97" s="38" t="str"/>
      <x:c r="D97" s="38" t="str"/>
      <x:c r="E97" s="39"/>
      <x:c r="F97" s="38" t="str"/>
    </x:row>
    <x:row r="98">
      <x:c r="A98" s="46"/>
      <x:c r="B98" s="38" t="str"/>
      <x:c r="C98" s="38" t="str"/>
      <x:c r="D98" s="38" t="str"/>
      <x:c r="E98" s="39"/>
      <x:c r="F98" s="38" t="str"/>
    </x:row>
    <x:row r="99">
      <x:c r="A99" s="46"/>
      <x:c r="B99" s="38" t="str"/>
      <x:c r="C99" s="38" t="str"/>
      <x:c r="D99" s="38" t="str"/>
      <x:c r="E99" s="39"/>
      <x:c r="F99" s="38" t="str"/>
    </x:row>
    <x:row r="100">
      <x:c r="A100" s="46"/>
      <x:c r="B100" s="38" t="str"/>
      <x:c r="C100" s="38" t="str"/>
      <x:c r="D100" s="38" t="str"/>
      <x:c r="E100" s="39"/>
      <x:c r="F100" s="38" t="str"/>
    </x:row>
    <x:row r="101">
      <x:c r="A101" s="46"/>
      <x:c r="B101" s="38" t="str"/>
      <x:c r="C101" s="38" t="str"/>
      <x:c r="D101" s="38" t="str"/>
      <x:c r="E101" s="39"/>
      <x:c r="F101" s="38" t="str"/>
    </x:row>
    <x:row r="102">
      <x:c r="A102" s="46"/>
      <x:c r="B102" s="38" t="str"/>
      <x:c r="C102" s="38" t="str"/>
      <x:c r="D102" s="38" t="str"/>
      <x:c r="E102" s="39"/>
      <x:c r="F102" s="38" t="str"/>
    </x:row>
    <x:row r="103">
      <x:c r="A103" s="46"/>
      <x:c r="B103" s="38" t="str"/>
      <x:c r="C103" s="38" t="str"/>
      <x:c r="D103" s="38" t="str"/>
      <x:c r="E103" s="39"/>
      <x:c r="F103" s="38" t="str"/>
    </x:row>
    <x:row r="104">
      <x:c r="A104" s="46"/>
      <x:c r="B104" s="38" t="str"/>
      <x:c r="C104" s="38" t="str"/>
      <x:c r="D104" s="38" t="str"/>
      <x:c r="E104" s="39"/>
      <x:c r="F104" s="38" t="str"/>
    </x:row>
    <x:row r="105">
      <x:c r="A105" s="46"/>
      <x:c r="B105" s="38" t="str"/>
      <x:c r="C105" s="38" t="str"/>
      <x:c r="D105" s="38" t="str"/>
      <x:c r="E105" s="39"/>
      <x:c r="F105" s="38" t="str"/>
    </x:row>
    <x:row r="106">
      <x:c r="A106" s="46"/>
      <x:c r="B106" s="38" t="str"/>
      <x:c r="C106" s="38" t="str"/>
      <x:c r="D106" s="38" t="str"/>
      <x:c r="E106" s="39"/>
      <x:c r="F106" s="38" t="str"/>
    </x:row>
    <x:row r="107">
      <x:c r="A107" s="46"/>
      <x:c r="B107" s="38" t="str"/>
      <x:c r="C107" s="38" t="str"/>
      <x:c r="D107" s="38" t="str"/>
      <x:c r="E107" s="39"/>
      <x:c r="F107" s="38" t="str"/>
    </x:row>
    <x:row r="108">
      <x:c r="A108" s="46"/>
      <x:c r="B108" s="38" t="str"/>
      <x:c r="C108" s="38" t="str"/>
      <x:c r="D108" s="38" t="str"/>
      <x:c r="E108" s="39"/>
      <x:c r="F108" s="38" t="str"/>
    </x:row>
    <x:row r="109">
      <x:c r="A109" s="46"/>
      <x:c r="B109" s="38" t="str"/>
      <x:c r="C109" s="38" t="str"/>
      <x:c r="D109" s="38" t="str"/>
      <x:c r="E109" s="39"/>
      <x:c r="F109" s="38" t="str"/>
    </x:row>
    <x:row r="110">
      <x:c r="A110" s="46"/>
      <x:c r="B110" s="38" t="str"/>
      <x:c r="C110" s="38" t="str"/>
      <x:c r="D110" s="38" t="str"/>
      <x:c r="E110" s="39"/>
      <x:c r="F110" s="38" t="str"/>
    </x:row>
    <x:row r="111">
      <x:c r="A111" s="46"/>
      <x:c r="B111" s="38" t="str"/>
      <x:c r="C111" s="38" t="str"/>
      <x:c r="D111" s="38" t="str"/>
      <x:c r="E111" s="39"/>
      <x:c r="F111" s="38" t="str"/>
    </x:row>
    <x:row r="112">
      <x:c r="A112" s="46"/>
      <x:c r="B112" s="38" t="str"/>
      <x:c r="C112" s="38" t="str"/>
      <x:c r="D112" s="38" t="str"/>
      <x:c r="E112" s="39"/>
      <x:c r="F112" s="38" t="str"/>
    </x:row>
    <x:row r="113">
      <x:c r="A113" s="46"/>
      <x:c r="B113" s="38" t="str"/>
      <x:c r="C113" s="38" t="str"/>
      <x:c r="D113" s="38" t="str"/>
      <x:c r="E113" s="39"/>
      <x:c r="F113" s="38" t="str"/>
    </x:row>
    <x:row r="114">
      <x:c r="A114" s="46"/>
      <x:c r="B114" s="38" t="str"/>
      <x:c r="C114" s="38" t="str"/>
      <x:c r="D114" s="38" t="str"/>
      <x:c r="E114" s="39"/>
      <x:c r="F114" s="38" t="str"/>
    </x:row>
    <x:row r="115">
      <x:c r="A115" s="46"/>
      <x:c r="B115" s="38" t="str"/>
      <x:c r="C115" s="38" t="str"/>
      <x:c r="D115" s="38" t="str"/>
      <x:c r="E115" s="39"/>
      <x:c r="F115" s="38" t="str"/>
    </x:row>
    <x:row r="116">
      <x:c r="A116" s="46"/>
      <x:c r="B116" s="38" t="str"/>
      <x:c r="C116" s="38" t="str"/>
      <x:c r="D116" s="38" t="str"/>
      <x:c r="E116" s="39"/>
      <x:c r="F116" s="38" t="str"/>
    </x:row>
    <x:row r="117">
      <x:c r="A117" s="46"/>
      <x:c r="B117" s="38" t="str"/>
      <x:c r="C117" s="38" t="str"/>
      <x:c r="D117" s="38" t="str"/>
      <x:c r="E117" s="39"/>
      <x:c r="F117" s="38" t="str"/>
    </x:row>
    <x:row r="118">
      <x:c r="A118" s="46"/>
      <x:c r="B118" s="38" t="str"/>
      <x:c r="C118" s="38" t="str"/>
      <x:c r="D118" s="38" t="str"/>
      <x:c r="E118" s="39"/>
      <x:c r="F118" s="38" t="str"/>
    </x:row>
    <x:row r="119">
      <x:c r="A119" s="46"/>
      <x:c r="B119" s="38" t="str"/>
      <x:c r="C119" s="38" t="str"/>
      <x:c r="D119" s="38" t="str"/>
      <x:c r="E119" s="39"/>
      <x:c r="F119" s="38" t="str"/>
    </x:row>
    <x:row r="120">
      <x:c r="A120" s="46"/>
      <x:c r="B120" s="38" t="str"/>
      <x:c r="C120" s="38" t="str"/>
      <x:c r="D120" s="38" t="str"/>
      <x:c r="E120" s="39"/>
      <x:c r="F120" s="38" t="str"/>
    </x:row>
    <x:row r="121">
      <x:c r="A121" s="46"/>
      <x:c r="B121" s="38" t="str"/>
      <x:c r="C121" s="38" t="str"/>
      <x:c r="D121" s="38" t="str"/>
      <x:c r="E121" s="39"/>
      <x:c r="F121" s="38" t="str"/>
    </x:row>
    <x:row r="122">
      <x:c r="A122" s="46"/>
      <x:c r="B122" s="38" t="str"/>
      <x:c r="C122" s="38" t="str"/>
      <x:c r="D122" s="38" t="str"/>
      <x:c r="E122" s="39"/>
      <x:c r="F122" s="38" t="str"/>
    </x:row>
    <x:row r="123">
      <x:c r="A123" s="46"/>
      <x:c r="B123" s="38" t="str"/>
      <x:c r="C123" s="38" t="str"/>
      <x:c r="D123" s="38" t="str"/>
      <x:c r="E123" s="39"/>
      <x:c r="F123" s="38" t="str"/>
    </x:row>
    <x:row r="124">
      <x:c r="A124" s="46"/>
      <x:c r="B124" s="38" t="str"/>
      <x:c r="C124" s="38" t="str"/>
      <x:c r="D124" s="38" t="str"/>
      <x:c r="E124" s="39"/>
      <x:c r="F124" s="38" t="str"/>
    </x:row>
    <x:row r="125">
      <x:c r="A125" s="46"/>
      <x:c r="B125" s="38" t="str"/>
      <x:c r="C125" s="38" t="str"/>
      <x:c r="D125" s="38" t="str"/>
      <x:c r="E125" s="39"/>
      <x:c r="F125" s="38" t="str"/>
    </x:row>
    <x:row r="126">
      <x:c r="A126" s="46"/>
      <x:c r="B126" s="38" t="str"/>
      <x:c r="C126" s="38" t="str"/>
      <x:c r="D126" s="38" t="str"/>
      <x:c r="E126" s="39"/>
      <x:c r="F126" s="38" t="str"/>
    </x:row>
    <x:row r="127">
      <x:c r="A127" s="46"/>
      <x:c r="B127" s="38" t="str"/>
      <x:c r="C127" s="38" t="str"/>
      <x:c r="D127" s="38" t="str"/>
      <x:c r="E127" s="39"/>
      <x:c r="F127" s="38" t="str"/>
    </x:row>
    <x:row r="128">
      <x:c r="A128" s="46"/>
      <x:c r="B128" s="38" t="str"/>
      <x:c r="C128" s="38" t="str"/>
      <x:c r="D128" s="38" t="str"/>
      <x:c r="E128" s="39"/>
      <x:c r="F128" s="38" t="str"/>
    </x:row>
    <x:row r="129">
      <x:c r="A129" s="46"/>
      <x:c r="B129" s="38" t="str"/>
      <x:c r="C129" s="38" t="str"/>
      <x:c r="D129" s="38" t="str"/>
      <x:c r="E129" s="39"/>
      <x:c r="F129" s="38" t="str"/>
    </x:row>
    <x:row r="130">
      <x:c r="A130" s="46"/>
      <x:c r="B130" s="38" t="str"/>
      <x:c r="C130" s="38" t="str"/>
      <x:c r="D130" s="38" t="str"/>
      <x:c r="E130" s="39"/>
      <x:c r="F130" s="38" t="str"/>
    </x:row>
    <x:row r="131">
      <x:c r="A131" s="46"/>
      <x:c r="B131" s="38" t="str"/>
      <x:c r="C131" s="38" t="str"/>
      <x:c r="D131" s="38" t="str"/>
      <x:c r="E131" s="39"/>
      <x:c r="F131" s="38" t="str"/>
    </x:row>
    <x:row r="132">
      <x:c r="A132" s="46"/>
      <x:c r="B132" s="38" t="str"/>
      <x:c r="C132" s="38" t="str"/>
      <x:c r="D132" s="38" t="str"/>
      <x:c r="E132" s="39"/>
      <x:c r="F132" s="38" t="str"/>
    </x:row>
    <x:row r="133">
      <x:c r="A133" s="46"/>
      <x:c r="B133" s="38" t="str"/>
      <x:c r="C133" s="38" t="str"/>
      <x:c r="D133" s="38" t="str"/>
      <x:c r="E133" s="39"/>
      <x:c r="F133" s="38" t="str"/>
    </x:row>
    <x:row r="134">
      <x:c r="A134" s="46"/>
      <x:c r="B134" s="38" t="str"/>
      <x:c r="C134" s="38" t="str"/>
      <x:c r="D134" s="38" t="str"/>
      <x:c r="E134" s="39"/>
      <x:c r="F134" s="38" t="str"/>
    </x:row>
    <x:row r="135">
      <x:c r="A135" s="46"/>
      <x:c r="B135" s="38" t="str"/>
      <x:c r="C135" s="38" t="str"/>
      <x:c r="D135" s="38" t="str"/>
      <x:c r="E135" s="39"/>
      <x:c r="F135" s="38" t="str"/>
    </x:row>
    <x:row r="136">
      <x:c r="A136" s="46"/>
      <x:c r="B136" s="38" t="str"/>
      <x:c r="C136" s="38" t="str"/>
      <x:c r="D136" s="38" t="str"/>
      <x:c r="E136" s="39"/>
      <x:c r="F136" s="38" t="str"/>
    </x:row>
    <x:row r="137">
      <x:c r="A137" s="46"/>
      <x:c r="B137" s="38" t="str"/>
      <x:c r="C137" s="38" t="str"/>
      <x:c r="D137" s="38" t="str"/>
      <x:c r="E137" s="39"/>
      <x:c r="F137" s="38" t="str"/>
    </x:row>
    <x:row r="138">
      <x:c r="A138" s="46"/>
      <x:c r="B138" s="38" t="str"/>
      <x:c r="C138" s="38" t="str"/>
      <x:c r="D138" s="38" t="str"/>
      <x:c r="E138" s="39"/>
      <x:c r="F138" s="38" t="str"/>
    </x:row>
    <x:row r="139">
      <x:c r="A139" s="46"/>
      <x:c r="B139" s="38" t="str"/>
      <x:c r="C139" s="38" t="str"/>
      <x:c r="D139" s="38" t="str"/>
      <x:c r="E139" s="39"/>
      <x:c r="F139" s="38" t="str"/>
    </x:row>
    <x:row r="140">
      <x:c r="A140" s="46"/>
      <x:c r="B140" s="38" t="str"/>
      <x:c r="C140" s="38" t="str"/>
      <x:c r="D140" s="38" t="str"/>
      <x:c r="E140" s="39"/>
      <x:c r="F140" s="38" t="str"/>
    </x:row>
    <x:row r="141">
      <x:c r="A141" s="46"/>
      <x:c r="B141" s="38" t="str"/>
      <x:c r="C141" s="38" t="str"/>
      <x:c r="D141" s="38" t="str"/>
      <x:c r="E141" s="39"/>
      <x:c r="F141" s="38" t="str"/>
    </x:row>
    <x:row r="142">
      <x:c r="A142" s="46"/>
      <x:c r="B142" s="38" t="str"/>
      <x:c r="C142" s="38" t="str"/>
      <x:c r="D142" s="38" t="str"/>
      <x:c r="E142" s="39"/>
      <x:c r="F142" s="38" t="str"/>
    </x:row>
    <x:row r="143">
      <x:c r="A143" s="46"/>
      <x:c r="B143" s="38" t="str"/>
      <x:c r="C143" s="38" t="str"/>
      <x:c r="D143" s="38" t="str"/>
      <x:c r="E143" s="39"/>
      <x:c r="F143" s="38" t="str"/>
    </x:row>
    <x:row r="144">
      <x:c r="A144" s="46"/>
      <x:c r="B144" s="38" t="str"/>
      <x:c r="C144" s="38" t="str"/>
      <x:c r="D144" s="38" t="str"/>
      <x:c r="E144" s="39"/>
      <x:c r="F144" s="38" t="str"/>
    </x:row>
    <x:row r="145">
      <x:c r="A145" s="46"/>
      <x:c r="B145" s="38" t="str"/>
      <x:c r="C145" s="38" t="str"/>
      <x:c r="D145" s="38" t="str"/>
      <x:c r="E145" s="39"/>
      <x:c r="F145" s="38" t="str"/>
    </x:row>
    <x:row r="146">
      <x:c r="A146" s="46"/>
      <x:c r="B146" s="38" t="str"/>
      <x:c r="C146" s="38" t="str"/>
      <x:c r="D146" s="38" t="str"/>
      <x:c r="E146" s="39"/>
      <x:c r="F146" s="38" t="str"/>
    </x:row>
    <x:row r="147">
      <x:c r="A147" s="46"/>
      <x:c r="B147" s="38" t="str"/>
      <x:c r="C147" s="38" t="str"/>
      <x:c r="D147" s="38" t="str"/>
      <x:c r="E147" s="39"/>
      <x:c r="F147" s="38" t="str"/>
    </x:row>
    <x:row r="148">
      <x:c r="A148" s="46"/>
      <x:c r="B148" s="38" t="str"/>
      <x:c r="C148" s="38" t="str"/>
      <x:c r="D148" s="38" t="str"/>
      <x:c r="E148" s="39"/>
      <x:c r="F148" s="38" t="str"/>
    </x:row>
    <x:row r="149">
      <x:c r="A149" s="46"/>
      <x:c r="B149" s="38" t="str"/>
      <x:c r="C149" s="38" t="str"/>
      <x:c r="D149" s="38" t="str"/>
      <x:c r="E149" s="39"/>
      <x:c r="F149" s="38" t="str"/>
    </x:row>
    <x:row r="150">
      <x:c r="A150" s="46"/>
      <x:c r="B150" s="38" t="str"/>
      <x:c r="C150" s="38" t="str"/>
      <x:c r="D150" s="38" t="str"/>
      <x:c r="E150" s="39"/>
      <x:c r="F150" s="38" t="str"/>
    </x:row>
    <x:row r="151">
      <x:c r="A151" s="46"/>
      <x:c r="B151" s="38" t="str"/>
      <x:c r="C151" s="38" t="str"/>
      <x:c r="D151" s="38" t="str"/>
      <x:c r="E151" s="39"/>
      <x:c r="F151" s="38" t="str"/>
    </x:row>
    <x:row r="152">
      <x:c r="A152" s="46"/>
      <x:c r="B152" s="38" t="str"/>
      <x:c r="C152" s="38" t="str"/>
      <x:c r="D152" s="38" t="str"/>
      <x:c r="E152" s="39"/>
      <x:c r="F152" s="38" t="str"/>
    </x:row>
    <x:row r="153">
      <x:c r="A153" s="46"/>
      <x:c r="B153" s="38" t="str"/>
      <x:c r="C153" s="38" t="str"/>
      <x:c r="D153" s="38" t="str"/>
      <x:c r="E153" s="39"/>
      <x:c r="F153" s="38" t="str"/>
    </x:row>
    <x:row r="154">
      <x:c r="A154" s="46"/>
      <x:c r="B154" s="38" t="str"/>
      <x:c r="C154" s="38" t="str"/>
      <x:c r="D154" s="38" t="str"/>
      <x:c r="E154" s="39"/>
      <x:c r="F154" s="38" t="str"/>
    </x:row>
    <x:row r="155">
      <x:c r="A155" s="46"/>
      <x:c r="B155" s="38" t="str"/>
      <x:c r="C155" s="38" t="str"/>
      <x:c r="D155" s="38" t="str"/>
      <x:c r="E155" s="39"/>
      <x:c r="F155" s="38" t="str"/>
    </x:row>
    <x:row r="156">
      <x:c r="A156" s="46"/>
      <x:c r="B156" s="38" t="str"/>
      <x:c r="C156" s="38" t="str"/>
      <x:c r="D156" s="38" t="str"/>
      <x:c r="E156" s="39"/>
      <x:c r="F156" s="38" t="str"/>
    </x:row>
    <x:row r="157">
      <x:c r="A157" s="46"/>
      <x:c r="B157" s="38" t="str"/>
      <x:c r="C157" s="38" t="str"/>
      <x:c r="D157" s="38" t="str"/>
      <x:c r="E157" s="39"/>
      <x:c r="F157" s="38" t="str"/>
    </x:row>
    <x:row r="158">
      <x:c r="A158" s="46"/>
      <x:c r="B158" s="38" t="str"/>
      <x:c r="C158" s="38" t="str"/>
      <x:c r="D158" s="38" t="str"/>
      <x:c r="E158" s="39"/>
      <x:c r="F158" s="38" t="str"/>
    </x:row>
    <x:row r="159">
      <x:c r="A159" s="46"/>
      <x:c r="B159" s="38" t="str"/>
      <x:c r="C159" s="38" t="str"/>
      <x:c r="D159" s="38" t="str"/>
      <x:c r="E159" s="39"/>
      <x:c r="F159" s="38" t="str"/>
    </x:row>
    <x:row r="160">
      <x:c r="A160" s="46"/>
      <x:c r="B160" s="38" t="str"/>
      <x:c r="C160" s="38" t="str"/>
      <x:c r="D160" s="38" t="str"/>
      <x:c r="E160" s="39"/>
      <x:c r="F160" s="38" t="str"/>
    </x:row>
    <x:row r="161">
      <x:c r="A161" s="46"/>
      <x:c r="B161" s="38" t="str"/>
      <x:c r="C161" s="38" t="str"/>
      <x:c r="D161" s="38" t="str"/>
      <x:c r="E161" s="39"/>
      <x:c r="F161" s="38" t="str"/>
    </x:row>
    <x:row r="162">
      <x:c r="A162" s="46"/>
      <x:c r="B162" s="38" t="str"/>
      <x:c r="C162" s="38" t="str"/>
      <x:c r="D162" s="38" t="str"/>
      <x:c r="E162" s="39"/>
      <x:c r="F162" s="38" t="str"/>
    </x:row>
    <x:row r="163">
      <x:c r="A163" s="46"/>
      <x:c r="B163" s="38" t="str"/>
      <x:c r="C163" s="38" t="str"/>
      <x:c r="D163" s="38" t="str"/>
      <x:c r="E163" s="39"/>
      <x:c r="F163" s="38" t="str"/>
    </x:row>
    <x:row r="164">
      <x:c r="A164" s="46"/>
      <x:c r="B164" s="38" t="str"/>
      <x:c r="C164" s="38" t="str"/>
      <x:c r="D164" s="38" t="str"/>
      <x:c r="E164" s="39"/>
      <x:c r="F164" s="38" t="str"/>
    </x:row>
    <x:row r="165">
      <x:c r="A165" s="46"/>
      <x:c r="B165" s="38" t="str"/>
      <x:c r="C165" s="38" t="str"/>
      <x:c r="D165" s="38" t="str"/>
      <x:c r="E165" s="39"/>
      <x:c r="F165" s="38" t="str"/>
    </x:row>
    <x:row r="166">
      <x:c r="A166" s="46"/>
      <x:c r="B166" s="38" t="str"/>
      <x:c r="C166" s="38" t="str"/>
      <x:c r="D166" s="38" t="str"/>
      <x:c r="E166" s="39"/>
      <x:c r="F166" s="38" t="str"/>
    </x:row>
    <x:row r="167">
      <x:c r="A167" s="46"/>
      <x:c r="B167" s="38" t="str"/>
      <x:c r="C167" s="38" t="str"/>
      <x:c r="D167" s="38" t="str"/>
      <x:c r="E167" s="39"/>
      <x:c r="F167" s="38" t="str"/>
    </x:row>
    <x:row r="168">
      <x:c r="A168" s="46"/>
      <x:c r="B168" s="38" t="str"/>
      <x:c r="C168" s="38" t="str"/>
      <x:c r="D168" s="38" t="str"/>
      <x:c r="E168" s="39"/>
      <x:c r="F168" s="38" t="str"/>
    </x:row>
    <x:row r="169">
      <x:c r="A169" s="46"/>
      <x:c r="B169" s="38" t="str"/>
      <x:c r="C169" s="38" t="str"/>
      <x:c r="D169" s="38" t="str"/>
      <x:c r="E169" s="39"/>
      <x:c r="F169" s="38" t="str"/>
    </x:row>
    <x:row r="170">
      <x:c r="A170" s="46"/>
      <x:c r="B170" s="38" t="str"/>
      <x:c r="C170" s="38" t="str"/>
      <x:c r="D170" s="38" t="str"/>
      <x:c r="E170" s="39"/>
      <x:c r="F170" s="38" t="str"/>
    </x:row>
    <x:row r="171">
      <x:c r="A171" s="46"/>
      <x:c r="B171" s="38" t="str"/>
      <x:c r="C171" s="38" t="str"/>
      <x:c r="D171" s="38" t="str"/>
      <x:c r="E171" s="39"/>
      <x:c r="F171" s="38" t="str"/>
    </x:row>
    <x:row r="172">
      <x:c r="A172" s="46"/>
      <x:c r="B172" s="38" t="str"/>
      <x:c r="C172" s="38" t="str"/>
      <x:c r="D172" s="38" t="str"/>
      <x:c r="E172" s="39"/>
      <x:c r="F172" s="38" t="str"/>
    </x:row>
    <x:row r="173">
      <x:c r="A173" s="46"/>
      <x:c r="B173" s="38" t="str"/>
      <x:c r="C173" s="38" t="str"/>
      <x:c r="D173" s="38" t="str"/>
      <x:c r="E173" s="39"/>
      <x:c r="F173" s="38" t="str"/>
    </x:row>
    <x:row r="174">
      <x:c r="A174" s="46"/>
      <x:c r="B174" s="38" t="str"/>
      <x:c r="C174" s="38" t="str"/>
      <x:c r="D174" s="38" t="str"/>
      <x:c r="E174" s="39"/>
      <x:c r="F174" s="38" t="str"/>
    </x:row>
    <x:row r="175">
      <x:c r="A175" s="46"/>
      <x:c r="B175" s="38" t="str"/>
      <x:c r="C175" s="38" t="str"/>
      <x:c r="D175" s="38" t="str"/>
      <x:c r="E175" s="39"/>
      <x:c r="F175" s="38" t="str"/>
    </x:row>
    <x:row r="176">
      <x:c r="A176" s="46"/>
      <x:c r="B176" s="38" t="str"/>
      <x:c r="C176" s="38" t="str"/>
      <x:c r="D176" s="38" t="str"/>
      <x:c r="E176" s="39"/>
      <x:c r="F176" s="38" t="str"/>
    </x:row>
    <x:row r="177">
      <x:c r="A177" s="46"/>
      <x:c r="B177" s="38" t="str"/>
      <x:c r="C177" s="38" t="str"/>
      <x:c r="D177" s="38" t="str"/>
      <x:c r="E177" s="39"/>
      <x:c r="F177" s="38" t="str"/>
    </x:row>
    <x:row r="178">
      <x:c r="A178" s="46"/>
      <x:c r="B178" s="38" t="str"/>
      <x:c r="C178" s="38" t="str"/>
      <x:c r="D178" s="38" t="str"/>
      <x:c r="E178" s="39"/>
      <x:c r="F178" s="38" t="str"/>
    </x:row>
    <x:row r="179">
      <x:c r="A179" s="46"/>
      <x:c r="B179" s="38" t="str"/>
      <x:c r="C179" s="38" t="str"/>
      <x:c r="D179" s="38" t="str"/>
      <x:c r="E179" s="39"/>
      <x:c r="F179" s="38" t="str"/>
    </x:row>
    <x:row r="180">
      <x:c r="A180" s="46"/>
      <x:c r="B180" s="38" t="str"/>
      <x:c r="C180" s="38" t="str"/>
      <x:c r="D180" s="38" t="str"/>
      <x:c r="E180" s="39"/>
      <x:c r="F180" s="38" t="str"/>
    </x:row>
    <x:row r="181">
      <x:c r="A181" s="46"/>
      <x:c r="B181" s="38" t="str"/>
      <x:c r="C181" s="38" t="str"/>
      <x:c r="D181" s="38" t="str"/>
      <x:c r="E181" s="39"/>
      <x:c r="F181" s="38" t="str"/>
    </x:row>
    <x:row r="182">
      <x:c r="A182" s="46"/>
      <x:c r="B182" s="38" t="str"/>
      <x:c r="C182" s="38" t="str"/>
      <x:c r="D182" s="38" t="str"/>
      <x:c r="E182" s="39"/>
      <x:c r="F182" s="38" t="str"/>
    </x:row>
    <x:row r="183">
      <x:c r="A183" s="46"/>
      <x:c r="B183" s="38" t="str"/>
      <x:c r="C183" s="38" t="str"/>
      <x:c r="D183" s="38" t="str"/>
      <x:c r="E183" s="39"/>
      <x:c r="F183" s="38" t="str"/>
    </x:row>
    <x:row r="184">
      <x:c r="A184" s="46"/>
      <x:c r="B184" s="38" t="str"/>
      <x:c r="C184" s="38" t="str"/>
      <x:c r="D184" s="38" t="str"/>
      <x:c r="E184" s="39"/>
      <x:c r="F184" s="38" t="str"/>
    </x:row>
    <x:row r="185">
      <x:c r="A185" s="46"/>
      <x:c r="B185" s="38" t="str"/>
      <x:c r="C185" s="38" t="str"/>
      <x:c r="D185" s="38" t="str"/>
      <x:c r="E185" s="39"/>
      <x:c r="F185" s="38" t="str"/>
    </x:row>
    <x:row r="186">
      <x:c r="A186" s="46"/>
      <x:c r="B186" s="38" t="str"/>
      <x:c r="C186" s="38" t="str"/>
      <x:c r="D186" s="38" t="str"/>
      <x:c r="E186" s="39"/>
      <x:c r="F186" s="38" t="str"/>
    </x:row>
    <x:row r="187">
      <x:c r="A187" s="46"/>
      <x:c r="B187" s="38" t="str"/>
      <x:c r="C187" s="38" t="str"/>
      <x:c r="D187" s="38" t="str"/>
      <x:c r="E187" s="39"/>
      <x:c r="F187" s="38" t="str"/>
    </x:row>
    <x:row r="188">
      <x:c r="A188" s="46"/>
      <x:c r="B188" s="38" t="str"/>
      <x:c r="C188" s="38" t="str"/>
      <x:c r="D188" s="38" t="str"/>
      <x:c r="E188" s="39"/>
      <x:c r="F188" s="38" t="str"/>
    </x:row>
    <x:row r="189">
      <x:c r="A189" s="46"/>
      <x:c r="B189" s="38" t="str"/>
      <x:c r="C189" s="38" t="str"/>
      <x:c r="D189" s="38" t="str"/>
      <x:c r="E189" s="39"/>
      <x:c r="F189" s="38" t="str"/>
    </x:row>
    <x:row r="190">
      <x:c r="A190" s="46"/>
      <x:c r="B190" s="38" t="str"/>
      <x:c r="C190" s="38" t="str"/>
      <x:c r="D190" s="38" t="str"/>
      <x:c r="E190" s="39"/>
      <x:c r="F190" s="38" t="str"/>
    </x:row>
    <x:row r="191">
      <x:c r="A191" s="46"/>
      <x:c r="B191" s="38" t="str"/>
      <x:c r="C191" s="38" t="str"/>
      <x:c r="D191" s="38" t="str"/>
      <x:c r="E191" s="39"/>
      <x:c r="F191" s="38" t="str"/>
    </x:row>
    <x:row r="192">
      <x:c r="A192" s="46"/>
      <x:c r="B192" s="38" t="str"/>
      <x:c r="C192" s="38" t="str"/>
      <x:c r="D192" s="38" t="str"/>
      <x:c r="E192" s="39"/>
      <x:c r="F192" s="38" t="str"/>
    </x:row>
    <x:row r="193">
      <x:c r="A193" s="46"/>
      <x:c r="B193" s="38" t="str"/>
      <x:c r="C193" s="38" t="str"/>
      <x:c r="D193" s="38" t="str"/>
      <x:c r="E193" s="39"/>
      <x:c r="F193" s="38" t="str"/>
    </x:row>
    <x:row r="194">
      <x:c r="A194" s="46"/>
      <x:c r="B194" s="38" t="str"/>
      <x:c r="C194" s="38" t="str"/>
      <x:c r="D194" s="38" t="str"/>
      <x:c r="E194" s="39"/>
      <x:c r="F194" s="38" t="str"/>
    </x:row>
    <x:row r="195">
      <x:c r="A195" s="46"/>
      <x:c r="B195" s="38" t="str"/>
      <x:c r="C195" s="38" t="str"/>
      <x:c r="D195" s="38" t="str"/>
      <x:c r="E195" s="39"/>
      <x:c r="F195" s="38" t="str"/>
    </x:row>
    <x:row r="196">
      <x:c r="A196" s="46"/>
      <x:c r="B196" s="38" t="str"/>
      <x:c r="C196" s="38" t="str"/>
      <x:c r="D196" s="38" t="str"/>
      <x:c r="E196" s="39"/>
      <x:c r="F196" s="38" t="str"/>
    </x:row>
    <x:row r="197">
      <x:c r="A197" s="46"/>
      <x:c r="B197" s="38" t="str"/>
      <x:c r="C197" s="38" t="str"/>
      <x:c r="D197" s="38" t="str"/>
      <x:c r="E197" s="39"/>
      <x:c r="F197" s="38" t="str"/>
    </x:row>
    <x:row r="198">
      <x:c r="A198" s="46"/>
      <x:c r="B198" s="38" t="str"/>
      <x:c r="C198" s="38" t="str"/>
      <x:c r="D198" s="38" t="str"/>
      <x:c r="E198" s="39"/>
      <x:c r="F198" s="38" t="str"/>
    </x:row>
    <x:row r="199">
      <x:c r="A199" s="46"/>
      <x:c r="B199" s="38" t="str"/>
      <x:c r="C199" s="38" t="str"/>
      <x:c r="D199" s="38" t="str"/>
      <x:c r="E199" s="39"/>
      <x:c r="F199" s="38" t="str"/>
    </x:row>
    <x:row r="200">
      <x:c r="A200" s="46"/>
      <x:c r="B200" s="38" t="str"/>
      <x:c r="C200" s="38" t="str"/>
      <x:c r="D200" s="38" t="str"/>
      <x:c r="E200" s="39"/>
      <x:c r="F200" s="38" t="str"/>
    </x:row>
    <x:row r="201">
      <x:c r="A201" s="46"/>
      <x:c r="B201" s="38" t="str"/>
      <x:c r="C201" s="38" t="str"/>
      <x:c r="D201" s="38" t="str"/>
      <x:c r="E201" s="39"/>
      <x:c r="F201" s="38" t="str"/>
    </x:row>
    <x:row r="202">
      <x:c r="A202" s="46"/>
      <x:c r="B202" s="38" t="str"/>
      <x:c r="C202" s="38" t="str"/>
      <x:c r="D202" s="38" t="str"/>
      <x:c r="E202" s="39"/>
      <x:c r="F202" s="38" t="str"/>
    </x:row>
    <x:row r="203">
      <x:c r="A203" s="46"/>
      <x:c r="B203" s="38" t="str"/>
      <x:c r="C203" s="38" t="str"/>
      <x:c r="D203" s="38" t="str"/>
      <x:c r="E203" s="39"/>
      <x:c r="F203" s="38" t="str"/>
    </x:row>
    <x:row r="204">
      <x:c r="A204" s="46"/>
      <x:c r="B204" s="38" t="str"/>
      <x:c r="C204" s="38" t="str"/>
      <x:c r="D204" s="38" t="str"/>
      <x:c r="E204" s="39"/>
      <x:c r="F204" s="38" t="str"/>
    </x:row>
    <x:row r="205">
      <x:c r="A205" s="46"/>
      <x:c r="B205" s="38" t="str"/>
      <x:c r="C205" s="38" t="str"/>
      <x:c r="D205" s="38" t="str"/>
      <x:c r="E205" s="39"/>
      <x:c r="F205" s="38" t="str"/>
    </x:row>
    <x:row r="206">
      <x:c r="A206" s="46"/>
      <x:c r="B206" s="38" t="str"/>
      <x:c r="C206" s="38" t="str"/>
      <x:c r="D206" s="38" t="str"/>
      <x:c r="E206" s="39"/>
      <x:c r="F206" s="38" t="str"/>
    </x:row>
    <x:row r="207">
      <x:c r="A207" s="46"/>
      <x:c r="B207" s="38" t="str"/>
      <x:c r="C207" s="38" t="str"/>
      <x:c r="D207" s="38" t="str"/>
      <x:c r="E207" s="39"/>
      <x:c r="F207" s="38" t="str"/>
    </x:row>
    <x:row r="208">
      <x:c r="A208" s="46"/>
      <x:c r="B208" s="38" t="str"/>
      <x:c r="C208" s="38" t="str"/>
      <x:c r="D208" s="38" t="str"/>
      <x:c r="E208" s="39"/>
      <x:c r="F208" s="38" t="str"/>
    </x:row>
    <x:row r="209">
      <x:c r="A209" s="46"/>
      <x:c r="B209" s="38" t="str"/>
      <x:c r="C209" s="38" t="str"/>
      <x:c r="D209" s="38" t="str"/>
      <x:c r="E209" s="39"/>
      <x:c r="F209" s="38" t="str"/>
    </x:row>
    <x:row r="210">
      <x:c r="A210" s="46"/>
      <x:c r="B210" s="38" t="str"/>
      <x:c r="C210" s="38" t="str"/>
      <x:c r="D210" s="38" t="str"/>
      <x:c r="E210" s="39"/>
      <x:c r="F210" s="38" t="str"/>
    </x:row>
    <x:row r="211">
      <x:c r="A211" s="46"/>
      <x:c r="B211" s="38" t="str"/>
      <x:c r="C211" s="38" t="str"/>
      <x:c r="D211" s="38" t="str"/>
      <x:c r="E211" s="39"/>
      <x:c r="F211" s="38" t="str"/>
    </x:row>
    <x:row r="212">
      <x:c r="A212" s="46"/>
      <x:c r="B212" s="38" t="str"/>
      <x:c r="C212" s="38" t="str"/>
      <x:c r="D212" s="38" t="str"/>
      <x:c r="E212" s="39"/>
      <x:c r="F212" s="38" t="str"/>
    </x:row>
    <x:row r="213">
      <x:c r="A213" s="46"/>
      <x:c r="B213" s="38" t="str"/>
      <x:c r="C213" s="38" t="str"/>
      <x:c r="D213" s="38" t="str"/>
      <x:c r="E213" s="39"/>
      <x:c r="F213" s="38" t="str"/>
    </x:row>
    <x:row r="214">
      <x:c r="A214" s="46"/>
      <x:c r="B214" s="38" t="str"/>
      <x:c r="C214" s="38" t="str"/>
      <x:c r="D214" s="38" t="str"/>
      <x:c r="E214" s="39"/>
      <x:c r="F214" s="38" t="str"/>
    </x:row>
    <x:row r="215">
      <x:c r="A215" s="46"/>
      <x:c r="B215" s="38" t="str"/>
      <x:c r="C215" s="38" t="str"/>
      <x:c r="D215" s="38" t="str"/>
      <x:c r="E215" s="39"/>
      <x:c r="F215" s="38" t="str"/>
    </x:row>
    <x:row r="216">
      <x:c r="A216" s="46"/>
      <x:c r="B216" s="38" t="str"/>
      <x:c r="C216" s="38" t="str"/>
      <x:c r="D216" s="38" t="str"/>
      <x:c r="E216" s="39"/>
      <x:c r="F216" s="38" t="str"/>
    </x:row>
    <x:row r="217">
      <x:c r="A217" s="46"/>
      <x:c r="B217" s="38" t="str"/>
      <x:c r="C217" s="38" t="str"/>
      <x:c r="D217" s="38" t="str"/>
      <x:c r="E217" s="39"/>
      <x:c r="F217" s="38" t="str"/>
    </x:row>
    <x:row r="218">
      <x:c r="A218" s="46"/>
      <x:c r="B218" s="38" t="str"/>
      <x:c r="C218" s="38" t="str"/>
      <x:c r="D218" s="38" t="str"/>
      <x:c r="E218" s="39"/>
      <x:c r="F218" s="38" t="str"/>
    </x:row>
    <x:row r="219">
      <x:c r="A219" s="46"/>
      <x:c r="B219" s="38" t="str"/>
      <x:c r="C219" s="38" t="str"/>
      <x:c r="D219" s="38" t="str"/>
      <x:c r="E219" s="39"/>
      <x:c r="F219" s="38" t="str"/>
    </x:row>
    <x:row r="220">
      <x:c r="A220" s="46"/>
      <x:c r="B220" s="38" t="str"/>
      <x:c r="C220" s="38" t="str"/>
      <x:c r="D220" s="38" t="str"/>
      <x:c r="E220" s="39"/>
      <x:c r="F220" s="38" t="str"/>
    </x:row>
    <x:row r="221">
      <x:c r="A221" s="46"/>
      <x:c r="B221" s="38" t="str"/>
      <x:c r="C221" s="38" t="str"/>
      <x:c r="D221" s="38" t="str"/>
      <x:c r="E221" s="39"/>
      <x:c r="F221" s="38" t="str"/>
    </x:row>
    <x:row r="222">
      <x:c r="A222" s="46"/>
      <x:c r="B222" s="38" t="str"/>
      <x:c r="C222" s="38" t="str"/>
      <x:c r="D222" s="38" t="str"/>
      <x:c r="E222" s="39"/>
      <x:c r="F222" s="38" t="str"/>
    </x:row>
    <x:row r="223">
      <x:c r="A223" s="46"/>
      <x:c r="B223" s="38" t="str"/>
      <x:c r="C223" s="38" t="str"/>
      <x:c r="D223" s="38" t="str"/>
      <x:c r="E223" s="39"/>
      <x:c r="F223" s="38" t="str"/>
    </x:row>
    <x:row r="224">
      <x:c r="A224" s="46"/>
      <x:c r="B224" s="38" t="str"/>
      <x:c r="C224" s="38" t="str"/>
      <x:c r="D224" s="38" t="str"/>
      <x:c r="E224" s="39"/>
      <x:c r="F224" s="38" t="str"/>
    </x:row>
    <x:row r="225">
      <x:c r="A225" s="46"/>
      <x:c r="B225" s="38" t="str"/>
      <x:c r="C225" s="38" t="str"/>
      <x:c r="D225" s="38" t="str"/>
      <x:c r="E225" s="39"/>
      <x:c r="F225" s="38" t="str"/>
    </x:row>
    <x:row r="226">
      <x:c r="A226" s="46"/>
      <x:c r="B226" s="38" t="str"/>
      <x:c r="C226" s="38" t="str"/>
      <x:c r="D226" s="38" t="str"/>
      <x:c r="E226" s="39"/>
      <x:c r="F226" s="38" t="str"/>
    </x:row>
    <x:row r="227">
      <x:c r="A227" s="46"/>
      <x:c r="B227" s="38" t="str"/>
      <x:c r="C227" s="38" t="str"/>
      <x:c r="D227" s="38" t="str"/>
      <x:c r="E227" s="39"/>
      <x:c r="F227" s="38" t="str"/>
    </x:row>
    <x:row r="228">
      <x:c r="A228" s="46"/>
      <x:c r="B228" s="38" t="str"/>
      <x:c r="C228" s="38" t="str"/>
      <x:c r="D228" s="38" t="str"/>
      <x:c r="E228" s="39"/>
      <x:c r="F228" s="38" t="str"/>
    </x:row>
    <x:row r="229">
      <x:c r="A229" s="46"/>
      <x:c r="B229" s="38" t="str"/>
      <x:c r="C229" s="38" t="str"/>
      <x:c r="D229" s="38" t="str"/>
      <x:c r="E229" s="39"/>
      <x:c r="F229" s="38" t="str"/>
    </x:row>
    <x:row r="230">
      <x:c r="A230" s="46"/>
      <x:c r="B230" s="38" t="str"/>
      <x:c r="C230" s="38" t="str"/>
      <x:c r="D230" s="38" t="str"/>
      <x:c r="E230" s="39"/>
      <x:c r="F230" s="38" t="str"/>
    </x:row>
    <x:row r="231">
      <x:c r="A231" s="46"/>
      <x:c r="B231" s="38" t="str"/>
      <x:c r="C231" s="38" t="str"/>
      <x:c r="D231" s="38" t="str"/>
      <x:c r="E231" s="39"/>
      <x:c r="F231" s="38" t="str"/>
    </x:row>
    <x:row r="232">
      <x:c r="A232" s="46"/>
      <x:c r="B232" s="38" t="str"/>
      <x:c r="C232" s="38" t="str"/>
      <x:c r="D232" s="38" t="str"/>
      <x:c r="E232" s="39"/>
      <x:c r="F232" s="38" t="str"/>
    </x:row>
    <x:row r="233">
      <x:c r="A233" s="46"/>
      <x:c r="B233" s="38" t="str"/>
      <x:c r="C233" s="38" t="str"/>
      <x:c r="D233" s="38" t="str"/>
      <x:c r="E233" s="39"/>
      <x:c r="F233" s="38" t="str"/>
    </x:row>
    <x:row r="234">
      <x:c r="A234" s="46"/>
      <x:c r="B234" s="38" t="str"/>
      <x:c r="C234" s="38" t="str"/>
      <x:c r="D234" s="38" t="str"/>
      <x:c r="E234" s="39"/>
      <x:c r="F234" s="38" t="str"/>
    </x:row>
    <x:row r="235">
      <x:c r="A235" s="46"/>
      <x:c r="B235" s="38" t="str"/>
      <x:c r="C235" s="38" t="str"/>
      <x:c r="D235" s="38" t="str"/>
      <x:c r="E235" s="39"/>
      <x:c r="F235" s="38" t="str"/>
    </x:row>
    <x:row r="236">
      <x:c r="A236" s="46"/>
      <x:c r="B236" s="38" t="str"/>
      <x:c r="C236" s="38" t="str"/>
      <x:c r="D236" s="38" t="str"/>
      <x:c r="E236" s="39"/>
      <x:c r="F236" s="38" t="str"/>
    </x:row>
    <x:row r="237">
      <x:c r="A237" s="46"/>
      <x:c r="B237" s="38" t="str"/>
      <x:c r="C237" s="38" t="str"/>
      <x:c r="D237" s="38" t="str"/>
      <x:c r="E237" s="39"/>
      <x:c r="F237" s="38" t="str"/>
    </x:row>
    <x:row r="238">
      <x:c r="A238" s="46"/>
      <x:c r="B238" s="38" t="str"/>
      <x:c r="C238" s="38" t="str"/>
      <x:c r="D238" s="38" t="str"/>
      <x:c r="E238" s="39"/>
      <x:c r="F238" s="38" t="str"/>
    </x:row>
    <x:row r="239">
      <x:c r="A239" s="46"/>
      <x:c r="B239" s="38" t="str"/>
      <x:c r="C239" s="38" t="str"/>
      <x:c r="D239" s="38" t="str"/>
      <x:c r="E239" s="39"/>
      <x:c r="F239" s="38" t="str"/>
    </x:row>
    <x:row r="240">
      <x:c r="A240" s="46"/>
      <x:c r="B240" s="38" t="str"/>
      <x:c r="C240" s="38" t="str"/>
      <x:c r="D240" s="38" t="str"/>
      <x:c r="E240" s="39"/>
      <x:c r="F240" s="38" t="str"/>
    </x:row>
    <x:row r="241">
      <x:c r="A241" s="46"/>
      <x:c r="B241" s="38" t="str"/>
      <x:c r="C241" s="38" t="str"/>
      <x:c r="D241" s="38" t="str"/>
      <x:c r="E241" s="39"/>
      <x:c r="F241" s="38" t="str"/>
    </x:row>
    <x:row r="242">
      <x:c r="A242" s="46"/>
      <x:c r="B242" s="38" t="str"/>
      <x:c r="C242" s="38" t="str"/>
      <x:c r="D242" s="38" t="str"/>
      <x:c r="E242" s="39"/>
      <x:c r="F242" s="38" t="str"/>
    </x:row>
    <x:row r="243">
      <x:c r="A243" s="46"/>
      <x:c r="B243" s="38" t="str"/>
      <x:c r="C243" s="38" t="str"/>
      <x:c r="D243" s="38" t="str"/>
      <x:c r="E243" s="39"/>
      <x:c r="F243" s="38" t="str"/>
    </x:row>
    <x:row r="244">
      <x:c r="A244" s="46"/>
      <x:c r="B244" s="38" t="str"/>
      <x:c r="C244" s="38" t="str"/>
      <x:c r="D244" s="38" t="str"/>
      <x:c r="E244" s="39"/>
      <x:c r="F244" s="38" t="str"/>
    </x:row>
    <x:row r="245">
      <x:c r="A245" s="46"/>
      <x:c r="B245" s="38" t="str"/>
      <x:c r="C245" s="38" t="str"/>
      <x:c r="D245" s="38" t="str"/>
      <x:c r="E245" s="39"/>
      <x:c r="F245" s="38" t="str"/>
    </x:row>
    <x:row r="246">
      <x:c r="A246" s="46"/>
      <x:c r="B246" s="38" t="str"/>
      <x:c r="C246" s="38" t="str"/>
      <x:c r="D246" s="38" t="str"/>
      <x:c r="E246" s="39"/>
      <x:c r="F246" s="38" t="str"/>
    </x:row>
    <x:row r="247">
      <x:c r="A247" s="46"/>
      <x:c r="B247" s="38" t="str"/>
      <x:c r="C247" s="38" t="str"/>
      <x:c r="D247" s="38" t="str"/>
      <x:c r="E247" s="39"/>
      <x:c r="F247" s="38" t="str"/>
    </x:row>
    <x:row r="248">
      <x:c r="A248" s="46"/>
      <x:c r="B248" s="38" t="str"/>
      <x:c r="C248" s="38" t="str"/>
      <x:c r="D248" s="38" t="str"/>
      <x:c r="E248" s="39"/>
      <x:c r="F248" s="38" t="str"/>
    </x:row>
    <x:row r="249">
      <x:c r="A249" s="46"/>
      <x:c r="B249" s="38" t="str"/>
      <x:c r="C249" s="38" t="str"/>
      <x:c r="D249" s="38" t="str"/>
      <x:c r="E249" s="39"/>
      <x:c r="F249" s="38" t="str"/>
    </x:row>
    <x:row r="250">
      <x:c r="A250" s="46"/>
      <x:c r="B250" s="38" t="str"/>
      <x:c r="C250" s="38" t="str"/>
      <x:c r="D250" s="38" t="str"/>
      <x:c r="E250" s="39"/>
      <x:c r="F250" s="38" t="str"/>
    </x:row>
    <x:row r="251">
      <x:c r="A251" s="46"/>
      <x:c r="B251" s="38" t="str"/>
      <x:c r="C251" s="38" t="str"/>
      <x:c r="D251" s="38" t="str"/>
      <x:c r="E251" s="39"/>
      <x:c r="F251" s="38" t="str"/>
    </x:row>
    <x:row r="252">
      <x:c r="A252" s="46"/>
      <x:c r="B252" s="38" t="str"/>
      <x:c r="C252" s="38" t="str"/>
      <x:c r="D252" s="38" t="str"/>
      <x:c r="E252" s="39"/>
      <x:c r="F252" s="38" t="str"/>
    </x:row>
    <x:row r="253">
      <x:c r="A253" s="46"/>
      <x:c r="B253" s="38" t="str"/>
      <x:c r="C253" s="38" t="str"/>
      <x:c r="D253" s="38" t="str"/>
      <x:c r="E253" s="39"/>
      <x:c r="F253" s="38" t="str"/>
    </x:row>
    <x:row r="254">
      <x:c r="A254" s="46"/>
      <x:c r="B254" s="38" t="str"/>
      <x:c r="C254" s="38" t="str"/>
      <x:c r="D254" s="38" t="str"/>
      <x:c r="E254" s="39"/>
      <x:c r="F254" s="38" t="str"/>
    </x:row>
    <x:row r="255">
      <x:c r="A255" s="46"/>
      <x:c r="B255" s="38" t="str"/>
      <x:c r="C255" s="38" t="str"/>
      <x:c r="D255" s="38" t="str"/>
      <x:c r="E255" s="39"/>
      <x:c r="F255" s="38" t="str"/>
    </x:row>
    <x:row r="256">
      <x:c r="A256" s="46"/>
      <x:c r="B256" s="38" t="str"/>
      <x:c r="C256" s="38" t="str"/>
      <x:c r="D256" s="38" t="str"/>
      <x:c r="E256" s="39"/>
      <x:c r="F256" s="38" t="str"/>
    </x:row>
    <x:row r="257">
      <x:c r="A257" s="46"/>
      <x:c r="B257" s="38" t="str"/>
      <x:c r="C257" s="38" t="str"/>
      <x:c r="D257" s="38" t="str"/>
      <x:c r="E257" s="39"/>
      <x:c r="F257" s="38" t="str"/>
    </x:row>
    <x:row r="258">
      <x:c r="A258" s="46"/>
      <x:c r="B258" s="38" t="str"/>
      <x:c r="C258" s="38" t="str"/>
      <x:c r="D258" s="38" t="str"/>
      <x:c r="E258" s="39"/>
      <x:c r="F258" s="38" t="str"/>
    </x:row>
    <x:row r="259">
      <x:c r="A259" s="46"/>
      <x:c r="B259" s="38" t="str"/>
      <x:c r="C259" s="38" t="str"/>
      <x:c r="D259" s="38" t="str"/>
      <x:c r="E259" s="39"/>
      <x:c r="F259" s="38" t="str"/>
    </x:row>
    <x:row r="260">
      <x:c r="A260" s="46"/>
      <x:c r="B260" s="38" t="str"/>
      <x:c r="C260" s="38" t="str"/>
      <x:c r="D260" s="38" t="str"/>
      <x:c r="E260" s="39"/>
      <x:c r="F260" s="38" t="str"/>
    </x:row>
    <x:row r="261">
      <x:c r="A261" s="46"/>
      <x:c r="B261" s="38" t="str"/>
      <x:c r="C261" s="38" t="str"/>
      <x:c r="D261" s="38" t="str"/>
      <x:c r="E261" s="39"/>
      <x:c r="F261" s="38" t="str"/>
    </x:row>
    <x:row r="262">
      <x:c r="A262" s="46"/>
      <x:c r="B262" s="38" t="str"/>
      <x:c r="C262" s="38" t="str"/>
      <x:c r="D262" s="38" t="str"/>
      <x:c r="E262" s="39"/>
      <x:c r="F262" s="38" t="str"/>
    </x:row>
    <x:row r="263">
      <x:c r="A263" s="46"/>
      <x:c r="B263" s="38" t="str"/>
      <x:c r="C263" s="38" t="str"/>
      <x:c r="D263" s="38" t="str"/>
      <x:c r="E263" s="39"/>
      <x:c r="F263" s="38" t="str"/>
    </x:row>
    <x:row r="264">
      <x:c r="A264" s="46"/>
      <x:c r="B264" s="38" t="str"/>
      <x:c r="C264" s="38" t="str"/>
      <x:c r="D264" s="38" t="str"/>
      <x:c r="E264" s="39"/>
      <x:c r="F264" s="38" t="str"/>
    </x:row>
    <x:row r="265">
      <x:c r="A265" s="46"/>
      <x:c r="B265" s="38" t="str"/>
      <x:c r="C265" s="38" t="str"/>
      <x:c r="D265" s="38" t="str"/>
      <x:c r="E265" s="39"/>
      <x:c r="F265" s="38" t="str"/>
    </x:row>
    <x:row r="266">
      <x:c r="A266" s="46"/>
      <x:c r="B266" s="38" t="str"/>
      <x:c r="C266" s="38" t="str"/>
      <x:c r="D266" s="38" t="str"/>
      <x:c r="E266" s="39"/>
      <x:c r="F266" s="38" t="str"/>
    </x:row>
    <x:row r="267">
      <x:c r="A267" s="46"/>
      <x:c r="B267" s="38" t="str"/>
      <x:c r="C267" s="38" t="str"/>
      <x:c r="D267" s="38" t="str"/>
      <x:c r="E267" s="39"/>
      <x:c r="F267" s="38" t="str"/>
    </x:row>
    <x:row r="268">
      <x:c r="A268" s="46"/>
      <x:c r="B268" s="38" t="str"/>
      <x:c r="C268" s="38" t="str"/>
      <x:c r="D268" s="38" t="str"/>
      <x:c r="E268" s="39"/>
      <x:c r="F268" s="38" t="str"/>
    </x:row>
    <x:row r="269">
      <x:c r="A269" s="46"/>
      <x:c r="B269" s="38" t="str"/>
      <x:c r="C269" s="38" t="str"/>
      <x:c r="D269" s="38" t="str"/>
      <x:c r="E269" s="39"/>
      <x:c r="F269" s="38" t="str"/>
    </x:row>
    <x:row r="270">
      <x:c r="A270" s="46"/>
      <x:c r="B270" s="38" t="str"/>
      <x:c r="C270" s="38" t="str"/>
      <x:c r="D270" s="38" t="str"/>
      <x:c r="E270" s="39"/>
      <x:c r="F270" s="38" t="str"/>
    </x:row>
    <x:row r="271">
      <x:c r="A271" s="46"/>
      <x:c r="B271" s="38" t="str"/>
      <x:c r="C271" s="38" t="str"/>
      <x:c r="D271" s="38" t="str"/>
      <x:c r="E271" s="39"/>
      <x:c r="F271" s="38" t="str"/>
    </x:row>
    <x:row r="272">
      <x:c r="A272" s="46"/>
      <x:c r="B272" s="38" t="str"/>
      <x:c r="C272" s="38" t="str"/>
      <x:c r="D272" s="38" t="str"/>
      <x:c r="E272" s="39"/>
      <x:c r="F272" s="38" t="str"/>
    </x:row>
    <x:row r="273">
      <x:c r="A273" s="46"/>
      <x:c r="B273" s="38" t="str"/>
      <x:c r="C273" s="38" t="str"/>
      <x:c r="D273" s="38" t="str"/>
      <x:c r="E273" s="39"/>
      <x:c r="F273" s="38" t="str"/>
    </x:row>
    <x:row r="274">
      <x:c r="A274" s="46"/>
      <x:c r="B274" s="38" t="str"/>
      <x:c r="C274" s="38" t="str"/>
      <x:c r="D274" s="38" t="str"/>
      <x:c r="E274" s="39"/>
      <x:c r="F274" s="38" t="str"/>
    </x:row>
    <x:row r="275">
      <x:c r="A275" s="46"/>
      <x:c r="B275" s="38" t="str"/>
      <x:c r="C275" s="38" t="str"/>
      <x:c r="D275" s="38" t="str"/>
      <x:c r="E275" s="39"/>
      <x:c r="F275" s="38" t="str"/>
    </x:row>
    <x:row r="276">
      <x:c r="A276" s="46"/>
      <x:c r="B276" s="38" t="str"/>
      <x:c r="C276" s="38" t="str"/>
      <x:c r="D276" s="38" t="str"/>
      <x:c r="E276" s="39"/>
      <x:c r="F276" s="38" t="str"/>
    </x:row>
    <x:row r="277">
      <x:c r="A277" s="46"/>
      <x:c r="B277" s="38" t="str"/>
      <x:c r="C277" s="38" t="str"/>
      <x:c r="D277" s="38" t="str"/>
      <x:c r="E277" s="39"/>
      <x:c r="F277" s="38" t="str"/>
    </x:row>
    <x:row r="278">
      <x:c r="A278" s="46"/>
      <x:c r="B278" s="38" t="str"/>
      <x:c r="C278" s="38" t="str"/>
      <x:c r="D278" s="38" t="str"/>
      <x:c r="E278" s="39"/>
      <x:c r="F278" s="38" t="str"/>
    </x:row>
    <x:row r="279">
      <x:c r="A279" s="46"/>
      <x:c r="B279" s="38" t="str"/>
      <x:c r="C279" s="38" t="str"/>
      <x:c r="D279" s="38" t="str"/>
      <x:c r="E279" s="39"/>
      <x:c r="F279" s="38" t="str"/>
    </x:row>
    <x:row r="280">
      <x:c r="A280" s="46"/>
      <x:c r="B280" s="38" t="str"/>
      <x:c r="C280" s="38" t="str"/>
      <x:c r="D280" s="38" t="str"/>
      <x:c r="E280" s="39"/>
      <x:c r="F280" s="38" t="str"/>
    </x:row>
    <x:row r="281">
      <x:c r="A281" s="46"/>
      <x:c r="B281" s="38" t="str"/>
      <x:c r="C281" s="38" t="str"/>
      <x:c r="D281" s="38" t="str"/>
      <x:c r="E281" s="39"/>
      <x:c r="F281" s="38" t="str"/>
    </x:row>
    <x:row r="282">
      <x:c r="A282" s="46"/>
      <x:c r="B282" s="38" t="str"/>
      <x:c r="C282" s="38" t="str"/>
      <x:c r="D282" s="38" t="str"/>
      <x:c r="E282" s="39"/>
      <x:c r="F282" s="38" t="str"/>
    </x:row>
    <x:row r="283">
      <x:c r="A283" s="46"/>
      <x:c r="B283" s="38" t="str"/>
      <x:c r="C283" s="38" t="str"/>
      <x:c r="D283" s="38" t="str"/>
      <x:c r="E283" s="39"/>
      <x:c r="F283" s="38" t="str"/>
    </x:row>
    <x:row r="284">
      <x:c r="A284" s="46"/>
      <x:c r="B284" s="38" t="str"/>
      <x:c r="C284" s="38" t="str"/>
      <x:c r="D284" s="38" t="str"/>
      <x:c r="E284" s="39"/>
      <x:c r="F284" s="38" t="str"/>
    </x:row>
    <x:row r="285">
      <x:c r="A285" s="46"/>
      <x:c r="B285" s="38" t="str"/>
      <x:c r="C285" s="38" t="str"/>
      <x:c r="D285" s="38" t="str"/>
      <x:c r="E285" s="39"/>
      <x:c r="F285" s="38" t="str"/>
    </x:row>
    <x:row r="286">
      <x:c r="A286" s="46"/>
      <x:c r="B286" s="38" t="str"/>
      <x:c r="C286" s="38" t="str"/>
      <x:c r="D286" s="38" t="str"/>
      <x:c r="E286" s="39"/>
      <x:c r="F286" s="38" t="str"/>
    </x:row>
    <x:row r="287">
      <x:c r="A287" s="46"/>
      <x:c r="B287" s="38" t="str"/>
      <x:c r="C287" s="38" t="str"/>
      <x:c r="D287" s="38" t="str"/>
      <x:c r="E287" s="39"/>
      <x:c r="F287" s="38" t="str"/>
    </x:row>
    <x:row r="288">
      <x:c r="A288" s="46"/>
      <x:c r="B288" s="38" t="str"/>
      <x:c r="C288" s="38" t="str"/>
      <x:c r="D288" s="38" t="str"/>
      <x:c r="E288" s="39"/>
      <x:c r="F288" s="38" t="str"/>
    </x:row>
    <x:row r="289">
      <x:c r="A289" s="46"/>
      <x:c r="B289" s="38" t="str"/>
      <x:c r="C289" s="38" t="str"/>
      <x:c r="D289" s="38" t="str"/>
      <x:c r="E289" s="39"/>
      <x:c r="F289" s="38" t="str"/>
    </x:row>
    <x:row r="290">
      <x:c r="A290" s="46"/>
      <x:c r="B290" s="38" t="str"/>
      <x:c r="C290" s="38" t="str"/>
      <x:c r="D290" s="38" t="str"/>
      <x:c r="E290" s="39"/>
      <x:c r="F290" s="38" t="str"/>
    </x:row>
    <x:row r="291">
      <x:c r="A291" s="46"/>
      <x:c r="B291" s="38" t="str"/>
      <x:c r="C291" s="38" t="str"/>
      <x:c r="D291" s="38" t="str"/>
      <x:c r="E291" s="39"/>
      <x:c r="F291" s="38" t="str"/>
    </x:row>
    <x:row r="292">
      <x:c r="A292" s="46"/>
      <x:c r="B292" s="38" t="str"/>
      <x:c r="C292" s="38" t="str"/>
      <x:c r="D292" s="38" t="str"/>
      <x:c r="E292" s="39"/>
      <x:c r="F292" s="38" t="str"/>
    </x:row>
    <x:row r="293">
      <x:c r="A293" s="46"/>
      <x:c r="B293" s="38" t="str"/>
      <x:c r="C293" s="38" t="str"/>
      <x:c r="D293" s="38" t="str"/>
      <x:c r="E293" s="39"/>
      <x:c r="F293" s="38" t="str"/>
    </x:row>
    <x:row r="294">
      <x:c r="A294" s="46"/>
      <x:c r="B294" s="38" t="str"/>
      <x:c r="C294" s="38" t="str"/>
      <x:c r="D294" s="38" t="str"/>
      <x:c r="E294" s="39"/>
      <x:c r="F294" s="38" t="str"/>
    </x:row>
    <x:row r="295">
      <x:c r="A295" s="46"/>
      <x:c r="B295" s="38" t="str"/>
      <x:c r="C295" s="38" t="str"/>
      <x:c r="D295" s="38" t="str"/>
      <x:c r="E295" s="39"/>
      <x:c r="F295" s="38" t="str"/>
    </x:row>
    <x:row r="296">
      <x:c r="A296" s="46"/>
      <x:c r="B296" s="38" t="str"/>
      <x:c r="C296" s="38" t="str"/>
      <x:c r="D296" s="38" t="str"/>
      <x:c r="E296" s="39"/>
      <x:c r="F296" s="38" t="str"/>
    </x:row>
    <x:row r="297">
      <x:c r="A297" s="46"/>
      <x:c r="B297" s="38" t="str"/>
      <x:c r="C297" s="38" t="str"/>
      <x:c r="D297" s="38" t="str"/>
      <x:c r="E297" s="39"/>
      <x:c r="F297" s="38" t="str"/>
    </x:row>
    <x:row r="298">
      <x:c r="A298" s="46"/>
      <x:c r="B298" s="38" t="str"/>
      <x:c r="C298" s="38" t="str"/>
      <x:c r="D298" s="38" t="str"/>
      <x:c r="E298" s="39"/>
      <x:c r="F298" s="38" t="str"/>
    </x:row>
    <x:row r="299">
      <x:c r="A299" s="46"/>
      <x:c r="B299" s="38" t="str"/>
      <x:c r="C299" s="38" t="str"/>
      <x:c r="D299" s="38" t="str"/>
      <x:c r="E299" s="39"/>
      <x:c r="F299" s="38" t="str"/>
    </x:row>
    <x:row r="300">
      <x:c r="A300" s="46"/>
      <x:c r="B300" s="38" t="str"/>
      <x:c r="C300" s="38" t="str"/>
      <x:c r="D300" s="38" t="str"/>
      <x:c r="E300" s="39"/>
      <x:c r="F300" s="38" t="str"/>
    </x:row>
    <x:row r="301">
      <x:c r="A301" s="46"/>
      <x:c r="B301" s="38" t="str"/>
      <x:c r="C301" s="38" t="str"/>
      <x:c r="D301" s="38" t="str"/>
      <x:c r="E301" s="39"/>
      <x:c r="F301" s="38" t="str"/>
    </x:row>
    <x:row r="302">
      <x:c r="A302" s="46"/>
      <x:c r="B302" s="38" t="str"/>
      <x:c r="C302" s="38" t="str"/>
      <x:c r="D302" s="38" t="str"/>
      <x:c r="E302" s="39"/>
      <x:c r="F302" s="38" t="str"/>
    </x:row>
    <x:row r="303">
      <x:c r="A303" s="46"/>
      <x:c r="B303" s="38" t="str"/>
      <x:c r="C303" s="38" t="str"/>
      <x:c r="D303" s="38" t="str"/>
      <x:c r="E303" s="39"/>
      <x:c r="F303" s="38" t="str"/>
    </x:row>
    <x:row r="304">
      <x:c r="A304" s="46"/>
      <x:c r="B304" s="38" t="str"/>
      <x:c r="C304" s="38" t="str"/>
      <x:c r="D304" s="38" t="str"/>
      <x:c r="E304" s="39"/>
      <x:c r="F304" s="38" t="str"/>
    </x:row>
    <x:row r="305">
      <x:c r="A305" s="46"/>
      <x:c r="B305" s="38" t="str"/>
      <x:c r="C305" s="38" t="str"/>
      <x:c r="D305" s="38" t="str"/>
      <x:c r="E305" s="39"/>
      <x:c r="F305" s="38" t="str"/>
    </x:row>
    <x:row r="306">
      <x:c r="A306" s="46"/>
      <x:c r="B306" s="38" t="str"/>
      <x:c r="C306" s="38" t="str"/>
      <x:c r="D306" s="38" t="str"/>
      <x:c r="E306" s="39"/>
      <x:c r="F306" s="38" t="str"/>
    </x:row>
    <x:row r="307">
      <x:c r="A307" s="46"/>
      <x:c r="B307" s="38" t="str"/>
      <x:c r="C307" s="38" t="str"/>
      <x:c r="D307" s="38" t="str"/>
      <x:c r="E307" s="39"/>
      <x:c r="F307" s="38" t="str"/>
    </x:row>
    <x:row r="308">
      <x:c r="A308" s="46"/>
      <x:c r="B308" s="38" t="str"/>
      <x:c r="C308" s="38" t="str"/>
      <x:c r="D308" s="38" t="str"/>
      <x:c r="E308" s="39"/>
      <x:c r="F308" s="38" t="str"/>
    </x:row>
    <x:row r="309">
      <x:c r="A309" s="46"/>
      <x:c r="B309" s="38" t="str"/>
      <x:c r="C309" s="38" t="str"/>
      <x:c r="D309" s="38" t="str"/>
      <x:c r="E309" s="39"/>
      <x:c r="F309" s="38" t="str"/>
    </x:row>
    <x:row r="310">
      <x:c r="A310" s="46"/>
      <x:c r="B310" s="38" t="str"/>
      <x:c r="C310" s="38" t="str"/>
      <x:c r="D310" s="38" t="str"/>
      <x:c r="E310" s="39"/>
      <x:c r="F310" s="38" t="str"/>
    </x:row>
    <x:row r="311">
      <x:c r="A311" s="46"/>
      <x:c r="B311" s="38" t="str"/>
      <x:c r="C311" s="38" t="str"/>
      <x:c r="D311" s="38" t="str"/>
      <x:c r="E311" s="39"/>
      <x:c r="F311" s="38" t="str"/>
    </x:row>
    <x:row r="312">
      <x:c r="A312" s="46"/>
      <x:c r="B312" s="38" t="str"/>
      <x:c r="C312" s="38" t="str"/>
      <x:c r="D312" s="38" t="str"/>
      <x:c r="E312" s="39"/>
      <x:c r="F312" s="38" t="str"/>
    </x:row>
    <x:row r="313">
      <x:c r="A313" s="46"/>
      <x:c r="B313" s="38" t="str"/>
      <x:c r="C313" s="38" t="str"/>
      <x:c r="D313" s="38" t="str"/>
      <x:c r="E313" s="39"/>
      <x:c r="F313" s="38" t="str"/>
    </x:row>
    <x:row r="314">
      <x:c r="A314" s="46"/>
      <x:c r="B314" s="38" t="str"/>
      <x:c r="C314" s="38" t="str"/>
      <x:c r="D314" s="38" t="str"/>
      <x:c r="E314" s="39"/>
      <x:c r="F314" s="38" t="str"/>
    </x:row>
    <x:row r="315">
      <x:c r="A315" s="46"/>
      <x:c r="B315" s="38" t="str"/>
      <x:c r="C315" s="38" t="str"/>
      <x:c r="D315" s="38" t="str"/>
      <x:c r="E315" s="39"/>
      <x:c r="F315" s="38" t="str"/>
    </x:row>
    <x:row r="316">
      <x:c r="A316" s="46"/>
      <x:c r="B316" s="38" t="str"/>
      <x:c r="C316" s="38" t="str"/>
      <x:c r="D316" s="38" t="str"/>
      <x:c r="E316" s="39"/>
      <x:c r="F316" s="38" t="str"/>
    </x:row>
    <x:row r="317">
      <x:c r="A317" s="46"/>
      <x:c r="B317" s="38" t="str"/>
      <x:c r="C317" s="38" t="str"/>
      <x:c r="D317" s="38" t="str"/>
      <x:c r="E317" s="39"/>
      <x:c r="F317" s="38" t="str"/>
    </x:row>
    <x:row r="318">
      <x:c r="A318" s="46"/>
      <x:c r="B318" s="38" t="str"/>
      <x:c r="C318" s="38" t="str"/>
      <x:c r="D318" s="38" t="str"/>
      <x:c r="E318" s="39"/>
      <x:c r="F318" s="38" t="str"/>
    </x:row>
    <x:row r="319">
      <x:c r="A319" s="46"/>
      <x:c r="B319" s="38" t="str"/>
      <x:c r="C319" s="38" t="str"/>
      <x:c r="D319" s="38" t="str"/>
      <x:c r="E319" s="39"/>
      <x:c r="F319" s="38" t="str"/>
    </x:row>
    <x:row r="320">
      <x:c r="A320" s="46"/>
      <x:c r="B320" s="38" t="str"/>
      <x:c r="C320" s="38" t="str"/>
      <x:c r="D320" s="38" t="str"/>
      <x:c r="E320" s="39"/>
      <x:c r="F320" s="38" t="str"/>
    </x:row>
    <x:row r="321">
      <x:c r="A321" s="46"/>
      <x:c r="B321" s="38" t="str"/>
      <x:c r="C321" s="38" t="str"/>
      <x:c r="D321" s="38" t="str"/>
      <x:c r="E321" s="39"/>
      <x:c r="F321" s="38" t="str"/>
    </x:row>
    <x:row r="322">
      <x:c r="A322" s="46"/>
      <x:c r="B322" s="38" t="str"/>
      <x:c r="C322" s="38" t="str"/>
      <x:c r="D322" s="38" t="str"/>
      <x:c r="E322" s="39"/>
      <x:c r="F322" s="38" t="str"/>
    </x:row>
    <x:row r="323">
      <x:c r="A323" s="46"/>
      <x:c r="B323" s="38" t="str"/>
      <x:c r="C323" s="38" t="str"/>
      <x:c r="D323" s="38" t="str"/>
      <x:c r="E323" s="39"/>
      <x:c r="F323" s="38" t="str"/>
    </x:row>
    <x:row r="324">
      <x:c r="A324" s="46"/>
      <x:c r="B324" s="38" t="str"/>
      <x:c r="C324" s="38" t="str"/>
      <x:c r="D324" s="38" t="str"/>
      <x:c r="E324" s="39"/>
      <x:c r="F324" s="38" t="str"/>
    </x:row>
    <x:row r="325">
      <x:c r="A325" s="46"/>
      <x:c r="B325" s="38" t="str"/>
      <x:c r="C325" s="38" t="str"/>
      <x:c r="D325" s="38" t="str"/>
      <x:c r="E325" s="39"/>
      <x:c r="F325" s="38" t="str"/>
    </x:row>
    <x:row r="326">
      <x:c r="A326" s="46"/>
      <x:c r="B326" s="38" t="str"/>
      <x:c r="C326" s="38" t="str"/>
      <x:c r="D326" s="38" t="str"/>
      <x:c r="E326" s="39"/>
      <x:c r="F326" s="38" t="str"/>
    </x:row>
    <x:row r="327">
      <x:c r="A327" s="46"/>
      <x:c r="B327" s="38" t="str"/>
      <x:c r="C327" s="38" t="str"/>
      <x:c r="D327" s="38" t="str"/>
      <x:c r="E327" s="39"/>
      <x:c r="F327" s="38" t="str"/>
    </x:row>
    <x:row r="328">
      <x:c r="A328" s="46"/>
      <x:c r="B328" s="38" t="str"/>
      <x:c r="C328" s="38" t="str"/>
      <x:c r="D328" s="38" t="str"/>
      <x:c r="E328" s="39"/>
      <x:c r="F328" s="38" t="str"/>
    </x:row>
    <x:row r="329">
      <x:c r="A329" s="46"/>
      <x:c r="B329" s="38" t="str"/>
      <x:c r="C329" s="38" t="str"/>
      <x:c r="D329" s="38" t="str"/>
      <x:c r="E329" s="39"/>
      <x:c r="F329" s="38" t="str"/>
    </x:row>
    <x:row r="330">
      <x:c r="A330" s="46"/>
      <x:c r="B330" s="38" t="str"/>
      <x:c r="C330" s="38" t="str"/>
      <x:c r="D330" s="38" t="str"/>
      <x:c r="E330" s="39"/>
      <x:c r="F330" s="38" t="str"/>
    </x:row>
    <x:row r="331">
      <x:c r="A331" s="46"/>
      <x:c r="B331" s="38" t="str"/>
      <x:c r="C331" s="38" t="str"/>
      <x:c r="D331" s="38" t="str"/>
      <x:c r="E331" s="39"/>
      <x:c r="F331" s="38" t="str"/>
    </x:row>
    <x:row r="332">
      <x:c r="A332" s="46"/>
      <x:c r="B332" s="38" t="str"/>
      <x:c r="C332" s="38" t="str"/>
      <x:c r="D332" s="38" t="str"/>
      <x:c r="E332" s="39"/>
      <x:c r="F332" s="38" t="str"/>
    </x:row>
    <x:row r="333">
      <x:c r="A333" s="46"/>
      <x:c r="B333" s="38" t="str"/>
      <x:c r="C333" s="38" t="str"/>
      <x:c r="D333" s="38" t="str"/>
      <x:c r="E333" s="39"/>
      <x:c r="F333" s="38" t="str"/>
    </x:row>
    <x:row r="334">
      <x:c r="A334" s="46"/>
      <x:c r="B334" s="38" t="str"/>
      <x:c r="C334" s="38" t="str"/>
      <x:c r="D334" s="38" t="str"/>
      <x:c r="E334" s="39"/>
      <x:c r="F334" s="38" t="str"/>
    </x:row>
    <x:row r="335">
      <x:c r="A335" s="46"/>
      <x:c r="B335" s="38" t="str"/>
      <x:c r="C335" s="38" t="str"/>
      <x:c r="D335" s="38" t="str"/>
      <x:c r="E335" s="39"/>
      <x:c r="F335" s="38" t="str"/>
    </x:row>
    <x:row r="336">
      <x:c r="A336" s="46"/>
      <x:c r="B336" s="38" t="str"/>
      <x:c r="C336" s="38" t="str"/>
      <x:c r="D336" s="38" t="str"/>
      <x:c r="E336" s="39"/>
      <x:c r="F336" s="38" t="str"/>
    </x:row>
    <x:row r="337">
      <x:c r="A337" s="46"/>
      <x:c r="B337" s="38" t="str"/>
      <x:c r="C337" s="38" t="str"/>
      <x:c r="D337" s="38" t="str"/>
      <x:c r="E337" s="39"/>
      <x:c r="F337" s="38" t="str"/>
    </x:row>
    <x:row r="338">
      <x:c r="A338" s="46"/>
      <x:c r="B338" s="38" t="str"/>
      <x:c r="C338" s="38" t="str"/>
      <x:c r="D338" s="38" t="str"/>
      <x:c r="E338" s="39"/>
      <x:c r="F338" s="38" t="str"/>
    </x:row>
    <x:row r="339">
      <x:c r="A339" s="46"/>
      <x:c r="B339" s="38" t="str"/>
      <x:c r="C339" s="38" t="str"/>
      <x:c r="D339" s="38" t="str"/>
      <x:c r="E339" s="39"/>
      <x:c r="F339" s="38" t="str"/>
    </x:row>
    <x:row r="340">
      <x:c r="A340" s="46"/>
      <x:c r="B340" s="38" t="str"/>
      <x:c r="C340" s="38" t="str"/>
      <x:c r="D340" s="38" t="str"/>
      <x:c r="E340" s="39"/>
      <x:c r="F340" s="38" t="str"/>
    </x:row>
    <x:row r="341">
      <x:c r="A341" s="46"/>
      <x:c r="B341" s="38" t="str"/>
      <x:c r="C341" s="38" t="str"/>
      <x:c r="D341" s="38" t="str"/>
      <x:c r="E341" s="39"/>
      <x:c r="F341" s="38" t="str"/>
    </x:row>
    <x:row r="342">
      <x:c r="A342" s="46"/>
      <x:c r="B342" s="38" t="str"/>
      <x:c r="C342" s="38" t="str"/>
      <x:c r="D342" s="38" t="str"/>
      <x:c r="E342" s="39"/>
      <x:c r="F342" s="38" t="str"/>
    </x:row>
    <x:row r="343">
      <x:c r="A343" s="46"/>
      <x:c r="B343" s="38" t="str"/>
      <x:c r="C343" s="38" t="str"/>
      <x:c r="D343" s="38" t="str"/>
      <x:c r="E343" s="39"/>
      <x:c r="F343" s="38" t="str"/>
    </x:row>
    <x:row r="344">
      <x:c r="A344" s="46"/>
      <x:c r="B344" s="38" t="str"/>
      <x:c r="C344" s="38" t="str"/>
      <x:c r="D344" s="38" t="str"/>
      <x:c r="E344" s="39"/>
      <x:c r="F344" s="38" t="str"/>
    </x:row>
    <x:row r="345">
      <x:c r="A345" s="46"/>
      <x:c r="B345" s="38" t="str"/>
      <x:c r="C345" s="38" t="str"/>
      <x:c r="D345" s="38" t="str"/>
      <x:c r="E345" s="39"/>
      <x:c r="F345" s="38" t="str"/>
    </x:row>
    <x:row r="346">
      <x:c r="A346" s="46"/>
      <x:c r="B346" s="38" t="str"/>
      <x:c r="C346" s="38" t="str"/>
      <x:c r="D346" s="38" t="str"/>
      <x:c r="E346" s="39"/>
      <x:c r="F346" s="38" t="str"/>
    </x:row>
    <x:row r="347">
      <x:c r="A347" s="46"/>
      <x:c r="B347" s="38" t="str"/>
      <x:c r="C347" s="38" t="str"/>
      <x:c r="D347" s="38" t="str"/>
      <x:c r="E347" s="39"/>
      <x:c r="F347" s="38" t="str"/>
    </x:row>
    <x:row r="348">
      <x:c r="A348" s="46"/>
      <x:c r="B348" s="38" t="str"/>
      <x:c r="C348" s="38" t="str"/>
      <x:c r="D348" s="38" t="str"/>
      <x:c r="E348" s="39"/>
      <x:c r="F348" s="38" t="str"/>
    </x:row>
    <x:row r="349">
      <x:c r="A349" s="46"/>
      <x:c r="B349" s="38" t="str"/>
      <x:c r="C349" s="38" t="str"/>
      <x:c r="D349" s="38" t="str"/>
      <x:c r="E349" s="39"/>
      <x:c r="F349" s="38" t="str"/>
    </x:row>
    <x:row r="350">
      <x:c r="A350" s="46"/>
      <x:c r="B350" s="38" t="str"/>
      <x:c r="C350" s="38" t="str"/>
      <x:c r="D350" s="38" t="str"/>
      <x:c r="E350" s="39"/>
      <x:c r="F350" s="38" t="str"/>
    </x:row>
    <x:row r="351">
      <x:c r="A351" s="46"/>
      <x:c r="B351" s="38" t="str"/>
      <x:c r="C351" s="38" t="str"/>
      <x:c r="D351" s="38" t="str"/>
      <x:c r="E351" s="39"/>
      <x:c r="F351" s="38" t="str"/>
    </x:row>
    <x:row r="352">
      <x:c r="A352" s="46"/>
      <x:c r="B352" s="38" t="str"/>
      <x:c r="C352" s="38" t="str"/>
      <x:c r="D352" s="38" t="str"/>
      <x:c r="E352" s="39"/>
      <x:c r="F352" s="38" t="str"/>
    </x:row>
    <x:row r="353">
      <x:c r="A353" s="46"/>
      <x:c r="B353" s="38" t="str"/>
      <x:c r="C353" s="38" t="str"/>
      <x:c r="D353" s="38" t="str"/>
      <x:c r="E353" s="39"/>
      <x:c r="F353" s="38" t="str"/>
    </x:row>
    <x:row r="354">
      <x:c r="A354" s="46"/>
      <x:c r="B354" s="38" t="str"/>
      <x:c r="C354" s="38" t="str"/>
      <x:c r="D354" s="38" t="str"/>
      <x:c r="E354" s="39"/>
      <x:c r="F354" s="38" t="str"/>
    </x:row>
    <x:row r="355">
      <x:c r="A355" s="46"/>
      <x:c r="B355" s="38" t="str"/>
      <x:c r="C355" s="38" t="str"/>
      <x:c r="D355" s="38" t="str"/>
      <x:c r="E355" s="39"/>
      <x:c r="F355" s="38" t="str"/>
    </x:row>
    <x:row r="356">
      <x:c r="A356" s="46"/>
      <x:c r="B356" s="38" t="str"/>
      <x:c r="C356" s="38" t="str"/>
      <x:c r="D356" s="38" t="str"/>
      <x:c r="E356" s="39"/>
      <x:c r="F356" s="38" t="str"/>
    </x:row>
    <x:row r="357">
      <x:c r="A357" s="46"/>
      <x:c r="B357" s="38" t="str"/>
      <x:c r="C357" s="38" t="str"/>
      <x:c r="D357" s="38" t="str"/>
      <x:c r="E357" s="39"/>
      <x:c r="F357" s="38" t="str"/>
    </x:row>
    <x:row r="358">
      <x:c r="A358" s="46"/>
      <x:c r="B358" s="38" t="str"/>
      <x:c r="C358" s="38" t="str"/>
      <x:c r="D358" s="38" t="str"/>
      <x:c r="E358" s="39"/>
      <x:c r="F358" s="38" t="str"/>
    </x:row>
    <x:row r="359">
      <x:c r="A359" s="46"/>
      <x:c r="B359" s="38" t="str"/>
      <x:c r="C359" s="38" t="str"/>
      <x:c r="D359" s="38" t="str"/>
      <x:c r="E359" s="39"/>
      <x:c r="F359" s="38" t="str"/>
    </x:row>
    <x:row r="360">
      <x:c r="A360" s="46"/>
      <x:c r="B360" s="38" t="str"/>
      <x:c r="C360" s="38" t="str"/>
      <x:c r="D360" s="38" t="str"/>
      <x:c r="E360" s="39"/>
      <x:c r="F360" s="38" t="str"/>
    </x:row>
    <x:row r="361">
      <x:c r="A361" s="46"/>
      <x:c r="B361" s="38" t="str"/>
      <x:c r="C361" s="38" t="str"/>
      <x:c r="D361" s="38" t="str"/>
      <x:c r="E361" s="39"/>
      <x:c r="F361" s="38" t="str"/>
    </x:row>
    <x:row r="362">
      <x:c r="A362" s="46"/>
      <x:c r="B362" s="38" t="str"/>
      <x:c r="C362" s="38" t="str"/>
      <x:c r="D362" s="38" t="str"/>
      <x:c r="E362" s="39"/>
      <x:c r="F362" s="38" t="str"/>
    </x:row>
    <x:row r="363">
      <x:c r="A363" s="46"/>
      <x:c r="B363" s="38" t="str"/>
      <x:c r="C363" s="38" t="str"/>
      <x:c r="D363" s="38" t="str"/>
      <x:c r="E363" s="39"/>
      <x:c r="F363" s="38" t="str"/>
    </x:row>
    <x:row r="364">
      <x:c r="A364" s="46"/>
      <x:c r="B364" s="38" t="str"/>
      <x:c r="C364" s="38" t="str"/>
      <x:c r="D364" s="38" t="str"/>
      <x:c r="E364" s="39"/>
      <x:c r="F364" s="38" t="str"/>
    </x:row>
    <x:row r="365">
      <x:c r="A365" s="46"/>
      <x:c r="B365" s="38" t="str"/>
      <x:c r="C365" s="38" t="str"/>
      <x:c r="D365" s="38" t="str"/>
      <x:c r="E365" s="39"/>
      <x:c r="F365" s="38" t="str"/>
    </x:row>
    <x:row r="366">
      <x:c r="A366" s="46"/>
      <x:c r="B366" s="38" t="str"/>
      <x:c r="C366" s="38" t="str"/>
      <x:c r="D366" s="38" t="str"/>
      <x:c r="E366" s="39"/>
      <x:c r="F366" s="38" t="str"/>
    </x:row>
    <x:row r="367">
      <x:c r="A367" s="46"/>
      <x:c r="B367" s="38" t="str"/>
      <x:c r="C367" s="38" t="str"/>
      <x:c r="D367" s="38" t="str"/>
      <x:c r="E367" s="39"/>
      <x:c r="F367" s="38" t="str"/>
    </x:row>
    <x:row r="368">
      <x:c r="A368" s="46"/>
      <x:c r="B368" s="38" t="str"/>
      <x:c r="C368" s="38" t="str"/>
      <x:c r="D368" s="38" t="str"/>
      <x:c r="E368" s="39"/>
      <x:c r="F368" s="38" t="str"/>
    </x:row>
    <x:row r="369">
      <x:c r="A369" s="46"/>
      <x:c r="B369" s="38" t="str"/>
      <x:c r="C369" s="38" t="str"/>
      <x:c r="D369" s="38" t="str"/>
      <x:c r="E369" s="39"/>
      <x:c r="F369" s="38" t="str"/>
    </x:row>
    <x:row r="370">
      <x:c r="A370" s="46"/>
      <x:c r="B370" s="38" t="str"/>
      <x:c r="C370" s="38" t="str"/>
      <x:c r="D370" s="38" t="str"/>
      <x:c r="E370" s="39"/>
      <x:c r="F370" s="38" t="str"/>
    </x:row>
    <x:row r="371">
      <x:c r="A371" s="46"/>
      <x:c r="B371" s="38" t="str"/>
      <x:c r="C371" s="38" t="str"/>
      <x:c r="D371" s="38" t="str"/>
      <x:c r="E371" s="39"/>
      <x:c r="F371" s="38" t="str"/>
    </x:row>
    <x:row r="372">
      <x:c r="A372" s="46"/>
      <x:c r="B372" s="38" t="str"/>
      <x:c r="C372" s="38" t="str"/>
      <x:c r="D372" s="38" t="str"/>
      <x:c r="E372" s="39"/>
      <x:c r="F372" s="38" t="str"/>
    </x:row>
    <x:row r="373">
      <x:c r="A373" s="46"/>
      <x:c r="B373" s="38" t="str"/>
      <x:c r="C373" s="38" t="str"/>
      <x:c r="D373" s="38" t="str"/>
      <x:c r="E373" s="39"/>
      <x:c r="F373" s="38" t="str"/>
    </x:row>
    <x:row r="374">
      <x:c r="A374" s="46"/>
      <x:c r="B374" s="38" t="str"/>
      <x:c r="C374" s="38" t="str"/>
      <x:c r="D374" s="38" t="str"/>
      <x:c r="E374" s="39"/>
      <x:c r="F374" s="38" t="str"/>
    </x:row>
    <x:row r="375">
      <x:c r="A375" s="46"/>
      <x:c r="B375" s="38" t="str"/>
      <x:c r="C375" s="38" t="str"/>
      <x:c r="D375" s="38" t="str"/>
      <x:c r="E375" s="39"/>
      <x:c r="F375" s="38" t="str"/>
    </x:row>
    <x:row r="376">
      <x:c r="A376" s="46"/>
      <x:c r="B376" s="38" t="str"/>
      <x:c r="C376" s="38" t="str"/>
      <x:c r="D376" s="38" t="str"/>
      <x:c r="E376" s="39"/>
      <x:c r="F376" s="38" t="str"/>
    </x:row>
    <x:row r="377">
      <x:c r="A377" s="46"/>
      <x:c r="B377" s="38" t="str"/>
      <x:c r="C377" s="38" t="str"/>
      <x:c r="D377" s="38" t="str"/>
      <x:c r="E377" s="39"/>
      <x:c r="F377" s="38" t="str"/>
    </x:row>
    <x:row r="378">
      <x:c r="A378" s="46"/>
      <x:c r="B378" s="38" t="str"/>
      <x:c r="C378" s="38" t="str"/>
      <x:c r="D378" s="38" t="str"/>
      <x:c r="E378" s="39"/>
      <x:c r="F378" s="38" t="str"/>
    </x:row>
    <x:row r="379">
      <x:c r="A379" s="46"/>
      <x:c r="B379" s="38" t="str"/>
      <x:c r="C379" s="38" t="str"/>
      <x:c r="D379" s="38" t="str"/>
      <x:c r="E379" s="39"/>
      <x:c r="F379" s="38" t="str"/>
    </x:row>
    <x:row r="380">
      <x:c r="A380" s="46"/>
      <x:c r="B380" s="38" t="str"/>
      <x:c r="C380" s="38" t="str"/>
      <x:c r="D380" s="38" t="str"/>
      <x:c r="E380" s="39"/>
      <x:c r="F380" s="38" t="str"/>
    </x:row>
    <x:row r="381">
      <x:c r="A381" s="46"/>
      <x:c r="B381" s="38" t="str"/>
      <x:c r="C381" s="38" t="str"/>
      <x:c r="D381" s="38" t="str"/>
      <x:c r="E381" s="39"/>
      <x:c r="F381" s="38" t="str"/>
    </x:row>
    <x:row r="382">
      <x:c r="A382" s="46"/>
      <x:c r="B382" s="38" t="str"/>
      <x:c r="C382" s="38" t="str"/>
      <x:c r="D382" s="38" t="str"/>
      <x:c r="E382" s="39"/>
      <x:c r="F382" s="38" t="str"/>
    </x:row>
    <x:row r="383">
      <x:c r="A383" s="46"/>
      <x:c r="B383" s="38" t="str"/>
      <x:c r="C383" s="38" t="str"/>
      <x:c r="D383" s="38" t="str"/>
      <x:c r="E383" s="39"/>
      <x:c r="F383" s="38" t="str"/>
    </x:row>
    <x:row r="384">
      <x:c r="A384" s="46"/>
      <x:c r="B384" s="38" t="str"/>
      <x:c r="C384" s="38" t="str"/>
      <x:c r="D384" s="38" t="str"/>
      <x:c r="E384" s="39"/>
      <x:c r="F384" s="38" t="str"/>
    </x:row>
    <x:row r="385">
      <x:c r="A385" s="46"/>
      <x:c r="B385" s="38" t="str"/>
      <x:c r="C385" s="38" t="str"/>
      <x:c r="D385" s="38" t="str"/>
      <x:c r="E385" s="39"/>
      <x:c r="F385" s="38" t="str"/>
    </x:row>
    <x:row r="386">
      <x:c r="A386" s="46"/>
      <x:c r="B386" s="38" t="str"/>
      <x:c r="C386" s="38" t="str"/>
      <x:c r="D386" s="38" t="str"/>
      <x:c r="E386" s="39"/>
      <x:c r="F386" s="38" t="str"/>
    </x:row>
    <x:row r="387">
      <x:c r="A387" s="46"/>
      <x:c r="B387" s="38" t="str"/>
      <x:c r="C387" s="38" t="str"/>
      <x:c r="D387" s="38" t="str"/>
      <x:c r="E387" s="39"/>
      <x:c r="F387" s="38" t="str"/>
    </x:row>
    <x:row r="388">
      <x:c r="A388" s="46"/>
      <x:c r="B388" s="38" t="str"/>
      <x:c r="C388" s="38" t="str"/>
      <x:c r="D388" s="38" t="str"/>
      <x:c r="E388" s="39"/>
      <x:c r="F388" s="38" t="str"/>
    </x:row>
    <x:row r="389">
      <x:c r="A389" s="46"/>
      <x:c r="B389" s="38" t="str"/>
      <x:c r="C389" s="38" t="str"/>
      <x:c r="D389" s="38" t="str"/>
      <x:c r="E389" s="39"/>
      <x:c r="F389" s="38" t="str"/>
    </x:row>
    <x:row r="390">
      <x:c r="A390" s="46"/>
      <x:c r="B390" s="38" t="str"/>
      <x:c r="C390" s="38" t="str"/>
      <x:c r="D390" s="38" t="str"/>
      <x:c r="E390" s="39"/>
      <x:c r="F390" s="38" t="str"/>
    </x:row>
    <x:row r="391">
      <x:c r="A391" s="46"/>
      <x:c r="B391" s="38" t="str"/>
      <x:c r="C391" s="38" t="str"/>
      <x:c r="D391" s="38" t="str"/>
      <x:c r="E391" s="39"/>
      <x:c r="F391" s="38" t="str"/>
    </x:row>
    <x:row r="392">
      <x:c r="A392" s="46"/>
      <x:c r="B392" s="38" t="str"/>
      <x:c r="C392" s="38" t="str"/>
      <x:c r="D392" s="38" t="str"/>
      <x:c r="E392" s="39"/>
      <x:c r="F392" s="38" t="str"/>
    </x:row>
    <x:row r="393">
      <x:c r="A393" s="46"/>
      <x:c r="B393" s="38" t="str"/>
      <x:c r="C393" s="38" t="str"/>
      <x:c r="D393" s="38" t="str"/>
      <x:c r="E393" s="39"/>
      <x:c r="F393" s="38" t="str"/>
    </x:row>
    <x:row r="394">
      <x:c r="A394" s="46"/>
      <x:c r="B394" s="38" t="str"/>
      <x:c r="C394" s="38" t="str"/>
      <x:c r="D394" s="38" t="str"/>
      <x:c r="E394" s="39"/>
      <x:c r="F394" s="38" t="str"/>
    </x:row>
    <x:row r="395">
      <x:c r="A395" s="46"/>
      <x:c r="B395" s="38" t="str"/>
      <x:c r="C395" s="38" t="str"/>
      <x:c r="D395" s="38" t="str"/>
      <x:c r="E395" s="39"/>
      <x:c r="F395" s="38" t="str"/>
    </x:row>
    <x:row r="396">
      <x:c r="A396" s="46"/>
      <x:c r="B396" s="38" t="str"/>
      <x:c r="C396" s="38" t="str"/>
      <x:c r="D396" s="38" t="str"/>
      <x:c r="E396" s="39"/>
      <x:c r="F396" s="38" t="str"/>
    </x:row>
    <x:row r="397">
      <x:c r="A397" s="46"/>
      <x:c r="B397" s="38" t="str"/>
      <x:c r="C397" s="38" t="str"/>
      <x:c r="D397" s="38" t="str"/>
      <x:c r="E397" s="39"/>
      <x:c r="F397" s="38" t="str"/>
    </x:row>
    <x:row r="398">
      <x:c r="A398" s="46"/>
      <x:c r="B398" s="38" t="str"/>
      <x:c r="C398" s="38" t="str"/>
      <x:c r="D398" s="38" t="str"/>
      <x:c r="E398" s="39"/>
      <x:c r="F398" s="38" t="str"/>
    </x:row>
    <x:row r="399">
      <x:c r="A399" s="46"/>
      <x:c r="B399" s="38" t="str"/>
      <x:c r="C399" s="38" t="str"/>
      <x:c r="D399" s="38" t="str"/>
      <x:c r="E399" s="39"/>
      <x:c r="F399" s="38" t="str"/>
    </x:row>
    <x:row r="400">
      <x:c r="A400" s="46"/>
      <x:c r="B400" s="38" t="str"/>
      <x:c r="C400" s="38" t="str"/>
      <x:c r="D400" s="38" t="str"/>
      <x:c r="E400" s="39"/>
      <x:c r="F400" s="38" t="str"/>
    </x:row>
    <x:row r="401">
      <x:c r="A401" s="46"/>
      <x:c r="B401" s="38" t="str"/>
      <x:c r="C401" s="38" t="str"/>
      <x:c r="D401" s="38" t="str"/>
      <x:c r="E401" s="39"/>
      <x:c r="F401" s="38" t="str"/>
    </x:row>
    <x:row r="402">
      <x:c r="A402" s="46"/>
      <x:c r="B402" s="38" t="str"/>
      <x:c r="C402" s="38" t="str"/>
      <x:c r="D402" s="38" t="str"/>
      <x:c r="E402" s="39"/>
      <x:c r="F402" s="38" t="str"/>
    </x:row>
    <x:row r="403">
      <x:c r="A403" s="46"/>
      <x:c r="B403" s="38" t="str"/>
      <x:c r="C403" s="38" t="str"/>
      <x:c r="D403" s="38" t="str"/>
      <x:c r="E403" s="39"/>
      <x:c r="F403" s="38" t="str"/>
    </x:row>
    <x:row r="404">
      <x:c r="A404" s="46"/>
      <x:c r="B404" s="38" t="str"/>
      <x:c r="C404" s="38" t="str"/>
      <x:c r="D404" s="38" t="str"/>
      <x:c r="E404" s="39"/>
      <x:c r="F404" s="38" t="str"/>
    </x:row>
    <x:row r="405">
      <x:c r="A405" s="46"/>
      <x:c r="B405" s="38" t="str"/>
      <x:c r="C405" s="38" t="str"/>
      <x:c r="D405" s="38" t="str"/>
      <x:c r="E405" s="39"/>
      <x:c r="F405" s="38" t="str"/>
    </x:row>
    <x:row r="406">
      <x:c r="A406" s="46"/>
      <x:c r="B406" s="38" t="str"/>
      <x:c r="C406" s="38" t="str"/>
      <x:c r="D406" s="38" t="str"/>
      <x:c r="E406" s="39"/>
      <x:c r="F406" s="38" t="str"/>
    </x:row>
    <x:row r="407">
      <x:c r="A407" s="46"/>
      <x:c r="B407" s="38" t="str"/>
      <x:c r="C407" s="38" t="str"/>
      <x:c r="D407" s="38" t="str"/>
      <x:c r="E407" s="39"/>
      <x:c r="F407" s="38" t="str"/>
    </x:row>
    <x:row r="408">
      <x:c r="A408" s="46"/>
      <x:c r="B408" s="38" t="str"/>
      <x:c r="C408" s="38" t="str"/>
      <x:c r="D408" s="38" t="str"/>
      <x:c r="E408" s="39"/>
      <x:c r="F408" s="38" t="str"/>
    </x:row>
    <x:row r="409">
      <x:c r="A409" s="46"/>
      <x:c r="B409" s="38" t="str"/>
      <x:c r="C409" s="38" t="str"/>
      <x:c r="D409" s="38" t="str"/>
      <x:c r="E409" s="39"/>
      <x:c r="F409" s="38" t="str"/>
    </x:row>
    <x:row r="410">
      <x:c r="A410" s="46"/>
      <x:c r="B410" s="38" t="str"/>
      <x:c r="C410" s="38" t="str"/>
      <x:c r="D410" s="38" t="str"/>
      <x:c r="E410" s="39"/>
      <x:c r="F410" s="38" t="str"/>
    </x:row>
    <x:row r="411">
      <x:c r="A411" s="46"/>
      <x:c r="B411" s="38" t="str"/>
      <x:c r="C411" s="38" t="str"/>
      <x:c r="D411" s="38" t="str"/>
      <x:c r="E411" s="39"/>
      <x:c r="F411" s="38" t="str"/>
    </x:row>
    <x:row r="412">
      <x:c r="A412" s="46"/>
      <x:c r="B412" s="38" t="str"/>
      <x:c r="C412" s="38" t="str"/>
      <x:c r="D412" s="38" t="str"/>
      <x:c r="E412" s="39"/>
      <x:c r="F412" s="38" t="str"/>
    </x:row>
    <x:row r="413">
      <x:c r="A413" s="46"/>
      <x:c r="B413" s="38" t="str"/>
      <x:c r="C413" s="38" t="str"/>
      <x:c r="D413" s="38" t="str"/>
      <x:c r="E413" s="39"/>
      <x:c r="F413" s="38" t="str"/>
    </x:row>
    <x:row r="414">
      <x:c r="A414" s="46"/>
      <x:c r="B414" s="38" t="str"/>
      <x:c r="C414" s="38" t="str"/>
      <x:c r="D414" s="38" t="str"/>
      <x:c r="E414" s="39"/>
      <x:c r="F414" s="38" t="str"/>
    </x:row>
    <x:row r="415">
      <x:c r="A415" s="46"/>
      <x:c r="B415" s="38" t="str"/>
      <x:c r="C415" s="38" t="str"/>
      <x:c r="D415" s="38" t="str"/>
      <x:c r="E415" s="39"/>
      <x:c r="F415" s="38" t="str"/>
    </x:row>
    <x:row r="416">
      <x:c r="A416" s="46"/>
      <x:c r="B416" s="38" t="str"/>
      <x:c r="C416" s="38" t="str"/>
      <x:c r="D416" s="38" t="str"/>
      <x:c r="E416" s="39"/>
      <x:c r="F416" s="38" t="str"/>
    </x:row>
    <x:row r="417">
      <x:c r="A417" s="46"/>
      <x:c r="B417" s="38" t="str"/>
      <x:c r="C417" s="38" t="str"/>
      <x:c r="D417" s="38" t="str"/>
      <x:c r="E417" s="39"/>
      <x:c r="F417" s="38" t="str"/>
    </x:row>
    <x:row r="418">
      <x:c r="A418" s="46"/>
      <x:c r="B418" s="38" t="str"/>
      <x:c r="C418" s="38" t="str"/>
      <x:c r="D418" s="38" t="str"/>
      <x:c r="E418" s="39"/>
      <x:c r="F418" s="38" t="str"/>
    </x:row>
    <x:row r="419">
      <x:c r="A419" s="46"/>
      <x:c r="B419" s="38" t="str"/>
      <x:c r="C419" s="38" t="str"/>
      <x:c r="D419" s="38" t="str"/>
      <x:c r="E419" s="39"/>
      <x:c r="F419" s="38" t="str"/>
    </x:row>
    <x:row r="420">
      <x:c r="A420" s="46"/>
      <x:c r="B420" s="38" t="str"/>
      <x:c r="C420" s="38" t="str"/>
      <x:c r="D420" s="38" t="str"/>
      <x:c r="E420" s="39"/>
      <x:c r="F420" s="38" t="str"/>
    </x:row>
    <x:row r="421">
      <x:c r="A421" s="46"/>
      <x:c r="B421" s="38" t="str"/>
      <x:c r="C421" s="38" t="str"/>
      <x:c r="D421" s="38" t="str"/>
      <x:c r="E421" s="39"/>
      <x:c r="F421" s="38" t="str"/>
    </x:row>
    <x:row r="422">
      <x:c r="A422" s="46"/>
      <x:c r="B422" s="38" t="str"/>
      <x:c r="C422" s="38" t="str"/>
      <x:c r="D422" s="38" t="str"/>
      <x:c r="E422" s="39"/>
      <x:c r="F422" s="38" t="str"/>
    </x:row>
    <x:row r="423">
      <x:c r="A423" s="46"/>
      <x:c r="B423" s="38" t="str"/>
      <x:c r="C423" s="38" t="str"/>
      <x:c r="D423" s="38" t="str"/>
      <x:c r="E423" s="39"/>
      <x:c r="F423" s="38" t="str"/>
    </x:row>
    <x:row r="424">
      <x:c r="A424" s="46"/>
      <x:c r="B424" s="38" t="str"/>
      <x:c r="C424" s="38" t="str"/>
      <x:c r="D424" s="38" t="str"/>
      <x:c r="E424" s="39"/>
      <x:c r="F424" s="38" t="str"/>
    </x:row>
    <x:row r="425">
      <x:c r="A425" s="46"/>
      <x:c r="B425" s="38" t="str"/>
      <x:c r="C425" s="38" t="str"/>
      <x:c r="D425" s="38" t="str"/>
      <x:c r="E425" s="39"/>
      <x:c r="F425" s="38" t="str"/>
    </x:row>
    <x:row r="426">
      <x:c r="A426" s="46"/>
      <x:c r="B426" s="38" t="str"/>
      <x:c r="C426" s="38" t="str"/>
      <x:c r="D426" s="38" t="str"/>
      <x:c r="E426" s="39"/>
      <x:c r="F426" s="38" t="str"/>
    </x:row>
    <x:row r="427">
      <x:c r="A427" s="46"/>
      <x:c r="B427" s="38" t="str"/>
      <x:c r="C427" s="38" t="str"/>
      <x:c r="D427" s="38" t="str"/>
      <x:c r="E427" s="39"/>
      <x:c r="F427" s="38" t="str"/>
    </x:row>
    <x:row r="428">
      <x:c r="A428" s="46"/>
      <x:c r="B428" s="38" t="str"/>
      <x:c r="C428" s="38" t="str"/>
      <x:c r="D428" s="38" t="str"/>
      <x:c r="E428" s="39"/>
      <x:c r="F428" s="38" t="str"/>
    </x:row>
    <x:row r="429">
      <x:c r="A429" s="46"/>
      <x:c r="B429" s="38" t="str"/>
      <x:c r="C429" s="38" t="str"/>
      <x:c r="D429" s="38" t="str"/>
      <x:c r="E429" s="39"/>
      <x:c r="F429" s="38" t="str"/>
    </x:row>
    <x:row r="430">
      <x:c r="A430" s="46"/>
      <x:c r="B430" s="38" t="str"/>
      <x:c r="C430" s="38" t="str"/>
      <x:c r="D430" s="38" t="str"/>
      <x:c r="E430" s="39"/>
      <x:c r="F430" s="38" t="str"/>
    </x:row>
    <x:row r="431">
      <x:c r="A431" s="46"/>
      <x:c r="B431" s="38" t="str"/>
      <x:c r="C431" s="38" t="str"/>
      <x:c r="D431" s="38" t="str"/>
      <x:c r="E431" s="39"/>
      <x:c r="F431" s="38" t="str"/>
    </x:row>
    <x:row r="432">
      <x:c r="A432" s="46"/>
      <x:c r="B432" s="38" t="str"/>
      <x:c r="C432" s="38" t="str"/>
      <x:c r="D432" s="38" t="str"/>
      <x:c r="E432" s="39"/>
      <x:c r="F432" s="38" t="str"/>
    </x:row>
    <x:row r="433">
      <x:c r="A433" s="46"/>
      <x:c r="B433" s="38" t="str"/>
      <x:c r="C433" s="38" t="str"/>
      <x:c r="D433" s="38" t="str"/>
      <x:c r="E433" s="39"/>
      <x:c r="F433" s="38" t="str"/>
    </x:row>
    <x:row r="434">
      <x:c r="A434" s="46"/>
      <x:c r="B434" s="38" t="str"/>
      <x:c r="C434" s="38" t="str"/>
      <x:c r="D434" s="38" t="str"/>
      <x:c r="E434" s="39"/>
      <x:c r="F434" s="38" t="str"/>
    </x:row>
    <x:row r="435">
      <x:c r="A435" s="46"/>
      <x:c r="B435" s="38" t="str"/>
      <x:c r="C435" s="38" t="str"/>
      <x:c r="D435" s="38" t="str"/>
      <x:c r="E435" s="39"/>
      <x:c r="F435" s="38" t="str"/>
    </x:row>
    <x:row r="436">
      <x:c r="A436" s="46"/>
      <x:c r="B436" s="38" t="str"/>
      <x:c r="C436" s="38" t="str"/>
      <x:c r="D436" s="38" t="str"/>
      <x:c r="E436" s="39"/>
      <x:c r="F436" s="38" t="str"/>
    </x:row>
    <x:row r="437">
      <x:c r="A437" s="46"/>
      <x:c r="B437" s="38" t="str"/>
      <x:c r="C437" s="38" t="str"/>
      <x:c r="D437" s="38" t="str"/>
      <x:c r="E437" s="39"/>
      <x:c r="F437" s="38" t="str"/>
    </x:row>
    <x:row r="438">
      <x:c r="A438" s="46"/>
      <x:c r="B438" s="38" t="str"/>
      <x:c r="C438" s="38" t="str"/>
      <x:c r="D438" s="38" t="str"/>
      <x:c r="E438" s="39"/>
      <x:c r="F438" s="38" t="str"/>
    </x:row>
    <x:row r="439">
      <x:c r="A439" s="46"/>
      <x:c r="B439" s="38" t="str"/>
      <x:c r="C439" s="38" t="str"/>
      <x:c r="D439" s="38" t="str"/>
      <x:c r="E439" s="39"/>
      <x:c r="F439" s="38" t="str"/>
    </x:row>
    <x:row r="440">
      <x:c r="A440" s="46"/>
      <x:c r="B440" s="38" t="str"/>
      <x:c r="C440" s="38" t="str"/>
      <x:c r="D440" s="38" t="str"/>
      <x:c r="E440" s="39"/>
      <x:c r="F440" s="38" t="str"/>
    </x:row>
    <x:row r="441">
      <x:c r="A441" s="46"/>
      <x:c r="B441" s="38" t="str"/>
      <x:c r="C441" s="38" t="str"/>
      <x:c r="D441" s="38" t="str"/>
      <x:c r="E441" s="39"/>
      <x:c r="F441" s="38" t="str"/>
    </x:row>
    <x:row r="442">
      <x:c r="A442" s="46"/>
      <x:c r="B442" s="38" t="str"/>
      <x:c r="C442" s="38" t="str"/>
      <x:c r="D442" s="38" t="str"/>
      <x:c r="E442" s="39"/>
      <x:c r="F442" s="38" t="str"/>
    </x:row>
    <x:row r="443">
      <x:c r="A443" s="46"/>
      <x:c r="B443" s="38" t="str"/>
      <x:c r="C443" s="38" t="str"/>
      <x:c r="D443" s="38" t="str"/>
      <x:c r="E443" s="39"/>
      <x:c r="F443" s="38" t="str"/>
    </x:row>
    <x:row r="444">
      <x:c r="A444" s="46"/>
      <x:c r="B444" s="38" t="str"/>
      <x:c r="C444" s="38" t="str"/>
      <x:c r="D444" s="38" t="str"/>
      <x:c r="E444" s="39"/>
      <x:c r="F444" s="38" t="str"/>
    </x:row>
    <x:row r="445">
      <x:c r="A445" s="46"/>
      <x:c r="B445" s="38" t="str"/>
      <x:c r="C445" s="38" t="str"/>
      <x:c r="D445" s="38" t="str"/>
      <x:c r="E445" s="39"/>
      <x:c r="F445" s="38" t="str"/>
    </x:row>
    <x:row r="446">
      <x:c r="A446" s="46"/>
      <x:c r="B446" s="38" t="str"/>
      <x:c r="C446" s="38" t="str"/>
      <x:c r="D446" s="38" t="str"/>
      <x:c r="E446" s="39"/>
      <x:c r="F446" s="38" t="str"/>
    </x:row>
    <x:row r="447">
      <x:c r="A447" s="46"/>
      <x:c r="B447" s="38" t="str"/>
      <x:c r="C447" s="38" t="str"/>
      <x:c r="D447" s="38" t="str"/>
      <x:c r="E447" s="39"/>
      <x:c r="F447" s="38" t="str"/>
    </x:row>
    <x:row r="448">
      <x:c r="A448" s="46"/>
      <x:c r="B448" s="38" t="str"/>
      <x:c r="C448" s="38" t="str"/>
      <x:c r="D448" s="38" t="str"/>
      <x:c r="E448" s="39"/>
      <x:c r="F448" s="38" t="str"/>
    </x:row>
    <x:row r="449">
      <x:c r="A449" s="46"/>
      <x:c r="B449" s="38" t="str"/>
      <x:c r="C449" s="38" t="str"/>
      <x:c r="D449" s="38" t="str"/>
      <x:c r="E449" s="39"/>
      <x:c r="F449" s="38" t="str"/>
    </x:row>
    <x:row r="450">
      <x:c r="A450" s="46"/>
      <x:c r="B450" s="38" t="str"/>
      <x:c r="C450" s="38" t="str"/>
      <x:c r="D450" s="38" t="str"/>
      <x:c r="E450" s="39"/>
      <x:c r="F450" s="38" t="str"/>
    </x:row>
    <x:row r="451">
      <x:c r="A451" s="46"/>
      <x:c r="B451" s="38" t="str"/>
      <x:c r="C451" s="38" t="str"/>
      <x:c r="D451" s="38" t="str"/>
      <x:c r="E451" s="39"/>
      <x:c r="F451" s="38" t="str"/>
    </x:row>
    <x:row r="452">
      <x:c r="A452" s="46"/>
      <x:c r="B452" s="38" t="str"/>
      <x:c r="C452" s="38" t="str"/>
      <x:c r="D452" s="38" t="str"/>
      <x:c r="E452" s="39"/>
      <x:c r="F452" s="38" t="str"/>
    </x:row>
    <x:row r="453">
      <x:c r="A453" s="46"/>
      <x:c r="B453" s="38" t="str"/>
      <x:c r="C453" s="38" t="str"/>
      <x:c r="D453" s="38" t="str"/>
      <x:c r="E453" s="39"/>
      <x:c r="F453" s="38" t="str"/>
    </x:row>
    <x:row r="454">
      <x:c r="A454" s="46"/>
      <x:c r="B454" s="38" t="str"/>
      <x:c r="C454" s="38" t="str"/>
      <x:c r="D454" s="38" t="str"/>
      <x:c r="E454" s="39"/>
      <x:c r="F454" s="38" t="str"/>
    </x:row>
    <x:row r="455">
      <x:c r="A455" s="46"/>
      <x:c r="B455" s="38" t="str"/>
      <x:c r="C455" s="38" t="str"/>
      <x:c r="D455" s="38" t="str"/>
      <x:c r="E455" s="39"/>
      <x:c r="F455" s="38" t="str"/>
    </x:row>
    <x:row r="456">
      <x:c r="A456" s="46"/>
      <x:c r="B456" s="38" t="str"/>
      <x:c r="C456" s="38" t="str"/>
      <x:c r="D456" s="38" t="str"/>
      <x:c r="E456" s="39"/>
      <x:c r="F456" s="38" t="str"/>
    </x:row>
    <x:row r="457">
      <x:c r="A457" s="46"/>
      <x:c r="B457" s="38" t="str"/>
      <x:c r="C457" s="38" t="str"/>
      <x:c r="D457" s="38" t="str"/>
      <x:c r="E457" s="39"/>
      <x:c r="F457" s="38" t="str"/>
    </x:row>
    <x:row r="458">
      <x:c r="A458" s="46"/>
      <x:c r="B458" s="38" t="str"/>
      <x:c r="C458" s="38" t="str"/>
      <x:c r="D458" s="38" t="str"/>
      <x:c r="E458" s="39"/>
      <x:c r="F458" s="38" t="str"/>
    </x:row>
    <x:row r="459">
      <x:c r="A459" s="46"/>
      <x:c r="B459" s="38" t="str"/>
      <x:c r="C459" s="38" t="str"/>
      <x:c r="D459" s="38" t="str"/>
      <x:c r="E459" s="39"/>
      <x:c r="F459" s="38" t="str"/>
    </x:row>
    <x:row r="460">
      <x:c r="A460" s="46"/>
      <x:c r="B460" s="38" t="str"/>
      <x:c r="C460" s="38" t="str"/>
      <x:c r="D460" s="38" t="str"/>
      <x:c r="E460" s="39"/>
      <x:c r="F460" s="38" t="str"/>
    </x:row>
    <x:row r="461">
      <x:c r="A461" s="46"/>
      <x:c r="B461" s="38" t="str"/>
      <x:c r="C461" s="38" t="str"/>
      <x:c r="D461" s="38" t="str"/>
      <x:c r="E461" s="39"/>
      <x:c r="F461" s="38" t="str"/>
    </x:row>
    <x:row r="462">
      <x:c r="A462" s="46"/>
      <x:c r="B462" s="38" t="str"/>
      <x:c r="C462" s="38" t="str"/>
      <x:c r="D462" s="38" t="str"/>
      <x:c r="E462" s="39"/>
      <x:c r="F462" s="38" t="str"/>
    </x:row>
    <x:row r="463">
      <x:c r="A463" s="46"/>
      <x:c r="B463" s="38" t="str"/>
      <x:c r="C463" s="38" t="str"/>
      <x:c r="D463" s="38" t="str"/>
      <x:c r="E463" s="39"/>
      <x:c r="F463" s="38" t="str"/>
    </x:row>
    <x:row r="464">
      <x:c r="A464" s="46"/>
      <x:c r="B464" s="38" t="str"/>
      <x:c r="C464" s="38" t="str"/>
      <x:c r="D464" s="38" t="str"/>
      <x:c r="E464" s="39"/>
      <x:c r="F464" s="38" t="str"/>
    </x:row>
    <x:row r="465">
      <x:c r="A465" s="46"/>
      <x:c r="B465" s="38" t="str"/>
      <x:c r="C465" s="38" t="str"/>
      <x:c r="D465" s="38" t="str"/>
      <x:c r="E465" s="39"/>
      <x:c r="F465" s="38" t="str"/>
    </x:row>
    <x:row r="466">
      <x:c r="A466" s="46"/>
      <x:c r="B466" s="38" t="str"/>
      <x:c r="C466" s="38" t="str"/>
      <x:c r="D466" s="38" t="str"/>
      <x:c r="E466" s="39"/>
      <x:c r="F466" s="38" t="str"/>
    </x:row>
    <x:row r="467">
      <x:c r="A467" s="46"/>
      <x:c r="B467" s="38" t="str"/>
      <x:c r="C467" s="38" t="str"/>
      <x:c r="D467" s="38" t="str"/>
      <x:c r="E467" s="39"/>
      <x:c r="F467" s="38" t="str"/>
    </x:row>
    <x:row r="468">
      <x:c r="A468" s="46"/>
      <x:c r="B468" s="38" t="str"/>
      <x:c r="C468" s="38" t="str"/>
      <x:c r="D468" s="38" t="str"/>
      <x:c r="E468" s="39"/>
      <x:c r="F468" s="38" t="str"/>
    </x:row>
    <x:row r="469">
      <x:c r="A469" s="46"/>
      <x:c r="B469" s="38" t="str"/>
      <x:c r="C469" s="38" t="str"/>
      <x:c r="D469" s="38" t="str"/>
      <x:c r="E469" s="39"/>
      <x:c r="F469" s="38" t="str"/>
    </x:row>
    <x:row r="470">
      <x:c r="A470" s="46"/>
      <x:c r="B470" s="38" t="str"/>
      <x:c r="C470" s="38" t="str"/>
      <x:c r="D470" s="38" t="str"/>
      <x:c r="E470" s="39"/>
      <x:c r="F470" s="38" t="str"/>
    </x:row>
    <x:row r="471">
      <x:c r="A471" s="46"/>
      <x:c r="B471" s="38" t="str"/>
      <x:c r="C471" s="38" t="str"/>
      <x:c r="D471" s="38" t="str"/>
      <x:c r="E471" s="39"/>
      <x:c r="F471" s="38" t="str"/>
    </x:row>
    <x:row r="472">
      <x:c r="A472" s="46"/>
      <x:c r="B472" s="38" t="str"/>
      <x:c r="C472" s="38" t="str"/>
      <x:c r="D472" s="38" t="str"/>
      <x:c r="E472" s="39"/>
      <x:c r="F472" s="38" t="str"/>
    </x:row>
    <x:row r="473">
      <x:c r="A473" s="46"/>
      <x:c r="B473" s="38" t="str"/>
      <x:c r="C473" s="38" t="str"/>
      <x:c r="D473" s="38" t="str"/>
      <x:c r="E473" s="39"/>
      <x:c r="F473" s="38" t="str"/>
    </x:row>
    <x:row r="474">
      <x:c r="A474" s="46"/>
      <x:c r="B474" s="38" t="str"/>
      <x:c r="C474" s="38" t="str"/>
      <x:c r="D474" s="38" t="str"/>
      <x:c r="E474" s="39"/>
      <x:c r="F474" s="38" t="str"/>
    </x:row>
    <x:row r="475">
      <x:c r="A475" s="46"/>
      <x:c r="B475" s="38" t="str"/>
      <x:c r="C475" s="38" t="str"/>
      <x:c r="D475" s="38" t="str"/>
      <x:c r="E475" s="39"/>
      <x:c r="F475" s="38" t="str"/>
    </x:row>
    <x:row r="476">
      <x:c r="A476" s="46"/>
      <x:c r="B476" s="38" t="str"/>
      <x:c r="C476" s="38" t="str"/>
      <x:c r="D476" s="38" t="str"/>
      <x:c r="E476" s="39"/>
      <x:c r="F476" s="38" t="str"/>
    </x:row>
    <x:row r="477">
      <x:c r="A477" s="46"/>
      <x:c r="B477" s="38" t="str"/>
      <x:c r="C477" s="38" t="str"/>
      <x:c r="D477" s="38" t="str"/>
      <x:c r="E477" s="39"/>
      <x:c r="F477" s="38" t="str"/>
    </x:row>
    <x:row r="478">
      <x:c r="A478" s="46"/>
      <x:c r="B478" s="38" t="str"/>
      <x:c r="C478" s="38" t="str"/>
      <x:c r="D478" s="38" t="str"/>
      <x:c r="E478" s="39"/>
      <x:c r="F478" s="38" t="str"/>
    </x:row>
    <x:row r="479">
      <x:c r="A479" s="46"/>
      <x:c r="B479" s="38" t="str"/>
      <x:c r="C479" s="38" t="str"/>
      <x:c r="D479" s="38" t="str"/>
      <x:c r="E479" s="39"/>
      <x:c r="F479" s="38" t="str"/>
    </x:row>
    <x:row r="480">
      <x:c r="A480" s="46"/>
      <x:c r="B480" s="38" t="str"/>
      <x:c r="C480" s="38" t="str"/>
      <x:c r="D480" s="38" t="str"/>
      <x:c r="E480" s="39"/>
      <x:c r="F480" s="38" t="str"/>
    </x:row>
    <x:row r="481">
      <x:c r="A481" s="46"/>
      <x:c r="B481" s="38" t="str"/>
      <x:c r="C481" s="38" t="str"/>
      <x:c r="D481" s="38" t="str"/>
      <x:c r="E481" s="39"/>
      <x:c r="F481" s="38" t="str"/>
    </x:row>
    <x:row r="482">
      <x:c r="A482" s="46"/>
      <x:c r="B482" s="38" t="str"/>
      <x:c r="C482" s="38" t="str"/>
      <x:c r="D482" s="38" t="str"/>
      <x:c r="E482" s="39"/>
      <x:c r="F482" s="38" t="str"/>
    </x:row>
    <x:row r="483">
      <x:c r="A483" s="46"/>
      <x:c r="B483" s="38" t="str"/>
      <x:c r="C483" s="38" t="str"/>
      <x:c r="D483" s="38" t="str"/>
      <x:c r="E483" s="39"/>
      <x:c r="F483" s="38" t="str"/>
    </x:row>
    <x:row r="484">
      <x:c r="A484" s="46"/>
      <x:c r="B484" s="38" t="str"/>
      <x:c r="C484" s="38" t="str"/>
      <x:c r="D484" s="38" t="str"/>
      <x:c r="E484" s="39"/>
      <x:c r="F484" s="38" t="str"/>
    </x:row>
    <x:row r="485">
      <x:c r="A485" s="46"/>
      <x:c r="B485" s="38" t="str"/>
      <x:c r="C485" s="38" t="str"/>
      <x:c r="D485" s="38" t="str"/>
      <x:c r="E485" s="39"/>
      <x:c r="F485" s="38" t="str"/>
    </x:row>
    <x:row r="486">
      <x:c r="A486" s="46"/>
      <x:c r="B486" s="38" t="str"/>
      <x:c r="C486" s="38" t="str"/>
      <x:c r="D486" s="38" t="str"/>
      <x:c r="E486" s="39"/>
      <x:c r="F486" s="38" t="str"/>
    </x:row>
    <x:row r="487">
      <x:c r="A487" s="46"/>
      <x:c r="B487" s="38" t="str"/>
      <x:c r="C487" s="38" t="str"/>
      <x:c r="D487" s="38" t="str"/>
      <x:c r="E487" s="39"/>
      <x:c r="F487" s="38" t="str"/>
    </x:row>
    <x:row r="488">
      <x:c r="A488" s="46"/>
      <x:c r="B488" s="38" t="str"/>
      <x:c r="C488" s="38" t="str"/>
      <x:c r="D488" s="38" t="str"/>
      <x:c r="E488" s="39"/>
      <x:c r="F488" s="38" t="str"/>
    </x:row>
    <x:row r="489">
      <x:c r="A489" s="46"/>
      <x:c r="B489" s="38" t="str"/>
      <x:c r="C489" s="38" t="str"/>
      <x:c r="D489" s="38" t="str"/>
      <x:c r="E489" s="39"/>
      <x:c r="F489" s="38" t="str"/>
    </x:row>
    <x:row r="490">
      <x:c r="A490" s="46"/>
      <x:c r="B490" s="38" t="str"/>
      <x:c r="C490" s="38" t="str"/>
      <x:c r="D490" s="38" t="str"/>
      <x:c r="E490" s="39"/>
      <x:c r="F490" s="38" t="str"/>
    </x:row>
    <x:row r="491">
      <x:c r="A491" s="46"/>
      <x:c r="B491" s="38" t="str"/>
      <x:c r="C491" s="38" t="str"/>
      <x:c r="D491" s="38" t="str"/>
      <x:c r="E491" s="39"/>
      <x:c r="F491" s="38" t="str"/>
    </x:row>
    <x:row r="492">
      <x:c r="A492" s="46"/>
      <x:c r="B492" s="38" t="str"/>
      <x:c r="C492" s="38" t="str"/>
      <x:c r="D492" s="38" t="str"/>
      <x:c r="E492" s="39"/>
      <x:c r="F492" s="38" t="str"/>
    </x:row>
    <x:row r="493">
      <x:c r="A493" s="46"/>
      <x:c r="B493" s="38" t="str"/>
      <x:c r="C493" s="38" t="str"/>
      <x:c r="D493" s="38" t="str"/>
      <x:c r="E493" s="39"/>
      <x:c r="F493" s="38" t="str"/>
    </x:row>
    <x:row r="494">
      <x:c r="A494" s="46"/>
      <x:c r="B494" s="38" t="str"/>
      <x:c r="C494" s="38" t="str"/>
      <x:c r="D494" s="38" t="str"/>
      <x:c r="E494" s="39"/>
      <x:c r="F494" s="38" t="str"/>
    </x:row>
    <x:row r="495">
      <x:c r="A495" s="46"/>
      <x:c r="B495" s="38" t="str"/>
      <x:c r="C495" s="38" t="str"/>
      <x:c r="D495" s="38" t="str"/>
      <x:c r="E495" s="39"/>
      <x:c r="F495" s="38" t="str"/>
    </x:row>
    <x:row r="496">
      <x:c r="A496" s="46"/>
      <x:c r="B496" s="38" t="str"/>
      <x:c r="C496" s="38" t="str"/>
      <x:c r="D496" s="38" t="str"/>
      <x:c r="E496" s="39"/>
      <x:c r="F496" s="38" t="str"/>
    </x:row>
    <x:row r="497">
      <x:c r="A497" s="46"/>
      <x:c r="B497" s="38" t="str"/>
      <x:c r="C497" s="38" t="str"/>
      <x:c r="D497" s="38" t="str"/>
      <x:c r="E497" s="39"/>
      <x:c r="F497" s="38" t="str"/>
    </x:row>
    <x:row r="498">
      <x:c r="A498" s="46"/>
      <x:c r="B498" s="38" t="str"/>
      <x:c r="C498" s="38" t="str"/>
      <x:c r="D498" s="38" t="str"/>
      <x:c r="E498" s="39"/>
      <x:c r="F498" s="38" t="str"/>
    </x:row>
    <x:row r="499">
      <x:c r="A499" s="46"/>
      <x:c r="B499" s="38" t="str"/>
      <x:c r="C499" s="38" t="str"/>
      <x:c r="D499" s="38" t="str"/>
      <x:c r="E499" s="39"/>
      <x:c r="F499" s="38" t="str"/>
    </x:row>
    <x:row r="500">
      <x:c r="A500" s="46"/>
      <x:c r="B500" s="38" t="str"/>
      <x:c r="C500" s="38" t="str"/>
      <x:c r="D500" s="38" t="str"/>
      <x:c r="E500" s="39"/>
      <x:c r="F500" s="38" t="str"/>
    </x:row>
    <x:row r="501">
      <x:c r="A501" s="46"/>
      <x:c r="B501" s="38" t="str"/>
      <x:c r="C501" s="38" t="str"/>
      <x:c r="D501" s="38" t="str"/>
      <x:c r="E501" s="39"/>
      <x:c r="F501" s="38" t="str"/>
    </x:row>
    <x:row r="502">
      <x:c r="A502" s="46"/>
      <x:c r="B502" s="38" t="str"/>
      <x:c r="C502" s="38" t="str"/>
      <x:c r="D502" s="38" t="str"/>
      <x:c r="E502" s="39"/>
      <x:c r="F502" s="38" t="str"/>
    </x:row>
    <x:row r="503">
      <x:c r="A503" s="46"/>
      <x:c r="B503" s="38" t="str"/>
      <x:c r="C503" s="38" t="str"/>
      <x:c r="D503" s="38" t="str"/>
      <x:c r="E503" s="39"/>
      <x:c r="F503" s="38" t="str"/>
    </x:row>
    <x:row r="504">
      <x:c r="A504" s="46"/>
      <x:c r="B504" s="38" t="str"/>
      <x:c r="C504" s="38" t="str"/>
      <x:c r="D504" s="38" t="str"/>
      <x:c r="E504" s="39"/>
      <x:c r="F504" s="38" t="str"/>
    </x:row>
    <x:row r="505">
      <x:c r="A505" s="46"/>
      <x:c r="B505" s="38" t="str"/>
      <x:c r="C505" s="38" t="str"/>
      <x:c r="D505" s="38" t="str"/>
      <x:c r="E505" s="39"/>
      <x:c r="F505" s="38" t="str"/>
    </x:row>
  </x:sheetData>
  <x:mergeCells>
    <x:mergeCell ref="A1:F1"/>
    <x:mergeCell ref="A2:F2"/>
  </x:mergeCells>
  <x:dataValidations count="1">
    <x:dataValidation type="list" sqref="C6:C505">
      <x:formula1>'Configuración'!$A$5:$A$25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1eb27312ce4a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8.1299991607666" hidden="0" customWidth="1"/>
    <x:col min="3" max="3" width="18.1299991607666" hidden="0" customWidth="1"/>
    <x:col min="4" max="4" width="28.75" hidden="0" customWidth="1"/>
    <x:col min="5" max="5" width="13.75" hidden="0" customWidth="1"/>
    <x:col min="6" max="6" width="18.1299991607666" hidden="0" customWidth="1"/>
    <x:col min="7" max="7" width="15" hidden="0" customWidth="1"/>
    <x:col min="8" max="8" width="14.380000114440918" hidden="0" customWidth="1"/>
    <x:col min="9" max="9" width="27.5" hidden="0" customWidth="1"/>
  </x:cols>
  <x:sheetData>
    <x:row r="1" ht="28.5" customHeight="1">
      <x:c r="A1" s="34" t="str">
        <x:v>Registro de Gastos</x:v>
      </x:c>
      <x:c r="B1" s="34" t="str">
        <x:v>Registro de Gastos</x:v>
      </x:c>
      <x:c r="C1" s="34" t="str">
        <x:v>Registro de Gastos</x:v>
      </x:c>
      <x:c r="D1" s="34" t="str">
        <x:v>Registro de Gastos</x:v>
      </x:c>
      <x:c r="E1" s="34" t="str">
        <x:v>Registro de Gastos</x:v>
      </x:c>
      <x:c r="F1" s="34" t="str">
        <x:v>Registro de Gastos</x:v>
      </x:c>
      <x:c r="G1" s="34" t="str">
        <x:v>Registro de Gastos</x:v>
      </x:c>
      <x:c r="H1" s="34" t="str">
        <x:v>Registro de Gastos</x:v>
      </x:c>
      <x:c r="I1" s="34" t="str">
        <x:v>Registro de Gastos</x:v>
      </x:c>
    </x:row>
    <x:row r="2" ht="19.5" customHeight="1">
      <x:c r="A2" s="36" t="str">
        <x:v>Registra gastos pagados y pendientes por categoría, responsable y método de pago.</x:v>
      </x:c>
      <x:c r="B2" s="36" t="str">
        <x:v>Registra gastos pagados y pendientes por categoría, responsable y método de pago.</x:v>
      </x:c>
      <x:c r="C2" s="36" t="str">
        <x:v>Registra gastos pagados y pendientes por categoría, responsable y método de pago.</x:v>
      </x:c>
      <x:c r="D2" s="36" t="str">
        <x:v>Registra gastos pagados y pendientes por categoría, responsable y método de pago.</x:v>
      </x:c>
      <x:c r="E2" s="36" t="str">
        <x:v>Registra gastos pagados y pendientes por categoría, responsable y método de pago.</x:v>
      </x:c>
      <x:c r="F2" s="36" t="str">
        <x:v>Registra gastos pagados y pendientes por categoría, responsable y método de pago.</x:v>
      </x:c>
      <x:c r="G2" s="36" t="str">
        <x:v>Registra gastos pagados y pendientes por categoría, responsable y método de pago.</x:v>
      </x:c>
      <x:c r="H2" s="36" t="str">
        <x:v>Registra gastos pagados y pendientes por categoría, responsable y método de pago.</x:v>
      </x:c>
      <x:c r="I2" s="36" t="str">
        <x:v>Registra gastos pagados y pendientes por categoría, responsable y método de pago.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</x:row>
    <x:row r="5">
      <x:c r="A5" s="37" t="str">
        <x:v>Fecha</x:v>
      </x:c>
      <x:c r="B5" s="37" t="str">
        <x:v>Categoría</x:v>
      </x:c>
      <x:c r="C5" s="37" t="str">
        <x:v>Subcategoría</x:v>
      </x:c>
      <x:c r="D5" s="37" t="str">
        <x:v>Descripción</x:v>
      </x:c>
      <x:c r="E5" s="37" t="str">
        <x:v>Monto</x:v>
      </x:c>
      <x:c r="F5" s="37" t="str">
        <x:v>Método de pago</x:v>
      </x:c>
      <x:c r="G5" s="37" t="str">
        <x:v>Responsable</x:v>
      </x:c>
      <x:c r="H5" s="37" t="str">
        <x:v>Estado</x:v>
      </x:c>
      <x:c r="I5" s="37" t="str">
        <x:v>Observaciones</x:v>
      </x:c>
    </x:row>
    <x:row r="6">
      <x:c r="A6" s="46" t="n">
        <x:v>46175</x:v>
      </x:c>
      <x:c r="B6" s="38" t="str">
        <x:v>Renta/Hipoteca</x:v>
      </x:c>
      <x:c r="C6" s="38" t="str">
        <x:v>Alquiler</x:v>
      </x:c>
      <x:c r="D6" s="38" t="str">
        <x:v>Pago vivienda</x:v>
      </x:c>
      <x:c r="E6" s="39" t="n">
        <x:v>1450</x:v>
      </x:c>
      <x:c r="F6" s="38" t="str">
        <x:v>Transferencia</x:v>
      </x:c>
      <x:c r="G6" s="38" t="str">
        <x:v>Familia</x:v>
      </x:c>
      <x:c r="H6" s="38" t="str">
        <x:v>Pagado</x:v>
      </x:c>
      <x:c r="I6" s="38" t="str"/>
    </x:row>
    <x:row r="7">
      <x:c r="A7" s="46" t="n">
        <x:v>46177</x:v>
      </x:c>
      <x:c r="B7" s="38" t="str">
        <x:v>Mercado</x:v>
      </x:c>
      <x:c r="C7" s="38" t="str">
        <x:v>Supermercado</x:v>
      </x:c>
      <x:c r="D7" s="38" t="str">
        <x:v>Compra semanal</x:v>
      </x:c>
      <x:c r="E7" s="39" t="n">
        <x:v>185</x:v>
      </x:c>
      <x:c r="F7" s="38" t="str">
        <x:v>Débito</x:v>
      </x:c>
      <x:c r="G7" s="38" t="str">
        <x:v>Persona 1</x:v>
      </x:c>
      <x:c r="H7" s="38" t="str">
        <x:v>Pagado</x:v>
      </x:c>
      <x:c r="I7" s="38" t="str"/>
    </x:row>
    <x:row r="8">
      <x:c r="A8" s="46" t="n">
        <x:v>46183</x:v>
      </x:c>
      <x:c r="B8" s="38" t="str">
        <x:v>Electricidad</x:v>
      </x:c>
      <x:c r="C8" s="38" t="str">
        <x:v>Servicios</x:v>
      </x:c>
      <x:c r="D8" s="38" t="str">
        <x:v>Factura eléctrica</x:v>
      </x:c>
      <x:c r="E8" s="39" t="n">
        <x:v>115</x:v>
      </x:c>
      <x:c r="F8" s="38" t="str">
        <x:v>Pago automático</x:v>
      </x:c>
      <x:c r="G8" s="38" t="str">
        <x:v>Familia</x:v>
      </x:c>
      <x:c r="H8" s="38" t="str">
        <x:v>Pendiente</x:v>
      </x:c>
      <x:c r="I8" s="38" t="str"/>
    </x:row>
    <x:row r="9">
      <x:c r="A9" s="46" t="n">
        <x:v>46185</x:v>
      </x:c>
      <x:c r="B9" s="38" t="str">
        <x:v>Transporte</x:v>
      </x:c>
      <x:c r="C9" s="38" t="str">
        <x:v>Transporte público</x:v>
      </x:c>
      <x:c r="D9" s="38" t="str">
        <x:v>Abono mensual</x:v>
      </x:c>
      <x:c r="E9" s="39" t="n">
        <x:v>80</x:v>
      </x:c>
      <x:c r="F9" s="38" t="str">
        <x:v>Débito</x:v>
      </x:c>
      <x:c r="G9" s="38" t="str">
        <x:v>Persona 2</x:v>
      </x:c>
      <x:c r="H9" s="38" t="str">
        <x:v>Pagado</x:v>
      </x:c>
      <x:c r="I9" s="38" t="str"/>
    </x:row>
    <x:row r="10">
      <x:c r="A10" s="46" t="n">
        <x:v>46191</x:v>
      </x:c>
      <x:c r="B10" s="38" t="str">
        <x:v>Suscripciones</x:v>
      </x:c>
      <x:c r="C10" s="38" t="str">
        <x:v>Streaming</x:v>
      </x:c>
      <x:c r="D10" s="38" t="str">
        <x:v>Plataformas</x:v>
      </x:c>
      <x:c r="E10" s="39" t="n">
        <x:v>42</x:v>
      </x:c>
      <x:c r="F10" s="38" t="str">
        <x:v>Crédito</x:v>
      </x:c>
      <x:c r="G10" s="38" t="str">
        <x:v>Familia</x:v>
      </x:c>
      <x:c r="H10" s="38" t="str">
        <x:v>Pendiente</x:v>
      </x:c>
      <x:c r="I10" s="38" t="str"/>
    </x:row>
    <x:row r="11">
      <x:c r="A11" s="46"/>
      <x:c r="B11" s="38" t="str"/>
      <x:c r="C11" s="38" t="str"/>
      <x:c r="D11" s="38" t="str"/>
      <x:c r="E11" s="39"/>
      <x:c r="F11" s="38" t="str"/>
      <x:c r="G11" s="38" t="str"/>
      <x:c r="H11" s="38" t="str"/>
      <x:c r="I11" s="38" t="str"/>
    </x:row>
    <x:row r="12">
      <x:c r="A12" s="46"/>
      <x:c r="B12" s="38" t="str"/>
      <x:c r="C12" s="38" t="str"/>
      <x:c r="D12" s="38" t="str"/>
      <x:c r="E12" s="39"/>
      <x:c r="F12" s="38" t="str"/>
      <x:c r="G12" s="38" t="str"/>
      <x:c r="H12" s="38" t="str"/>
      <x:c r="I12" s="38" t="str"/>
    </x:row>
    <x:row r="13">
      <x:c r="A13" s="46"/>
      <x:c r="B13" s="38" t="str"/>
      <x:c r="C13" s="38" t="str"/>
      <x:c r="D13" s="38" t="str"/>
      <x:c r="E13" s="39"/>
      <x:c r="F13" s="38" t="str"/>
      <x:c r="G13" s="38" t="str"/>
      <x:c r="H13" s="38" t="str"/>
      <x:c r="I13" s="38" t="str"/>
    </x:row>
    <x:row r="14">
      <x:c r="A14" s="46"/>
      <x:c r="B14" s="38" t="str"/>
      <x:c r="C14" s="38" t="str"/>
      <x:c r="D14" s="38" t="str"/>
      <x:c r="E14" s="39"/>
      <x:c r="F14" s="38" t="str"/>
      <x:c r="G14" s="38" t="str"/>
      <x:c r="H14" s="38" t="str"/>
      <x:c r="I14" s="38" t="str"/>
    </x:row>
    <x:row r="15">
      <x:c r="A15" s="46"/>
      <x:c r="B15" s="38" t="str"/>
      <x:c r="C15" s="38" t="str"/>
      <x:c r="D15" s="38" t="str"/>
      <x:c r="E15" s="39"/>
      <x:c r="F15" s="38" t="str"/>
      <x:c r="G15" s="38" t="str"/>
      <x:c r="H15" s="38" t="str"/>
      <x:c r="I15" s="38" t="str"/>
    </x:row>
    <x:row r="16">
      <x:c r="A16" s="46"/>
      <x:c r="B16" s="38" t="str"/>
      <x:c r="C16" s="38" t="str"/>
      <x:c r="D16" s="38" t="str"/>
      <x:c r="E16" s="39"/>
      <x:c r="F16" s="38" t="str"/>
      <x:c r="G16" s="38" t="str"/>
      <x:c r="H16" s="38" t="str"/>
      <x:c r="I16" s="38" t="str"/>
    </x:row>
    <x:row r="17">
      <x:c r="A17" s="46"/>
      <x:c r="B17" s="38" t="str"/>
      <x:c r="C17" s="38" t="str"/>
      <x:c r="D17" s="38" t="str"/>
      <x:c r="E17" s="39"/>
      <x:c r="F17" s="38" t="str"/>
      <x:c r="G17" s="38" t="str"/>
      <x:c r="H17" s="38" t="str"/>
      <x:c r="I17" s="38" t="str"/>
    </x:row>
    <x:row r="18">
      <x:c r="A18" s="46"/>
      <x:c r="B18" s="38" t="str"/>
      <x:c r="C18" s="38" t="str"/>
      <x:c r="D18" s="38" t="str"/>
      <x:c r="E18" s="39"/>
      <x:c r="F18" s="38" t="str"/>
      <x:c r="G18" s="38" t="str"/>
      <x:c r="H18" s="38" t="str"/>
      <x:c r="I18" s="38" t="str"/>
    </x:row>
    <x:row r="19">
      <x:c r="A19" s="46"/>
      <x:c r="B19" s="38" t="str"/>
      <x:c r="C19" s="38" t="str"/>
      <x:c r="D19" s="38" t="str"/>
      <x:c r="E19" s="39"/>
      <x:c r="F19" s="38" t="str"/>
      <x:c r="G19" s="38" t="str"/>
      <x:c r="H19" s="38" t="str"/>
      <x:c r="I19" s="38" t="str"/>
    </x:row>
    <x:row r="20">
      <x:c r="A20" s="46"/>
      <x:c r="B20" s="38" t="str"/>
      <x:c r="C20" s="38" t="str"/>
      <x:c r="D20" s="38" t="str"/>
      <x:c r="E20" s="39"/>
      <x:c r="F20" s="38" t="str"/>
      <x:c r="G20" s="38" t="str"/>
      <x:c r="H20" s="38" t="str"/>
      <x:c r="I20" s="38" t="str"/>
    </x:row>
    <x:row r="21">
      <x:c r="A21" s="46"/>
      <x:c r="B21" s="38" t="str"/>
      <x:c r="C21" s="38" t="str"/>
      <x:c r="D21" s="38" t="str"/>
      <x:c r="E21" s="39"/>
      <x:c r="F21" s="38" t="str"/>
      <x:c r="G21" s="38" t="str"/>
      <x:c r="H21" s="38" t="str"/>
      <x:c r="I21" s="38" t="str"/>
    </x:row>
    <x:row r="22">
      <x:c r="A22" s="46"/>
      <x:c r="B22" s="38" t="str"/>
      <x:c r="C22" s="38" t="str"/>
      <x:c r="D22" s="38" t="str"/>
      <x:c r="E22" s="39"/>
      <x:c r="F22" s="38" t="str"/>
      <x:c r="G22" s="38" t="str"/>
      <x:c r="H22" s="38" t="str"/>
      <x:c r="I22" s="38" t="str"/>
    </x:row>
    <x:row r="23">
      <x:c r="A23" s="46"/>
      <x:c r="B23" s="38" t="str"/>
      <x:c r="C23" s="38" t="str"/>
      <x:c r="D23" s="38" t="str"/>
      <x:c r="E23" s="39"/>
      <x:c r="F23" s="38" t="str"/>
      <x:c r="G23" s="38" t="str"/>
      <x:c r="H23" s="38" t="str"/>
      <x:c r="I23" s="38" t="str"/>
    </x:row>
    <x:row r="24">
      <x:c r="A24" s="46"/>
      <x:c r="B24" s="38" t="str"/>
      <x:c r="C24" s="38" t="str"/>
      <x:c r="D24" s="38" t="str"/>
      <x:c r="E24" s="39"/>
      <x:c r="F24" s="38" t="str"/>
      <x:c r="G24" s="38" t="str"/>
      <x:c r="H24" s="38" t="str"/>
      <x:c r="I24" s="38" t="str"/>
    </x:row>
    <x:row r="25">
      <x:c r="A25" s="46"/>
      <x:c r="B25" s="38" t="str"/>
      <x:c r="C25" s="38" t="str"/>
      <x:c r="D25" s="38" t="str"/>
      <x:c r="E25" s="39"/>
      <x:c r="F25" s="38" t="str"/>
      <x:c r="G25" s="38" t="str"/>
      <x:c r="H25" s="38" t="str"/>
      <x:c r="I25" s="38" t="str"/>
    </x:row>
    <x:row r="26">
      <x:c r="A26" s="46"/>
      <x:c r="B26" s="38" t="str"/>
      <x:c r="C26" s="38" t="str"/>
      <x:c r="D26" s="38" t="str"/>
      <x:c r="E26" s="39"/>
      <x:c r="F26" s="38" t="str"/>
      <x:c r="G26" s="38" t="str"/>
      <x:c r="H26" s="38" t="str"/>
      <x:c r="I26" s="38" t="str"/>
    </x:row>
    <x:row r="27">
      <x:c r="A27" s="46"/>
      <x:c r="B27" s="38" t="str"/>
      <x:c r="C27" s="38" t="str"/>
      <x:c r="D27" s="38" t="str"/>
      <x:c r="E27" s="39"/>
      <x:c r="F27" s="38" t="str"/>
      <x:c r="G27" s="38" t="str"/>
      <x:c r="H27" s="38" t="str"/>
      <x:c r="I27" s="38" t="str"/>
    </x:row>
    <x:row r="28">
      <x:c r="A28" s="46"/>
      <x:c r="B28" s="38" t="str"/>
      <x:c r="C28" s="38" t="str"/>
      <x:c r="D28" s="38" t="str"/>
      <x:c r="E28" s="39"/>
      <x:c r="F28" s="38" t="str"/>
      <x:c r="G28" s="38" t="str"/>
      <x:c r="H28" s="38" t="str"/>
      <x:c r="I28" s="38" t="str"/>
    </x:row>
    <x:row r="29">
      <x:c r="A29" s="46"/>
      <x:c r="B29" s="38" t="str"/>
      <x:c r="C29" s="38" t="str"/>
      <x:c r="D29" s="38" t="str"/>
      <x:c r="E29" s="39"/>
      <x:c r="F29" s="38" t="str"/>
      <x:c r="G29" s="38" t="str"/>
      <x:c r="H29" s="38" t="str"/>
      <x:c r="I29" s="38" t="str"/>
    </x:row>
    <x:row r="30">
      <x:c r="A30" s="46"/>
      <x:c r="B30" s="38" t="str"/>
      <x:c r="C30" s="38" t="str"/>
      <x:c r="D30" s="38" t="str"/>
      <x:c r="E30" s="39"/>
      <x:c r="F30" s="38" t="str"/>
      <x:c r="G30" s="38" t="str"/>
      <x:c r="H30" s="38" t="str"/>
      <x:c r="I30" s="38" t="str"/>
    </x:row>
    <x:row r="31">
      <x:c r="A31" s="46"/>
      <x:c r="B31" s="38" t="str"/>
      <x:c r="C31" s="38" t="str"/>
      <x:c r="D31" s="38" t="str"/>
      <x:c r="E31" s="39"/>
      <x:c r="F31" s="38" t="str"/>
      <x:c r="G31" s="38" t="str"/>
      <x:c r="H31" s="38" t="str"/>
      <x:c r="I31" s="38" t="str"/>
    </x:row>
    <x:row r="32">
      <x:c r="A32" s="46"/>
      <x:c r="B32" s="38" t="str"/>
      <x:c r="C32" s="38" t="str"/>
      <x:c r="D32" s="38" t="str"/>
      <x:c r="E32" s="39"/>
      <x:c r="F32" s="38" t="str"/>
      <x:c r="G32" s="38" t="str"/>
      <x:c r="H32" s="38" t="str"/>
      <x:c r="I32" s="38" t="str"/>
    </x:row>
    <x:row r="33">
      <x:c r="A33" s="46"/>
      <x:c r="B33" s="38" t="str"/>
      <x:c r="C33" s="38" t="str"/>
      <x:c r="D33" s="38" t="str"/>
      <x:c r="E33" s="39"/>
      <x:c r="F33" s="38" t="str"/>
      <x:c r="G33" s="38" t="str"/>
      <x:c r="H33" s="38" t="str"/>
      <x:c r="I33" s="38" t="str"/>
    </x:row>
    <x:row r="34">
      <x:c r="A34" s="46"/>
      <x:c r="B34" s="38" t="str"/>
      <x:c r="C34" s="38" t="str"/>
      <x:c r="D34" s="38" t="str"/>
      <x:c r="E34" s="39"/>
      <x:c r="F34" s="38" t="str"/>
      <x:c r="G34" s="38" t="str"/>
      <x:c r="H34" s="38" t="str"/>
      <x:c r="I34" s="38" t="str"/>
    </x:row>
    <x:row r="35">
      <x:c r="A35" s="46"/>
      <x:c r="B35" s="38" t="str"/>
      <x:c r="C35" s="38" t="str"/>
      <x:c r="D35" s="38" t="str"/>
      <x:c r="E35" s="39"/>
      <x:c r="F35" s="38" t="str"/>
      <x:c r="G35" s="38" t="str"/>
      <x:c r="H35" s="38" t="str"/>
      <x:c r="I35" s="38" t="str"/>
    </x:row>
    <x:row r="36">
      <x:c r="A36" s="46"/>
      <x:c r="B36" s="38" t="str"/>
      <x:c r="C36" s="38" t="str"/>
      <x:c r="D36" s="38" t="str"/>
      <x:c r="E36" s="39"/>
      <x:c r="F36" s="38" t="str"/>
      <x:c r="G36" s="38" t="str"/>
      <x:c r="H36" s="38" t="str"/>
      <x:c r="I36" s="38" t="str"/>
    </x:row>
    <x:row r="37">
      <x:c r="A37" s="46"/>
      <x:c r="B37" s="38" t="str"/>
      <x:c r="C37" s="38" t="str"/>
      <x:c r="D37" s="38" t="str"/>
      <x:c r="E37" s="39"/>
      <x:c r="F37" s="38" t="str"/>
      <x:c r="G37" s="38" t="str"/>
      <x:c r="H37" s="38" t="str"/>
      <x:c r="I37" s="38" t="str"/>
    </x:row>
    <x:row r="38">
      <x:c r="A38" s="46"/>
      <x:c r="B38" s="38" t="str"/>
      <x:c r="C38" s="38" t="str"/>
      <x:c r="D38" s="38" t="str"/>
      <x:c r="E38" s="39"/>
      <x:c r="F38" s="38" t="str"/>
      <x:c r="G38" s="38" t="str"/>
      <x:c r="H38" s="38" t="str"/>
      <x:c r="I38" s="38" t="str"/>
    </x:row>
    <x:row r="39">
      <x:c r="A39" s="46"/>
      <x:c r="B39" s="38" t="str"/>
      <x:c r="C39" s="38" t="str"/>
      <x:c r="D39" s="38" t="str"/>
      <x:c r="E39" s="39"/>
      <x:c r="F39" s="38" t="str"/>
      <x:c r="G39" s="38" t="str"/>
      <x:c r="H39" s="38" t="str"/>
      <x:c r="I39" s="38" t="str"/>
    </x:row>
    <x:row r="40">
      <x:c r="A40" s="46"/>
      <x:c r="B40" s="38" t="str"/>
      <x:c r="C40" s="38" t="str"/>
      <x:c r="D40" s="38" t="str"/>
      <x:c r="E40" s="39"/>
      <x:c r="F40" s="38" t="str"/>
      <x:c r="G40" s="38" t="str"/>
      <x:c r="H40" s="38" t="str"/>
      <x:c r="I40" s="38" t="str"/>
    </x:row>
    <x:row r="41">
      <x:c r="A41" s="46"/>
      <x:c r="B41" s="38" t="str"/>
      <x:c r="C41" s="38" t="str"/>
      <x:c r="D41" s="38" t="str"/>
      <x:c r="E41" s="39"/>
      <x:c r="F41" s="38" t="str"/>
      <x:c r="G41" s="38" t="str"/>
      <x:c r="H41" s="38" t="str"/>
      <x:c r="I41" s="38" t="str"/>
    </x:row>
    <x:row r="42">
      <x:c r="A42" s="46"/>
      <x:c r="B42" s="38" t="str"/>
      <x:c r="C42" s="38" t="str"/>
      <x:c r="D42" s="38" t="str"/>
      <x:c r="E42" s="39"/>
      <x:c r="F42" s="38" t="str"/>
      <x:c r="G42" s="38" t="str"/>
      <x:c r="H42" s="38" t="str"/>
      <x:c r="I42" s="38" t="str"/>
    </x:row>
    <x:row r="43">
      <x:c r="A43" s="46"/>
      <x:c r="B43" s="38" t="str"/>
      <x:c r="C43" s="38" t="str"/>
      <x:c r="D43" s="38" t="str"/>
      <x:c r="E43" s="39"/>
      <x:c r="F43" s="38" t="str"/>
      <x:c r="G43" s="38" t="str"/>
      <x:c r="H43" s="38" t="str"/>
      <x:c r="I43" s="38" t="str"/>
    </x:row>
    <x:row r="44">
      <x:c r="A44" s="46"/>
      <x:c r="B44" s="38" t="str"/>
      <x:c r="C44" s="38" t="str"/>
      <x:c r="D44" s="38" t="str"/>
      <x:c r="E44" s="39"/>
      <x:c r="F44" s="38" t="str"/>
      <x:c r="G44" s="38" t="str"/>
      <x:c r="H44" s="38" t="str"/>
      <x:c r="I44" s="38" t="str"/>
    </x:row>
    <x:row r="45">
      <x:c r="A45" s="46"/>
      <x:c r="B45" s="38" t="str"/>
      <x:c r="C45" s="38" t="str"/>
      <x:c r="D45" s="38" t="str"/>
      <x:c r="E45" s="39"/>
      <x:c r="F45" s="38" t="str"/>
      <x:c r="G45" s="38" t="str"/>
      <x:c r="H45" s="38" t="str"/>
      <x:c r="I45" s="38" t="str"/>
    </x:row>
    <x:row r="46">
      <x:c r="A46" s="46"/>
      <x:c r="B46" s="38" t="str"/>
      <x:c r="C46" s="38" t="str"/>
      <x:c r="D46" s="38" t="str"/>
      <x:c r="E46" s="39"/>
      <x:c r="F46" s="38" t="str"/>
      <x:c r="G46" s="38" t="str"/>
      <x:c r="H46" s="38" t="str"/>
      <x:c r="I46" s="38" t="str"/>
    </x:row>
    <x:row r="47">
      <x:c r="A47" s="46"/>
      <x:c r="B47" s="38" t="str"/>
      <x:c r="C47" s="38" t="str"/>
      <x:c r="D47" s="38" t="str"/>
      <x:c r="E47" s="39"/>
      <x:c r="F47" s="38" t="str"/>
      <x:c r="G47" s="38" t="str"/>
      <x:c r="H47" s="38" t="str"/>
      <x:c r="I47" s="38" t="str"/>
    </x:row>
    <x:row r="48">
      <x:c r="A48" s="46"/>
      <x:c r="B48" s="38" t="str"/>
      <x:c r="C48" s="38" t="str"/>
      <x:c r="D48" s="38" t="str"/>
      <x:c r="E48" s="39"/>
      <x:c r="F48" s="38" t="str"/>
      <x:c r="G48" s="38" t="str"/>
      <x:c r="H48" s="38" t="str"/>
      <x:c r="I48" s="38" t="str"/>
    </x:row>
    <x:row r="49">
      <x:c r="A49" s="46"/>
      <x:c r="B49" s="38" t="str"/>
      <x:c r="C49" s="38" t="str"/>
      <x:c r="D49" s="38" t="str"/>
      <x:c r="E49" s="39"/>
      <x:c r="F49" s="38" t="str"/>
      <x:c r="G49" s="38" t="str"/>
      <x:c r="H49" s="38" t="str"/>
      <x:c r="I49" s="38" t="str"/>
    </x:row>
    <x:row r="50">
      <x:c r="A50" s="46"/>
      <x:c r="B50" s="38" t="str"/>
      <x:c r="C50" s="38" t="str"/>
      <x:c r="D50" s="38" t="str"/>
      <x:c r="E50" s="39"/>
      <x:c r="F50" s="38" t="str"/>
      <x:c r="G50" s="38" t="str"/>
      <x:c r="H50" s="38" t="str"/>
      <x:c r="I50" s="38" t="str"/>
    </x:row>
    <x:row r="51">
      <x:c r="A51" s="46"/>
      <x:c r="B51" s="38" t="str"/>
      <x:c r="C51" s="38" t="str"/>
      <x:c r="D51" s="38" t="str"/>
      <x:c r="E51" s="39"/>
      <x:c r="F51" s="38" t="str"/>
      <x:c r="G51" s="38" t="str"/>
      <x:c r="H51" s="38" t="str"/>
      <x:c r="I51" s="38" t="str"/>
    </x:row>
    <x:row r="52">
      <x:c r="A52" s="46"/>
      <x:c r="B52" s="38" t="str"/>
      <x:c r="C52" s="38" t="str"/>
      <x:c r="D52" s="38" t="str"/>
      <x:c r="E52" s="39"/>
      <x:c r="F52" s="38" t="str"/>
      <x:c r="G52" s="38" t="str"/>
      <x:c r="H52" s="38" t="str"/>
      <x:c r="I52" s="38" t="str"/>
    </x:row>
    <x:row r="53">
      <x:c r="A53" s="46"/>
      <x:c r="B53" s="38" t="str"/>
      <x:c r="C53" s="38" t="str"/>
      <x:c r="D53" s="38" t="str"/>
      <x:c r="E53" s="39"/>
      <x:c r="F53" s="38" t="str"/>
      <x:c r="G53" s="38" t="str"/>
      <x:c r="H53" s="38" t="str"/>
      <x:c r="I53" s="38" t="str"/>
    </x:row>
    <x:row r="54">
      <x:c r="A54" s="46"/>
      <x:c r="B54" s="38" t="str"/>
      <x:c r="C54" s="38" t="str"/>
      <x:c r="D54" s="38" t="str"/>
      <x:c r="E54" s="39"/>
      <x:c r="F54" s="38" t="str"/>
      <x:c r="G54" s="38" t="str"/>
      <x:c r="H54" s="38" t="str"/>
      <x:c r="I54" s="38" t="str"/>
    </x:row>
    <x:row r="55">
      <x:c r="A55" s="46"/>
      <x:c r="B55" s="38" t="str"/>
      <x:c r="C55" s="38" t="str"/>
      <x:c r="D55" s="38" t="str"/>
      <x:c r="E55" s="39"/>
      <x:c r="F55" s="38" t="str"/>
      <x:c r="G55" s="38" t="str"/>
      <x:c r="H55" s="38" t="str"/>
      <x:c r="I55" s="38" t="str"/>
    </x:row>
    <x:row r="56">
      <x:c r="A56" s="46"/>
      <x:c r="B56" s="38" t="str"/>
      <x:c r="C56" s="38" t="str"/>
      <x:c r="D56" s="38" t="str"/>
      <x:c r="E56" s="39"/>
      <x:c r="F56" s="38" t="str"/>
      <x:c r="G56" s="38" t="str"/>
      <x:c r="H56" s="38" t="str"/>
      <x:c r="I56" s="38" t="str"/>
    </x:row>
    <x:row r="57">
      <x:c r="A57" s="46"/>
      <x:c r="B57" s="38" t="str"/>
      <x:c r="C57" s="38" t="str"/>
      <x:c r="D57" s="38" t="str"/>
      <x:c r="E57" s="39"/>
      <x:c r="F57" s="38" t="str"/>
      <x:c r="G57" s="38" t="str"/>
      <x:c r="H57" s="38" t="str"/>
      <x:c r="I57" s="38" t="str"/>
    </x:row>
    <x:row r="58">
      <x:c r="A58" s="46"/>
      <x:c r="B58" s="38" t="str"/>
      <x:c r="C58" s="38" t="str"/>
      <x:c r="D58" s="38" t="str"/>
      <x:c r="E58" s="39"/>
      <x:c r="F58" s="38" t="str"/>
      <x:c r="G58" s="38" t="str"/>
      <x:c r="H58" s="38" t="str"/>
      <x:c r="I58" s="38" t="str"/>
    </x:row>
    <x:row r="59">
      <x:c r="A59" s="46"/>
      <x:c r="B59" s="38" t="str"/>
      <x:c r="C59" s="38" t="str"/>
      <x:c r="D59" s="38" t="str"/>
      <x:c r="E59" s="39"/>
      <x:c r="F59" s="38" t="str"/>
      <x:c r="G59" s="38" t="str"/>
      <x:c r="H59" s="38" t="str"/>
      <x:c r="I59" s="38" t="str"/>
    </x:row>
    <x:row r="60">
      <x:c r="A60" s="46"/>
      <x:c r="B60" s="38" t="str"/>
      <x:c r="C60" s="38" t="str"/>
      <x:c r="D60" s="38" t="str"/>
      <x:c r="E60" s="39"/>
      <x:c r="F60" s="38" t="str"/>
      <x:c r="G60" s="38" t="str"/>
      <x:c r="H60" s="38" t="str"/>
      <x:c r="I60" s="38" t="str"/>
    </x:row>
    <x:row r="61">
      <x:c r="A61" s="46"/>
      <x:c r="B61" s="38" t="str"/>
      <x:c r="C61" s="38" t="str"/>
      <x:c r="D61" s="38" t="str"/>
      <x:c r="E61" s="39"/>
      <x:c r="F61" s="38" t="str"/>
      <x:c r="G61" s="38" t="str"/>
      <x:c r="H61" s="38" t="str"/>
      <x:c r="I61" s="38" t="str"/>
    </x:row>
    <x:row r="62">
      <x:c r="A62" s="46"/>
      <x:c r="B62" s="38" t="str"/>
      <x:c r="C62" s="38" t="str"/>
      <x:c r="D62" s="38" t="str"/>
      <x:c r="E62" s="39"/>
      <x:c r="F62" s="38" t="str"/>
      <x:c r="G62" s="38" t="str"/>
      <x:c r="H62" s="38" t="str"/>
      <x:c r="I62" s="38" t="str"/>
    </x:row>
    <x:row r="63">
      <x:c r="A63" s="46"/>
      <x:c r="B63" s="38" t="str"/>
      <x:c r="C63" s="38" t="str"/>
      <x:c r="D63" s="38" t="str"/>
      <x:c r="E63" s="39"/>
      <x:c r="F63" s="38" t="str"/>
      <x:c r="G63" s="38" t="str"/>
      <x:c r="H63" s="38" t="str"/>
      <x:c r="I63" s="38" t="str"/>
    </x:row>
    <x:row r="64">
      <x:c r="A64" s="46"/>
      <x:c r="B64" s="38" t="str"/>
      <x:c r="C64" s="38" t="str"/>
      <x:c r="D64" s="38" t="str"/>
      <x:c r="E64" s="39"/>
      <x:c r="F64" s="38" t="str"/>
      <x:c r="G64" s="38" t="str"/>
      <x:c r="H64" s="38" t="str"/>
      <x:c r="I64" s="38" t="str"/>
    </x:row>
    <x:row r="65">
      <x:c r="A65" s="46"/>
      <x:c r="B65" s="38" t="str"/>
      <x:c r="C65" s="38" t="str"/>
      <x:c r="D65" s="38" t="str"/>
      <x:c r="E65" s="39"/>
      <x:c r="F65" s="38" t="str"/>
      <x:c r="G65" s="38" t="str"/>
      <x:c r="H65" s="38" t="str"/>
      <x:c r="I65" s="38" t="str"/>
    </x:row>
    <x:row r="66">
      <x:c r="A66" s="46"/>
      <x:c r="B66" s="38" t="str"/>
      <x:c r="C66" s="38" t="str"/>
      <x:c r="D66" s="38" t="str"/>
      <x:c r="E66" s="39"/>
      <x:c r="F66" s="38" t="str"/>
      <x:c r="G66" s="38" t="str"/>
      <x:c r="H66" s="38" t="str"/>
      <x:c r="I66" s="38" t="str"/>
    </x:row>
    <x:row r="67">
      <x:c r="A67" s="46"/>
      <x:c r="B67" s="38" t="str"/>
      <x:c r="C67" s="38" t="str"/>
      <x:c r="D67" s="38" t="str"/>
      <x:c r="E67" s="39"/>
      <x:c r="F67" s="38" t="str"/>
      <x:c r="G67" s="38" t="str"/>
      <x:c r="H67" s="38" t="str"/>
      <x:c r="I67" s="38" t="str"/>
    </x:row>
    <x:row r="68">
      <x:c r="A68" s="46"/>
      <x:c r="B68" s="38" t="str"/>
      <x:c r="C68" s="38" t="str"/>
      <x:c r="D68" s="38" t="str"/>
      <x:c r="E68" s="39"/>
      <x:c r="F68" s="38" t="str"/>
      <x:c r="G68" s="38" t="str"/>
      <x:c r="H68" s="38" t="str"/>
      <x:c r="I68" s="38" t="str"/>
    </x:row>
    <x:row r="69">
      <x:c r="A69" s="46"/>
      <x:c r="B69" s="38" t="str"/>
      <x:c r="C69" s="38" t="str"/>
      <x:c r="D69" s="38" t="str"/>
      <x:c r="E69" s="39"/>
      <x:c r="F69" s="38" t="str"/>
      <x:c r="G69" s="38" t="str"/>
      <x:c r="H69" s="38" t="str"/>
      <x:c r="I69" s="38" t="str"/>
    </x:row>
    <x:row r="70">
      <x:c r="A70" s="46"/>
      <x:c r="B70" s="38" t="str"/>
      <x:c r="C70" s="38" t="str"/>
      <x:c r="D70" s="38" t="str"/>
      <x:c r="E70" s="39"/>
      <x:c r="F70" s="38" t="str"/>
      <x:c r="G70" s="38" t="str"/>
      <x:c r="H70" s="38" t="str"/>
      <x:c r="I70" s="38" t="str"/>
    </x:row>
    <x:row r="71">
      <x:c r="A71" s="46"/>
      <x:c r="B71" s="38" t="str"/>
      <x:c r="C71" s="38" t="str"/>
      <x:c r="D71" s="38" t="str"/>
      <x:c r="E71" s="39"/>
      <x:c r="F71" s="38" t="str"/>
      <x:c r="G71" s="38" t="str"/>
      <x:c r="H71" s="38" t="str"/>
      <x:c r="I71" s="38" t="str"/>
    </x:row>
    <x:row r="72">
      <x:c r="A72" s="46"/>
      <x:c r="B72" s="38" t="str"/>
      <x:c r="C72" s="38" t="str"/>
      <x:c r="D72" s="38" t="str"/>
      <x:c r="E72" s="39"/>
      <x:c r="F72" s="38" t="str"/>
      <x:c r="G72" s="38" t="str"/>
      <x:c r="H72" s="38" t="str"/>
      <x:c r="I72" s="38" t="str"/>
    </x:row>
    <x:row r="73">
      <x:c r="A73" s="46"/>
      <x:c r="B73" s="38" t="str"/>
      <x:c r="C73" s="38" t="str"/>
      <x:c r="D73" s="38" t="str"/>
      <x:c r="E73" s="39"/>
      <x:c r="F73" s="38" t="str"/>
      <x:c r="G73" s="38" t="str"/>
      <x:c r="H73" s="38" t="str"/>
      <x:c r="I73" s="38" t="str"/>
    </x:row>
    <x:row r="74">
      <x:c r="A74" s="46"/>
      <x:c r="B74" s="38" t="str"/>
      <x:c r="C74" s="38" t="str"/>
      <x:c r="D74" s="38" t="str"/>
      <x:c r="E74" s="39"/>
      <x:c r="F74" s="38" t="str"/>
      <x:c r="G74" s="38" t="str"/>
      <x:c r="H74" s="38" t="str"/>
      <x:c r="I74" s="38" t="str"/>
    </x:row>
    <x:row r="75">
      <x:c r="A75" s="46"/>
      <x:c r="B75" s="38" t="str"/>
      <x:c r="C75" s="38" t="str"/>
      <x:c r="D75" s="38" t="str"/>
      <x:c r="E75" s="39"/>
      <x:c r="F75" s="38" t="str"/>
      <x:c r="G75" s="38" t="str"/>
      <x:c r="H75" s="38" t="str"/>
      <x:c r="I75" s="38" t="str"/>
    </x:row>
    <x:row r="76">
      <x:c r="A76" s="46"/>
      <x:c r="B76" s="38" t="str"/>
      <x:c r="C76" s="38" t="str"/>
      <x:c r="D76" s="38" t="str"/>
      <x:c r="E76" s="39"/>
      <x:c r="F76" s="38" t="str"/>
      <x:c r="G76" s="38" t="str"/>
      <x:c r="H76" s="38" t="str"/>
      <x:c r="I76" s="38" t="str"/>
    </x:row>
    <x:row r="77">
      <x:c r="A77" s="46"/>
      <x:c r="B77" s="38" t="str"/>
      <x:c r="C77" s="38" t="str"/>
      <x:c r="D77" s="38" t="str"/>
      <x:c r="E77" s="39"/>
      <x:c r="F77" s="38" t="str"/>
      <x:c r="G77" s="38" t="str"/>
      <x:c r="H77" s="38" t="str"/>
      <x:c r="I77" s="38" t="str"/>
    </x:row>
    <x:row r="78">
      <x:c r="A78" s="46"/>
      <x:c r="B78" s="38" t="str"/>
      <x:c r="C78" s="38" t="str"/>
      <x:c r="D78" s="38" t="str"/>
      <x:c r="E78" s="39"/>
      <x:c r="F78" s="38" t="str"/>
      <x:c r="G78" s="38" t="str"/>
      <x:c r="H78" s="38" t="str"/>
      <x:c r="I78" s="38" t="str"/>
    </x:row>
    <x:row r="79">
      <x:c r="A79" s="46"/>
      <x:c r="B79" s="38" t="str"/>
      <x:c r="C79" s="38" t="str"/>
      <x:c r="D79" s="38" t="str"/>
      <x:c r="E79" s="39"/>
      <x:c r="F79" s="38" t="str"/>
      <x:c r="G79" s="38" t="str"/>
      <x:c r="H79" s="38" t="str"/>
      <x:c r="I79" s="38" t="str"/>
    </x:row>
    <x:row r="80">
      <x:c r="A80" s="46"/>
      <x:c r="B80" s="38" t="str"/>
      <x:c r="C80" s="38" t="str"/>
      <x:c r="D80" s="38" t="str"/>
      <x:c r="E80" s="39"/>
      <x:c r="F80" s="38" t="str"/>
      <x:c r="G80" s="38" t="str"/>
      <x:c r="H80" s="38" t="str"/>
      <x:c r="I80" s="38" t="str"/>
    </x:row>
    <x:row r="81">
      <x:c r="A81" s="46"/>
      <x:c r="B81" s="38" t="str"/>
      <x:c r="C81" s="38" t="str"/>
      <x:c r="D81" s="38" t="str"/>
      <x:c r="E81" s="39"/>
      <x:c r="F81" s="38" t="str"/>
      <x:c r="G81" s="38" t="str"/>
      <x:c r="H81" s="38" t="str"/>
      <x:c r="I81" s="38" t="str"/>
    </x:row>
    <x:row r="82">
      <x:c r="A82" s="46"/>
      <x:c r="B82" s="38" t="str"/>
      <x:c r="C82" s="38" t="str"/>
      <x:c r="D82" s="38" t="str"/>
      <x:c r="E82" s="39"/>
      <x:c r="F82" s="38" t="str"/>
      <x:c r="G82" s="38" t="str"/>
      <x:c r="H82" s="38" t="str"/>
      <x:c r="I82" s="38" t="str"/>
    </x:row>
    <x:row r="83">
      <x:c r="A83" s="46"/>
      <x:c r="B83" s="38" t="str"/>
      <x:c r="C83" s="38" t="str"/>
      <x:c r="D83" s="38" t="str"/>
      <x:c r="E83" s="39"/>
      <x:c r="F83" s="38" t="str"/>
      <x:c r="G83" s="38" t="str"/>
      <x:c r="H83" s="38" t="str"/>
      <x:c r="I83" s="38" t="str"/>
    </x:row>
    <x:row r="84">
      <x:c r="A84" s="46"/>
      <x:c r="B84" s="38" t="str"/>
      <x:c r="C84" s="38" t="str"/>
      <x:c r="D84" s="38" t="str"/>
      <x:c r="E84" s="39"/>
      <x:c r="F84" s="38" t="str"/>
      <x:c r="G84" s="38" t="str"/>
      <x:c r="H84" s="38" t="str"/>
      <x:c r="I84" s="38" t="str"/>
    </x:row>
    <x:row r="85">
      <x:c r="A85" s="46"/>
      <x:c r="B85" s="38" t="str"/>
      <x:c r="C85" s="38" t="str"/>
      <x:c r="D85" s="38" t="str"/>
      <x:c r="E85" s="39"/>
      <x:c r="F85" s="38" t="str"/>
      <x:c r="G85" s="38" t="str"/>
      <x:c r="H85" s="38" t="str"/>
      <x:c r="I85" s="38" t="str"/>
    </x:row>
    <x:row r="86">
      <x:c r="A86" s="46"/>
      <x:c r="B86" s="38" t="str"/>
      <x:c r="C86" s="38" t="str"/>
      <x:c r="D86" s="38" t="str"/>
      <x:c r="E86" s="39"/>
      <x:c r="F86" s="38" t="str"/>
      <x:c r="G86" s="38" t="str"/>
      <x:c r="H86" s="38" t="str"/>
      <x:c r="I86" s="38" t="str"/>
    </x:row>
    <x:row r="87">
      <x:c r="A87" s="46"/>
      <x:c r="B87" s="38" t="str"/>
      <x:c r="C87" s="38" t="str"/>
      <x:c r="D87" s="38" t="str"/>
      <x:c r="E87" s="39"/>
      <x:c r="F87" s="38" t="str"/>
      <x:c r="G87" s="38" t="str"/>
      <x:c r="H87" s="38" t="str"/>
      <x:c r="I87" s="38" t="str"/>
    </x:row>
    <x:row r="88">
      <x:c r="A88" s="46"/>
      <x:c r="B88" s="38" t="str"/>
      <x:c r="C88" s="38" t="str"/>
      <x:c r="D88" s="38" t="str"/>
      <x:c r="E88" s="39"/>
      <x:c r="F88" s="38" t="str"/>
      <x:c r="G88" s="38" t="str"/>
      <x:c r="H88" s="38" t="str"/>
      <x:c r="I88" s="38" t="str"/>
    </x:row>
    <x:row r="89">
      <x:c r="A89" s="46"/>
      <x:c r="B89" s="38" t="str"/>
      <x:c r="C89" s="38" t="str"/>
      <x:c r="D89" s="38" t="str"/>
      <x:c r="E89" s="39"/>
      <x:c r="F89" s="38" t="str"/>
      <x:c r="G89" s="38" t="str"/>
      <x:c r="H89" s="38" t="str"/>
      <x:c r="I89" s="38" t="str"/>
    </x:row>
    <x:row r="90">
      <x:c r="A90" s="46"/>
      <x:c r="B90" s="38" t="str"/>
      <x:c r="C90" s="38" t="str"/>
      <x:c r="D90" s="38" t="str"/>
      <x:c r="E90" s="39"/>
      <x:c r="F90" s="38" t="str"/>
      <x:c r="G90" s="38" t="str"/>
      <x:c r="H90" s="38" t="str"/>
      <x:c r="I90" s="38" t="str"/>
    </x:row>
    <x:row r="91">
      <x:c r="A91" s="46"/>
      <x:c r="B91" s="38" t="str"/>
      <x:c r="C91" s="38" t="str"/>
      <x:c r="D91" s="38" t="str"/>
      <x:c r="E91" s="39"/>
      <x:c r="F91" s="38" t="str"/>
      <x:c r="G91" s="38" t="str"/>
      <x:c r="H91" s="38" t="str"/>
      <x:c r="I91" s="38" t="str"/>
    </x:row>
    <x:row r="92">
      <x:c r="A92" s="46"/>
      <x:c r="B92" s="38" t="str"/>
      <x:c r="C92" s="38" t="str"/>
      <x:c r="D92" s="38" t="str"/>
      <x:c r="E92" s="39"/>
      <x:c r="F92" s="38" t="str"/>
      <x:c r="G92" s="38" t="str"/>
      <x:c r="H92" s="38" t="str"/>
      <x:c r="I92" s="38" t="str"/>
    </x:row>
    <x:row r="93">
      <x:c r="A93" s="46"/>
      <x:c r="B93" s="38" t="str"/>
      <x:c r="C93" s="38" t="str"/>
      <x:c r="D93" s="38" t="str"/>
      <x:c r="E93" s="39"/>
      <x:c r="F93" s="38" t="str"/>
      <x:c r="G93" s="38" t="str"/>
      <x:c r="H93" s="38" t="str"/>
      <x:c r="I93" s="38" t="str"/>
    </x:row>
    <x:row r="94">
      <x:c r="A94" s="46"/>
      <x:c r="B94" s="38" t="str"/>
      <x:c r="C94" s="38" t="str"/>
      <x:c r="D94" s="38" t="str"/>
      <x:c r="E94" s="39"/>
      <x:c r="F94" s="38" t="str"/>
      <x:c r="G94" s="38" t="str"/>
      <x:c r="H94" s="38" t="str"/>
      <x:c r="I94" s="38" t="str"/>
    </x:row>
    <x:row r="95">
      <x:c r="A95" s="46"/>
      <x:c r="B95" s="38" t="str"/>
      <x:c r="C95" s="38" t="str"/>
      <x:c r="D95" s="38" t="str"/>
      <x:c r="E95" s="39"/>
      <x:c r="F95" s="38" t="str"/>
      <x:c r="G95" s="38" t="str"/>
      <x:c r="H95" s="38" t="str"/>
      <x:c r="I95" s="38" t="str"/>
    </x:row>
    <x:row r="96">
      <x:c r="A96" s="46"/>
      <x:c r="B96" s="38" t="str"/>
      <x:c r="C96" s="38" t="str"/>
      <x:c r="D96" s="38" t="str"/>
      <x:c r="E96" s="39"/>
      <x:c r="F96" s="38" t="str"/>
      <x:c r="G96" s="38" t="str"/>
      <x:c r="H96" s="38" t="str"/>
      <x:c r="I96" s="38" t="str"/>
    </x:row>
    <x:row r="97">
      <x:c r="A97" s="46"/>
      <x:c r="B97" s="38" t="str"/>
      <x:c r="C97" s="38" t="str"/>
      <x:c r="D97" s="38" t="str"/>
      <x:c r="E97" s="39"/>
      <x:c r="F97" s="38" t="str"/>
      <x:c r="G97" s="38" t="str"/>
      <x:c r="H97" s="38" t="str"/>
      <x:c r="I97" s="38" t="str"/>
    </x:row>
    <x:row r="98">
      <x:c r="A98" s="46"/>
      <x:c r="B98" s="38" t="str"/>
      <x:c r="C98" s="38" t="str"/>
      <x:c r="D98" s="38" t="str"/>
      <x:c r="E98" s="39"/>
      <x:c r="F98" s="38" t="str"/>
      <x:c r="G98" s="38" t="str"/>
      <x:c r="H98" s="38" t="str"/>
      <x:c r="I98" s="38" t="str"/>
    </x:row>
    <x:row r="99">
      <x:c r="A99" s="46"/>
      <x:c r="B99" s="38" t="str"/>
      <x:c r="C99" s="38" t="str"/>
      <x:c r="D99" s="38" t="str"/>
      <x:c r="E99" s="39"/>
      <x:c r="F99" s="38" t="str"/>
      <x:c r="G99" s="38" t="str"/>
      <x:c r="H99" s="38" t="str"/>
      <x:c r="I99" s="38" t="str"/>
    </x:row>
    <x:row r="100">
      <x:c r="A100" s="46"/>
      <x:c r="B100" s="38" t="str"/>
      <x:c r="C100" s="38" t="str"/>
      <x:c r="D100" s="38" t="str"/>
      <x:c r="E100" s="39"/>
      <x:c r="F100" s="38" t="str"/>
      <x:c r="G100" s="38" t="str"/>
      <x:c r="H100" s="38" t="str"/>
      <x:c r="I100" s="38" t="str"/>
    </x:row>
    <x:row r="101">
      <x:c r="A101" s="46"/>
      <x:c r="B101" s="38" t="str"/>
      <x:c r="C101" s="38" t="str"/>
      <x:c r="D101" s="38" t="str"/>
      <x:c r="E101" s="39"/>
      <x:c r="F101" s="38" t="str"/>
      <x:c r="G101" s="38" t="str"/>
      <x:c r="H101" s="38" t="str"/>
      <x:c r="I101" s="38" t="str"/>
    </x:row>
    <x:row r="102">
      <x:c r="A102" s="46"/>
      <x:c r="B102" s="38" t="str"/>
      <x:c r="C102" s="38" t="str"/>
      <x:c r="D102" s="38" t="str"/>
      <x:c r="E102" s="39"/>
      <x:c r="F102" s="38" t="str"/>
      <x:c r="G102" s="38" t="str"/>
      <x:c r="H102" s="38" t="str"/>
      <x:c r="I102" s="38" t="str"/>
    </x:row>
    <x:row r="103">
      <x:c r="A103" s="46"/>
      <x:c r="B103" s="38" t="str"/>
      <x:c r="C103" s="38" t="str"/>
      <x:c r="D103" s="38" t="str"/>
      <x:c r="E103" s="39"/>
      <x:c r="F103" s="38" t="str"/>
      <x:c r="G103" s="38" t="str"/>
      <x:c r="H103" s="38" t="str"/>
      <x:c r="I103" s="38" t="str"/>
    </x:row>
    <x:row r="104">
      <x:c r="A104" s="46"/>
      <x:c r="B104" s="38" t="str"/>
      <x:c r="C104" s="38" t="str"/>
      <x:c r="D104" s="38" t="str"/>
      <x:c r="E104" s="39"/>
      <x:c r="F104" s="38" t="str"/>
      <x:c r="G104" s="38" t="str"/>
      <x:c r="H104" s="38" t="str"/>
      <x:c r="I104" s="38" t="str"/>
    </x:row>
    <x:row r="105">
      <x:c r="A105" s="46"/>
      <x:c r="B105" s="38" t="str"/>
      <x:c r="C105" s="38" t="str"/>
      <x:c r="D105" s="38" t="str"/>
      <x:c r="E105" s="39"/>
      <x:c r="F105" s="38" t="str"/>
      <x:c r="G105" s="38" t="str"/>
      <x:c r="H105" s="38" t="str"/>
      <x:c r="I105" s="38" t="str"/>
    </x:row>
    <x:row r="106">
      <x:c r="A106" s="46"/>
      <x:c r="B106" s="38" t="str"/>
      <x:c r="C106" s="38" t="str"/>
      <x:c r="D106" s="38" t="str"/>
      <x:c r="E106" s="39"/>
      <x:c r="F106" s="38" t="str"/>
      <x:c r="G106" s="38" t="str"/>
      <x:c r="H106" s="38" t="str"/>
      <x:c r="I106" s="38" t="str"/>
    </x:row>
    <x:row r="107">
      <x:c r="A107" s="46"/>
      <x:c r="B107" s="38" t="str"/>
      <x:c r="C107" s="38" t="str"/>
      <x:c r="D107" s="38" t="str"/>
      <x:c r="E107" s="39"/>
      <x:c r="F107" s="38" t="str"/>
      <x:c r="G107" s="38" t="str"/>
      <x:c r="H107" s="38" t="str"/>
      <x:c r="I107" s="38" t="str"/>
    </x:row>
    <x:row r="108">
      <x:c r="A108" s="46"/>
      <x:c r="B108" s="38" t="str"/>
      <x:c r="C108" s="38" t="str"/>
      <x:c r="D108" s="38" t="str"/>
      <x:c r="E108" s="39"/>
      <x:c r="F108" s="38" t="str"/>
      <x:c r="G108" s="38" t="str"/>
      <x:c r="H108" s="38" t="str"/>
      <x:c r="I108" s="38" t="str"/>
    </x:row>
    <x:row r="109">
      <x:c r="A109" s="46"/>
      <x:c r="B109" s="38" t="str"/>
      <x:c r="C109" s="38" t="str"/>
      <x:c r="D109" s="38" t="str"/>
      <x:c r="E109" s="39"/>
      <x:c r="F109" s="38" t="str"/>
      <x:c r="G109" s="38" t="str"/>
      <x:c r="H109" s="38" t="str"/>
      <x:c r="I109" s="38" t="str"/>
    </x:row>
    <x:row r="110">
      <x:c r="A110" s="46"/>
      <x:c r="B110" s="38" t="str"/>
      <x:c r="C110" s="38" t="str"/>
      <x:c r="D110" s="38" t="str"/>
      <x:c r="E110" s="39"/>
      <x:c r="F110" s="38" t="str"/>
      <x:c r="G110" s="38" t="str"/>
      <x:c r="H110" s="38" t="str"/>
      <x:c r="I110" s="38" t="str"/>
    </x:row>
    <x:row r="111">
      <x:c r="A111" s="46"/>
      <x:c r="B111" s="38" t="str"/>
      <x:c r="C111" s="38" t="str"/>
      <x:c r="D111" s="38" t="str"/>
      <x:c r="E111" s="39"/>
      <x:c r="F111" s="38" t="str"/>
      <x:c r="G111" s="38" t="str"/>
      <x:c r="H111" s="38" t="str"/>
      <x:c r="I111" s="38" t="str"/>
    </x:row>
    <x:row r="112">
      <x:c r="A112" s="46"/>
      <x:c r="B112" s="38" t="str"/>
      <x:c r="C112" s="38" t="str"/>
      <x:c r="D112" s="38" t="str"/>
      <x:c r="E112" s="39"/>
      <x:c r="F112" s="38" t="str"/>
      <x:c r="G112" s="38" t="str"/>
      <x:c r="H112" s="38" t="str"/>
      <x:c r="I112" s="38" t="str"/>
    </x:row>
    <x:row r="113">
      <x:c r="A113" s="46"/>
      <x:c r="B113" s="38" t="str"/>
      <x:c r="C113" s="38" t="str"/>
      <x:c r="D113" s="38" t="str"/>
      <x:c r="E113" s="39"/>
      <x:c r="F113" s="38" t="str"/>
      <x:c r="G113" s="38" t="str"/>
      <x:c r="H113" s="38" t="str"/>
      <x:c r="I113" s="38" t="str"/>
    </x:row>
    <x:row r="114">
      <x:c r="A114" s="46"/>
      <x:c r="B114" s="38" t="str"/>
      <x:c r="C114" s="38" t="str"/>
      <x:c r="D114" s="38" t="str"/>
      <x:c r="E114" s="39"/>
      <x:c r="F114" s="38" t="str"/>
      <x:c r="G114" s="38" t="str"/>
      <x:c r="H114" s="38" t="str"/>
      <x:c r="I114" s="38" t="str"/>
    </x:row>
    <x:row r="115">
      <x:c r="A115" s="46"/>
      <x:c r="B115" s="38" t="str"/>
      <x:c r="C115" s="38" t="str"/>
      <x:c r="D115" s="38" t="str"/>
      <x:c r="E115" s="39"/>
      <x:c r="F115" s="38" t="str"/>
      <x:c r="G115" s="38" t="str"/>
      <x:c r="H115" s="38" t="str"/>
      <x:c r="I115" s="38" t="str"/>
    </x:row>
    <x:row r="116">
      <x:c r="A116" s="46"/>
      <x:c r="B116" s="38" t="str"/>
      <x:c r="C116" s="38" t="str"/>
      <x:c r="D116" s="38" t="str"/>
      <x:c r="E116" s="39"/>
      <x:c r="F116" s="38" t="str"/>
      <x:c r="G116" s="38" t="str"/>
      <x:c r="H116" s="38" t="str"/>
      <x:c r="I116" s="38" t="str"/>
    </x:row>
    <x:row r="117">
      <x:c r="A117" s="46"/>
      <x:c r="B117" s="38" t="str"/>
      <x:c r="C117" s="38" t="str"/>
      <x:c r="D117" s="38" t="str"/>
      <x:c r="E117" s="39"/>
      <x:c r="F117" s="38" t="str"/>
      <x:c r="G117" s="38" t="str"/>
      <x:c r="H117" s="38" t="str"/>
      <x:c r="I117" s="38" t="str"/>
    </x:row>
    <x:row r="118">
      <x:c r="A118" s="46"/>
      <x:c r="B118" s="38" t="str"/>
      <x:c r="C118" s="38" t="str"/>
      <x:c r="D118" s="38" t="str"/>
      <x:c r="E118" s="39"/>
      <x:c r="F118" s="38" t="str"/>
      <x:c r="G118" s="38" t="str"/>
      <x:c r="H118" s="38" t="str"/>
      <x:c r="I118" s="38" t="str"/>
    </x:row>
    <x:row r="119">
      <x:c r="A119" s="46"/>
      <x:c r="B119" s="38" t="str"/>
      <x:c r="C119" s="38" t="str"/>
      <x:c r="D119" s="38" t="str"/>
      <x:c r="E119" s="39"/>
      <x:c r="F119" s="38" t="str"/>
      <x:c r="G119" s="38" t="str"/>
      <x:c r="H119" s="38" t="str"/>
      <x:c r="I119" s="38" t="str"/>
    </x:row>
    <x:row r="120">
      <x:c r="A120" s="46"/>
      <x:c r="B120" s="38" t="str"/>
      <x:c r="C120" s="38" t="str"/>
      <x:c r="D120" s="38" t="str"/>
      <x:c r="E120" s="39"/>
      <x:c r="F120" s="38" t="str"/>
      <x:c r="G120" s="38" t="str"/>
      <x:c r="H120" s="38" t="str"/>
      <x:c r="I120" s="38" t="str"/>
    </x:row>
    <x:row r="121">
      <x:c r="A121" s="46"/>
      <x:c r="B121" s="38" t="str"/>
      <x:c r="C121" s="38" t="str"/>
      <x:c r="D121" s="38" t="str"/>
      <x:c r="E121" s="39"/>
      <x:c r="F121" s="38" t="str"/>
      <x:c r="G121" s="38" t="str"/>
      <x:c r="H121" s="38" t="str"/>
      <x:c r="I121" s="38" t="str"/>
    </x:row>
    <x:row r="122">
      <x:c r="A122" s="46"/>
      <x:c r="B122" s="38" t="str"/>
      <x:c r="C122" s="38" t="str"/>
      <x:c r="D122" s="38" t="str"/>
      <x:c r="E122" s="39"/>
      <x:c r="F122" s="38" t="str"/>
      <x:c r="G122" s="38" t="str"/>
      <x:c r="H122" s="38" t="str"/>
      <x:c r="I122" s="38" t="str"/>
    </x:row>
    <x:row r="123">
      <x:c r="A123" s="46"/>
      <x:c r="B123" s="38" t="str"/>
      <x:c r="C123" s="38" t="str"/>
      <x:c r="D123" s="38" t="str"/>
      <x:c r="E123" s="39"/>
      <x:c r="F123" s="38" t="str"/>
      <x:c r="G123" s="38" t="str"/>
      <x:c r="H123" s="38" t="str"/>
      <x:c r="I123" s="38" t="str"/>
    </x:row>
    <x:row r="124">
      <x:c r="A124" s="46"/>
      <x:c r="B124" s="38" t="str"/>
      <x:c r="C124" s="38" t="str"/>
      <x:c r="D124" s="38" t="str"/>
      <x:c r="E124" s="39"/>
      <x:c r="F124" s="38" t="str"/>
      <x:c r="G124" s="38" t="str"/>
      <x:c r="H124" s="38" t="str"/>
      <x:c r="I124" s="38" t="str"/>
    </x:row>
    <x:row r="125">
      <x:c r="A125" s="46"/>
      <x:c r="B125" s="38" t="str"/>
      <x:c r="C125" s="38" t="str"/>
      <x:c r="D125" s="38" t="str"/>
      <x:c r="E125" s="39"/>
      <x:c r="F125" s="38" t="str"/>
      <x:c r="G125" s="38" t="str"/>
      <x:c r="H125" s="38" t="str"/>
      <x:c r="I125" s="38" t="str"/>
    </x:row>
    <x:row r="126">
      <x:c r="A126" s="46"/>
      <x:c r="B126" s="38" t="str"/>
      <x:c r="C126" s="38" t="str"/>
      <x:c r="D126" s="38" t="str"/>
      <x:c r="E126" s="39"/>
      <x:c r="F126" s="38" t="str"/>
      <x:c r="G126" s="38" t="str"/>
      <x:c r="H126" s="38" t="str"/>
      <x:c r="I126" s="38" t="str"/>
    </x:row>
    <x:row r="127">
      <x:c r="A127" s="46"/>
      <x:c r="B127" s="38" t="str"/>
      <x:c r="C127" s="38" t="str"/>
      <x:c r="D127" s="38" t="str"/>
      <x:c r="E127" s="39"/>
      <x:c r="F127" s="38" t="str"/>
      <x:c r="G127" s="38" t="str"/>
      <x:c r="H127" s="38" t="str"/>
      <x:c r="I127" s="38" t="str"/>
    </x:row>
    <x:row r="128">
      <x:c r="A128" s="46"/>
      <x:c r="B128" s="38" t="str"/>
      <x:c r="C128" s="38" t="str"/>
      <x:c r="D128" s="38" t="str"/>
      <x:c r="E128" s="39"/>
      <x:c r="F128" s="38" t="str"/>
      <x:c r="G128" s="38" t="str"/>
      <x:c r="H128" s="38" t="str"/>
      <x:c r="I128" s="38" t="str"/>
    </x:row>
    <x:row r="129">
      <x:c r="A129" s="46"/>
      <x:c r="B129" s="38" t="str"/>
      <x:c r="C129" s="38" t="str"/>
      <x:c r="D129" s="38" t="str"/>
      <x:c r="E129" s="39"/>
      <x:c r="F129" s="38" t="str"/>
      <x:c r="G129" s="38" t="str"/>
      <x:c r="H129" s="38" t="str"/>
      <x:c r="I129" s="38" t="str"/>
    </x:row>
    <x:row r="130">
      <x:c r="A130" s="46"/>
      <x:c r="B130" s="38" t="str"/>
      <x:c r="C130" s="38" t="str"/>
      <x:c r="D130" s="38" t="str"/>
      <x:c r="E130" s="39"/>
      <x:c r="F130" s="38" t="str"/>
      <x:c r="G130" s="38" t="str"/>
      <x:c r="H130" s="38" t="str"/>
      <x:c r="I130" s="38" t="str"/>
    </x:row>
    <x:row r="131">
      <x:c r="A131" s="46"/>
      <x:c r="B131" s="38" t="str"/>
      <x:c r="C131" s="38" t="str"/>
      <x:c r="D131" s="38" t="str"/>
      <x:c r="E131" s="39"/>
      <x:c r="F131" s="38" t="str"/>
      <x:c r="G131" s="38" t="str"/>
      <x:c r="H131" s="38" t="str"/>
      <x:c r="I131" s="38" t="str"/>
    </x:row>
    <x:row r="132">
      <x:c r="A132" s="46"/>
      <x:c r="B132" s="38" t="str"/>
      <x:c r="C132" s="38" t="str"/>
      <x:c r="D132" s="38" t="str"/>
      <x:c r="E132" s="39"/>
      <x:c r="F132" s="38" t="str"/>
      <x:c r="G132" s="38" t="str"/>
      <x:c r="H132" s="38" t="str"/>
      <x:c r="I132" s="38" t="str"/>
    </x:row>
    <x:row r="133">
      <x:c r="A133" s="46"/>
      <x:c r="B133" s="38" t="str"/>
      <x:c r="C133" s="38" t="str"/>
      <x:c r="D133" s="38" t="str"/>
      <x:c r="E133" s="39"/>
      <x:c r="F133" s="38" t="str"/>
      <x:c r="G133" s="38" t="str"/>
      <x:c r="H133" s="38" t="str"/>
      <x:c r="I133" s="38" t="str"/>
    </x:row>
    <x:row r="134">
      <x:c r="A134" s="46"/>
      <x:c r="B134" s="38" t="str"/>
      <x:c r="C134" s="38" t="str"/>
      <x:c r="D134" s="38" t="str"/>
      <x:c r="E134" s="39"/>
      <x:c r="F134" s="38" t="str"/>
      <x:c r="G134" s="38" t="str"/>
      <x:c r="H134" s="38" t="str"/>
      <x:c r="I134" s="38" t="str"/>
    </x:row>
    <x:row r="135">
      <x:c r="A135" s="46"/>
      <x:c r="B135" s="38" t="str"/>
      <x:c r="C135" s="38" t="str"/>
      <x:c r="D135" s="38" t="str"/>
      <x:c r="E135" s="39"/>
      <x:c r="F135" s="38" t="str"/>
      <x:c r="G135" s="38" t="str"/>
      <x:c r="H135" s="38" t="str"/>
      <x:c r="I135" s="38" t="str"/>
    </x:row>
    <x:row r="136">
      <x:c r="A136" s="46"/>
      <x:c r="B136" s="38" t="str"/>
      <x:c r="C136" s="38" t="str"/>
      <x:c r="D136" s="38" t="str"/>
      <x:c r="E136" s="39"/>
      <x:c r="F136" s="38" t="str"/>
      <x:c r="G136" s="38" t="str"/>
      <x:c r="H136" s="38" t="str"/>
      <x:c r="I136" s="38" t="str"/>
    </x:row>
    <x:row r="137">
      <x:c r="A137" s="46"/>
      <x:c r="B137" s="38" t="str"/>
      <x:c r="C137" s="38" t="str"/>
      <x:c r="D137" s="38" t="str"/>
      <x:c r="E137" s="39"/>
      <x:c r="F137" s="38" t="str"/>
      <x:c r="G137" s="38" t="str"/>
      <x:c r="H137" s="38" t="str"/>
      <x:c r="I137" s="38" t="str"/>
    </x:row>
    <x:row r="138">
      <x:c r="A138" s="46"/>
      <x:c r="B138" s="38" t="str"/>
      <x:c r="C138" s="38" t="str"/>
      <x:c r="D138" s="38" t="str"/>
      <x:c r="E138" s="39"/>
      <x:c r="F138" s="38" t="str"/>
      <x:c r="G138" s="38" t="str"/>
      <x:c r="H138" s="38" t="str"/>
      <x:c r="I138" s="38" t="str"/>
    </x:row>
    <x:row r="139">
      <x:c r="A139" s="46"/>
      <x:c r="B139" s="38" t="str"/>
      <x:c r="C139" s="38" t="str"/>
      <x:c r="D139" s="38" t="str"/>
      <x:c r="E139" s="39"/>
      <x:c r="F139" s="38" t="str"/>
      <x:c r="G139" s="38" t="str"/>
      <x:c r="H139" s="38" t="str"/>
      <x:c r="I139" s="38" t="str"/>
    </x:row>
    <x:row r="140">
      <x:c r="A140" s="46"/>
      <x:c r="B140" s="38" t="str"/>
      <x:c r="C140" s="38" t="str"/>
      <x:c r="D140" s="38" t="str"/>
      <x:c r="E140" s="39"/>
      <x:c r="F140" s="38" t="str"/>
      <x:c r="G140" s="38" t="str"/>
      <x:c r="H140" s="38" t="str"/>
      <x:c r="I140" s="38" t="str"/>
    </x:row>
    <x:row r="141">
      <x:c r="A141" s="46"/>
      <x:c r="B141" s="38" t="str"/>
      <x:c r="C141" s="38" t="str"/>
      <x:c r="D141" s="38" t="str"/>
      <x:c r="E141" s="39"/>
      <x:c r="F141" s="38" t="str"/>
      <x:c r="G141" s="38" t="str"/>
      <x:c r="H141" s="38" t="str"/>
      <x:c r="I141" s="38" t="str"/>
    </x:row>
    <x:row r="142">
      <x:c r="A142" s="46"/>
      <x:c r="B142" s="38" t="str"/>
      <x:c r="C142" s="38" t="str"/>
      <x:c r="D142" s="38" t="str"/>
      <x:c r="E142" s="39"/>
      <x:c r="F142" s="38" t="str"/>
      <x:c r="G142" s="38" t="str"/>
      <x:c r="H142" s="38" t="str"/>
      <x:c r="I142" s="38" t="str"/>
    </x:row>
    <x:row r="143">
      <x:c r="A143" s="46"/>
      <x:c r="B143" s="38" t="str"/>
      <x:c r="C143" s="38" t="str"/>
      <x:c r="D143" s="38" t="str"/>
      <x:c r="E143" s="39"/>
      <x:c r="F143" s="38" t="str"/>
      <x:c r="G143" s="38" t="str"/>
      <x:c r="H143" s="38" t="str"/>
      <x:c r="I143" s="38" t="str"/>
    </x:row>
    <x:row r="144">
      <x:c r="A144" s="46"/>
      <x:c r="B144" s="38" t="str"/>
      <x:c r="C144" s="38" t="str"/>
      <x:c r="D144" s="38" t="str"/>
      <x:c r="E144" s="39"/>
      <x:c r="F144" s="38" t="str"/>
      <x:c r="G144" s="38" t="str"/>
      <x:c r="H144" s="38" t="str"/>
      <x:c r="I144" s="38" t="str"/>
    </x:row>
    <x:row r="145">
      <x:c r="A145" s="46"/>
      <x:c r="B145" s="38" t="str"/>
      <x:c r="C145" s="38" t="str"/>
      <x:c r="D145" s="38" t="str"/>
      <x:c r="E145" s="39"/>
      <x:c r="F145" s="38" t="str"/>
      <x:c r="G145" s="38" t="str"/>
      <x:c r="H145" s="38" t="str"/>
      <x:c r="I145" s="38" t="str"/>
    </x:row>
    <x:row r="146">
      <x:c r="A146" s="46"/>
      <x:c r="B146" s="38" t="str"/>
      <x:c r="C146" s="38" t="str"/>
      <x:c r="D146" s="38" t="str"/>
      <x:c r="E146" s="39"/>
      <x:c r="F146" s="38" t="str"/>
      <x:c r="G146" s="38" t="str"/>
      <x:c r="H146" s="38" t="str"/>
      <x:c r="I146" s="38" t="str"/>
    </x:row>
    <x:row r="147">
      <x:c r="A147" s="46"/>
      <x:c r="B147" s="38" t="str"/>
      <x:c r="C147" s="38" t="str"/>
      <x:c r="D147" s="38" t="str"/>
      <x:c r="E147" s="39"/>
      <x:c r="F147" s="38" t="str"/>
      <x:c r="G147" s="38" t="str"/>
      <x:c r="H147" s="38" t="str"/>
      <x:c r="I147" s="38" t="str"/>
    </x:row>
    <x:row r="148">
      <x:c r="A148" s="46"/>
      <x:c r="B148" s="38" t="str"/>
      <x:c r="C148" s="38" t="str"/>
      <x:c r="D148" s="38" t="str"/>
      <x:c r="E148" s="39"/>
      <x:c r="F148" s="38" t="str"/>
      <x:c r="G148" s="38" t="str"/>
      <x:c r="H148" s="38" t="str"/>
      <x:c r="I148" s="38" t="str"/>
    </x:row>
    <x:row r="149">
      <x:c r="A149" s="46"/>
      <x:c r="B149" s="38" t="str"/>
      <x:c r="C149" s="38" t="str"/>
      <x:c r="D149" s="38" t="str"/>
      <x:c r="E149" s="39"/>
      <x:c r="F149" s="38" t="str"/>
      <x:c r="G149" s="38" t="str"/>
      <x:c r="H149" s="38" t="str"/>
      <x:c r="I149" s="38" t="str"/>
    </x:row>
    <x:row r="150">
      <x:c r="A150" s="46"/>
      <x:c r="B150" s="38" t="str"/>
      <x:c r="C150" s="38" t="str"/>
      <x:c r="D150" s="38" t="str"/>
      <x:c r="E150" s="39"/>
      <x:c r="F150" s="38" t="str"/>
      <x:c r="G150" s="38" t="str"/>
      <x:c r="H150" s="38" t="str"/>
      <x:c r="I150" s="38" t="str"/>
    </x:row>
    <x:row r="151">
      <x:c r="A151" s="46"/>
      <x:c r="B151" s="38" t="str"/>
      <x:c r="C151" s="38" t="str"/>
      <x:c r="D151" s="38" t="str"/>
      <x:c r="E151" s="39"/>
      <x:c r="F151" s="38" t="str"/>
      <x:c r="G151" s="38" t="str"/>
      <x:c r="H151" s="38" t="str"/>
      <x:c r="I151" s="38" t="str"/>
    </x:row>
    <x:row r="152">
      <x:c r="A152" s="46"/>
      <x:c r="B152" s="38" t="str"/>
      <x:c r="C152" s="38" t="str"/>
      <x:c r="D152" s="38" t="str"/>
      <x:c r="E152" s="39"/>
      <x:c r="F152" s="38" t="str"/>
      <x:c r="G152" s="38" t="str"/>
      <x:c r="H152" s="38" t="str"/>
      <x:c r="I152" s="38" t="str"/>
    </x:row>
    <x:row r="153">
      <x:c r="A153" s="46"/>
      <x:c r="B153" s="38" t="str"/>
      <x:c r="C153" s="38" t="str"/>
      <x:c r="D153" s="38" t="str"/>
      <x:c r="E153" s="39"/>
      <x:c r="F153" s="38" t="str"/>
      <x:c r="G153" s="38" t="str"/>
      <x:c r="H153" s="38" t="str"/>
      <x:c r="I153" s="38" t="str"/>
    </x:row>
    <x:row r="154">
      <x:c r="A154" s="46"/>
      <x:c r="B154" s="38" t="str"/>
      <x:c r="C154" s="38" t="str"/>
      <x:c r="D154" s="38" t="str"/>
      <x:c r="E154" s="39"/>
      <x:c r="F154" s="38" t="str"/>
      <x:c r="G154" s="38" t="str"/>
      <x:c r="H154" s="38" t="str"/>
      <x:c r="I154" s="38" t="str"/>
    </x:row>
    <x:row r="155">
      <x:c r="A155" s="46"/>
      <x:c r="B155" s="38" t="str"/>
      <x:c r="C155" s="38" t="str"/>
      <x:c r="D155" s="38" t="str"/>
      <x:c r="E155" s="39"/>
      <x:c r="F155" s="38" t="str"/>
      <x:c r="G155" s="38" t="str"/>
      <x:c r="H155" s="38" t="str"/>
      <x:c r="I155" s="38" t="str"/>
    </x:row>
    <x:row r="156">
      <x:c r="A156" s="46"/>
      <x:c r="B156" s="38" t="str"/>
      <x:c r="C156" s="38" t="str"/>
      <x:c r="D156" s="38" t="str"/>
      <x:c r="E156" s="39"/>
      <x:c r="F156" s="38" t="str"/>
      <x:c r="G156" s="38" t="str"/>
      <x:c r="H156" s="38" t="str"/>
      <x:c r="I156" s="38" t="str"/>
    </x:row>
    <x:row r="157">
      <x:c r="A157" s="46"/>
      <x:c r="B157" s="38" t="str"/>
      <x:c r="C157" s="38" t="str"/>
      <x:c r="D157" s="38" t="str"/>
      <x:c r="E157" s="39"/>
      <x:c r="F157" s="38" t="str"/>
      <x:c r="G157" s="38" t="str"/>
      <x:c r="H157" s="38" t="str"/>
      <x:c r="I157" s="38" t="str"/>
    </x:row>
    <x:row r="158">
      <x:c r="A158" s="46"/>
      <x:c r="B158" s="38" t="str"/>
      <x:c r="C158" s="38" t="str"/>
      <x:c r="D158" s="38" t="str"/>
      <x:c r="E158" s="39"/>
      <x:c r="F158" s="38" t="str"/>
      <x:c r="G158" s="38" t="str"/>
      <x:c r="H158" s="38" t="str"/>
      <x:c r="I158" s="38" t="str"/>
    </x:row>
    <x:row r="159">
      <x:c r="A159" s="46"/>
      <x:c r="B159" s="38" t="str"/>
      <x:c r="C159" s="38" t="str"/>
      <x:c r="D159" s="38" t="str"/>
      <x:c r="E159" s="39"/>
      <x:c r="F159" s="38" t="str"/>
      <x:c r="G159" s="38" t="str"/>
      <x:c r="H159" s="38" t="str"/>
      <x:c r="I159" s="38" t="str"/>
    </x:row>
    <x:row r="160">
      <x:c r="A160" s="46"/>
      <x:c r="B160" s="38" t="str"/>
      <x:c r="C160" s="38" t="str"/>
      <x:c r="D160" s="38" t="str"/>
      <x:c r="E160" s="39"/>
      <x:c r="F160" s="38" t="str"/>
      <x:c r="G160" s="38" t="str"/>
      <x:c r="H160" s="38" t="str"/>
      <x:c r="I160" s="38" t="str"/>
    </x:row>
    <x:row r="161">
      <x:c r="A161" s="46"/>
      <x:c r="B161" s="38" t="str"/>
      <x:c r="C161" s="38" t="str"/>
      <x:c r="D161" s="38" t="str"/>
      <x:c r="E161" s="39"/>
      <x:c r="F161" s="38" t="str"/>
      <x:c r="G161" s="38" t="str"/>
      <x:c r="H161" s="38" t="str"/>
      <x:c r="I161" s="38" t="str"/>
    </x:row>
    <x:row r="162">
      <x:c r="A162" s="46"/>
      <x:c r="B162" s="38" t="str"/>
      <x:c r="C162" s="38" t="str"/>
      <x:c r="D162" s="38" t="str"/>
      <x:c r="E162" s="39"/>
      <x:c r="F162" s="38" t="str"/>
      <x:c r="G162" s="38" t="str"/>
      <x:c r="H162" s="38" t="str"/>
      <x:c r="I162" s="38" t="str"/>
    </x:row>
    <x:row r="163">
      <x:c r="A163" s="46"/>
      <x:c r="B163" s="38" t="str"/>
      <x:c r="C163" s="38" t="str"/>
      <x:c r="D163" s="38" t="str"/>
      <x:c r="E163" s="39"/>
      <x:c r="F163" s="38" t="str"/>
      <x:c r="G163" s="38" t="str"/>
      <x:c r="H163" s="38" t="str"/>
      <x:c r="I163" s="38" t="str"/>
    </x:row>
    <x:row r="164">
      <x:c r="A164" s="46"/>
      <x:c r="B164" s="38" t="str"/>
      <x:c r="C164" s="38" t="str"/>
      <x:c r="D164" s="38" t="str"/>
      <x:c r="E164" s="39"/>
      <x:c r="F164" s="38" t="str"/>
      <x:c r="G164" s="38" t="str"/>
      <x:c r="H164" s="38" t="str"/>
      <x:c r="I164" s="38" t="str"/>
    </x:row>
    <x:row r="165">
      <x:c r="A165" s="46"/>
      <x:c r="B165" s="38" t="str"/>
      <x:c r="C165" s="38" t="str"/>
      <x:c r="D165" s="38" t="str"/>
      <x:c r="E165" s="39"/>
      <x:c r="F165" s="38" t="str"/>
      <x:c r="G165" s="38" t="str"/>
      <x:c r="H165" s="38" t="str"/>
      <x:c r="I165" s="38" t="str"/>
    </x:row>
    <x:row r="166">
      <x:c r="A166" s="46"/>
      <x:c r="B166" s="38" t="str"/>
      <x:c r="C166" s="38" t="str"/>
      <x:c r="D166" s="38" t="str"/>
      <x:c r="E166" s="39"/>
      <x:c r="F166" s="38" t="str"/>
      <x:c r="G166" s="38" t="str"/>
      <x:c r="H166" s="38" t="str"/>
      <x:c r="I166" s="38" t="str"/>
    </x:row>
    <x:row r="167">
      <x:c r="A167" s="46"/>
      <x:c r="B167" s="38" t="str"/>
      <x:c r="C167" s="38" t="str"/>
      <x:c r="D167" s="38" t="str"/>
      <x:c r="E167" s="39"/>
      <x:c r="F167" s="38" t="str"/>
      <x:c r="G167" s="38" t="str"/>
      <x:c r="H167" s="38" t="str"/>
      <x:c r="I167" s="38" t="str"/>
    </x:row>
    <x:row r="168">
      <x:c r="A168" s="46"/>
      <x:c r="B168" s="38" t="str"/>
      <x:c r="C168" s="38" t="str"/>
      <x:c r="D168" s="38" t="str"/>
      <x:c r="E168" s="39"/>
      <x:c r="F168" s="38" t="str"/>
      <x:c r="G168" s="38" t="str"/>
      <x:c r="H168" s="38" t="str"/>
      <x:c r="I168" s="38" t="str"/>
    </x:row>
    <x:row r="169">
      <x:c r="A169" s="46"/>
      <x:c r="B169" s="38" t="str"/>
      <x:c r="C169" s="38" t="str"/>
      <x:c r="D169" s="38" t="str"/>
      <x:c r="E169" s="39"/>
      <x:c r="F169" s="38" t="str"/>
      <x:c r="G169" s="38" t="str"/>
      <x:c r="H169" s="38" t="str"/>
      <x:c r="I169" s="38" t="str"/>
    </x:row>
    <x:row r="170">
      <x:c r="A170" s="46"/>
      <x:c r="B170" s="38" t="str"/>
      <x:c r="C170" s="38" t="str"/>
      <x:c r="D170" s="38" t="str"/>
      <x:c r="E170" s="39"/>
      <x:c r="F170" s="38" t="str"/>
      <x:c r="G170" s="38" t="str"/>
      <x:c r="H170" s="38" t="str"/>
      <x:c r="I170" s="38" t="str"/>
    </x:row>
    <x:row r="171">
      <x:c r="A171" s="46"/>
      <x:c r="B171" s="38" t="str"/>
      <x:c r="C171" s="38" t="str"/>
      <x:c r="D171" s="38" t="str"/>
      <x:c r="E171" s="39"/>
      <x:c r="F171" s="38" t="str"/>
      <x:c r="G171" s="38" t="str"/>
      <x:c r="H171" s="38" t="str"/>
      <x:c r="I171" s="38" t="str"/>
    </x:row>
    <x:row r="172">
      <x:c r="A172" s="46"/>
      <x:c r="B172" s="38" t="str"/>
      <x:c r="C172" s="38" t="str"/>
      <x:c r="D172" s="38" t="str"/>
      <x:c r="E172" s="39"/>
      <x:c r="F172" s="38" t="str"/>
      <x:c r="G172" s="38" t="str"/>
      <x:c r="H172" s="38" t="str"/>
      <x:c r="I172" s="38" t="str"/>
    </x:row>
    <x:row r="173">
      <x:c r="A173" s="46"/>
      <x:c r="B173" s="38" t="str"/>
      <x:c r="C173" s="38" t="str"/>
      <x:c r="D173" s="38" t="str"/>
      <x:c r="E173" s="39"/>
      <x:c r="F173" s="38" t="str"/>
      <x:c r="G173" s="38" t="str"/>
      <x:c r="H173" s="38" t="str"/>
      <x:c r="I173" s="38" t="str"/>
    </x:row>
    <x:row r="174">
      <x:c r="A174" s="46"/>
      <x:c r="B174" s="38" t="str"/>
      <x:c r="C174" s="38" t="str"/>
      <x:c r="D174" s="38" t="str"/>
      <x:c r="E174" s="39"/>
      <x:c r="F174" s="38" t="str"/>
      <x:c r="G174" s="38" t="str"/>
      <x:c r="H174" s="38" t="str"/>
      <x:c r="I174" s="38" t="str"/>
    </x:row>
    <x:row r="175">
      <x:c r="A175" s="46"/>
      <x:c r="B175" s="38" t="str"/>
      <x:c r="C175" s="38" t="str"/>
      <x:c r="D175" s="38" t="str"/>
      <x:c r="E175" s="39"/>
      <x:c r="F175" s="38" t="str"/>
      <x:c r="G175" s="38" t="str"/>
      <x:c r="H175" s="38" t="str"/>
      <x:c r="I175" s="38" t="str"/>
    </x:row>
    <x:row r="176">
      <x:c r="A176" s="46"/>
      <x:c r="B176" s="38" t="str"/>
      <x:c r="C176" s="38" t="str"/>
      <x:c r="D176" s="38" t="str"/>
      <x:c r="E176" s="39"/>
      <x:c r="F176" s="38" t="str"/>
      <x:c r="G176" s="38" t="str"/>
      <x:c r="H176" s="38" t="str"/>
      <x:c r="I176" s="38" t="str"/>
    </x:row>
    <x:row r="177">
      <x:c r="A177" s="46"/>
      <x:c r="B177" s="38" t="str"/>
      <x:c r="C177" s="38" t="str"/>
      <x:c r="D177" s="38" t="str"/>
      <x:c r="E177" s="39"/>
      <x:c r="F177" s="38" t="str"/>
      <x:c r="G177" s="38" t="str"/>
      <x:c r="H177" s="38" t="str"/>
      <x:c r="I177" s="38" t="str"/>
    </x:row>
    <x:row r="178">
      <x:c r="A178" s="46"/>
      <x:c r="B178" s="38" t="str"/>
      <x:c r="C178" s="38" t="str"/>
      <x:c r="D178" s="38" t="str"/>
      <x:c r="E178" s="39"/>
      <x:c r="F178" s="38" t="str"/>
      <x:c r="G178" s="38" t="str"/>
      <x:c r="H178" s="38" t="str"/>
      <x:c r="I178" s="38" t="str"/>
    </x:row>
    <x:row r="179">
      <x:c r="A179" s="46"/>
      <x:c r="B179" s="38" t="str"/>
      <x:c r="C179" s="38" t="str"/>
      <x:c r="D179" s="38" t="str"/>
      <x:c r="E179" s="39"/>
      <x:c r="F179" s="38" t="str"/>
      <x:c r="G179" s="38" t="str"/>
      <x:c r="H179" s="38" t="str"/>
      <x:c r="I179" s="38" t="str"/>
    </x:row>
    <x:row r="180">
      <x:c r="A180" s="46"/>
      <x:c r="B180" s="38" t="str"/>
      <x:c r="C180" s="38" t="str"/>
      <x:c r="D180" s="38" t="str"/>
      <x:c r="E180" s="39"/>
      <x:c r="F180" s="38" t="str"/>
      <x:c r="G180" s="38" t="str"/>
      <x:c r="H180" s="38" t="str"/>
      <x:c r="I180" s="38" t="str"/>
    </x:row>
    <x:row r="181">
      <x:c r="A181" s="46"/>
      <x:c r="B181" s="38" t="str"/>
      <x:c r="C181" s="38" t="str"/>
      <x:c r="D181" s="38" t="str"/>
      <x:c r="E181" s="39"/>
      <x:c r="F181" s="38" t="str"/>
      <x:c r="G181" s="38" t="str"/>
      <x:c r="H181" s="38" t="str"/>
      <x:c r="I181" s="38" t="str"/>
    </x:row>
    <x:row r="182">
      <x:c r="A182" s="46"/>
      <x:c r="B182" s="38" t="str"/>
      <x:c r="C182" s="38" t="str"/>
      <x:c r="D182" s="38" t="str"/>
      <x:c r="E182" s="39"/>
      <x:c r="F182" s="38" t="str"/>
      <x:c r="G182" s="38" t="str"/>
      <x:c r="H182" s="38" t="str"/>
      <x:c r="I182" s="38" t="str"/>
    </x:row>
    <x:row r="183">
      <x:c r="A183" s="46"/>
      <x:c r="B183" s="38" t="str"/>
      <x:c r="C183" s="38" t="str"/>
      <x:c r="D183" s="38" t="str"/>
      <x:c r="E183" s="39"/>
      <x:c r="F183" s="38" t="str"/>
      <x:c r="G183" s="38" t="str"/>
      <x:c r="H183" s="38" t="str"/>
      <x:c r="I183" s="38" t="str"/>
    </x:row>
    <x:row r="184">
      <x:c r="A184" s="46"/>
      <x:c r="B184" s="38" t="str"/>
      <x:c r="C184" s="38" t="str"/>
      <x:c r="D184" s="38" t="str"/>
      <x:c r="E184" s="39"/>
      <x:c r="F184" s="38" t="str"/>
      <x:c r="G184" s="38" t="str"/>
      <x:c r="H184" s="38" t="str"/>
      <x:c r="I184" s="38" t="str"/>
    </x:row>
    <x:row r="185">
      <x:c r="A185" s="46"/>
      <x:c r="B185" s="38" t="str"/>
      <x:c r="C185" s="38" t="str"/>
      <x:c r="D185" s="38" t="str"/>
      <x:c r="E185" s="39"/>
      <x:c r="F185" s="38" t="str"/>
      <x:c r="G185" s="38" t="str"/>
      <x:c r="H185" s="38" t="str"/>
      <x:c r="I185" s="38" t="str"/>
    </x:row>
    <x:row r="186">
      <x:c r="A186" s="46"/>
      <x:c r="B186" s="38" t="str"/>
      <x:c r="C186" s="38" t="str"/>
      <x:c r="D186" s="38" t="str"/>
      <x:c r="E186" s="39"/>
      <x:c r="F186" s="38" t="str"/>
      <x:c r="G186" s="38" t="str"/>
      <x:c r="H186" s="38" t="str"/>
      <x:c r="I186" s="38" t="str"/>
    </x:row>
    <x:row r="187">
      <x:c r="A187" s="46"/>
      <x:c r="B187" s="38" t="str"/>
      <x:c r="C187" s="38" t="str"/>
      <x:c r="D187" s="38" t="str"/>
      <x:c r="E187" s="39"/>
      <x:c r="F187" s="38" t="str"/>
      <x:c r="G187" s="38" t="str"/>
      <x:c r="H187" s="38" t="str"/>
      <x:c r="I187" s="38" t="str"/>
    </x:row>
    <x:row r="188">
      <x:c r="A188" s="46"/>
      <x:c r="B188" s="38" t="str"/>
      <x:c r="C188" s="38" t="str"/>
      <x:c r="D188" s="38" t="str"/>
      <x:c r="E188" s="39"/>
      <x:c r="F188" s="38" t="str"/>
      <x:c r="G188" s="38" t="str"/>
      <x:c r="H188" s="38" t="str"/>
      <x:c r="I188" s="38" t="str"/>
    </x:row>
    <x:row r="189">
      <x:c r="A189" s="46"/>
      <x:c r="B189" s="38" t="str"/>
      <x:c r="C189" s="38" t="str"/>
      <x:c r="D189" s="38" t="str"/>
      <x:c r="E189" s="39"/>
      <x:c r="F189" s="38" t="str"/>
      <x:c r="G189" s="38" t="str"/>
      <x:c r="H189" s="38" t="str"/>
      <x:c r="I189" s="38" t="str"/>
    </x:row>
    <x:row r="190">
      <x:c r="A190" s="46"/>
      <x:c r="B190" s="38" t="str"/>
      <x:c r="C190" s="38" t="str"/>
      <x:c r="D190" s="38" t="str"/>
      <x:c r="E190" s="39"/>
      <x:c r="F190" s="38" t="str"/>
      <x:c r="G190" s="38" t="str"/>
      <x:c r="H190" s="38" t="str"/>
      <x:c r="I190" s="38" t="str"/>
    </x:row>
    <x:row r="191">
      <x:c r="A191" s="46"/>
      <x:c r="B191" s="38" t="str"/>
      <x:c r="C191" s="38" t="str"/>
      <x:c r="D191" s="38" t="str"/>
      <x:c r="E191" s="39"/>
      <x:c r="F191" s="38" t="str"/>
      <x:c r="G191" s="38" t="str"/>
      <x:c r="H191" s="38" t="str"/>
      <x:c r="I191" s="38" t="str"/>
    </x:row>
    <x:row r="192">
      <x:c r="A192" s="46"/>
      <x:c r="B192" s="38" t="str"/>
      <x:c r="C192" s="38" t="str"/>
      <x:c r="D192" s="38" t="str"/>
      <x:c r="E192" s="39"/>
      <x:c r="F192" s="38" t="str"/>
      <x:c r="G192" s="38" t="str"/>
      <x:c r="H192" s="38" t="str"/>
      <x:c r="I192" s="38" t="str"/>
    </x:row>
    <x:row r="193">
      <x:c r="A193" s="46"/>
      <x:c r="B193" s="38" t="str"/>
      <x:c r="C193" s="38" t="str"/>
      <x:c r="D193" s="38" t="str"/>
      <x:c r="E193" s="39"/>
      <x:c r="F193" s="38" t="str"/>
      <x:c r="G193" s="38" t="str"/>
      <x:c r="H193" s="38" t="str"/>
      <x:c r="I193" s="38" t="str"/>
    </x:row>
    <x:row r="194">
      <x:c r="A194" s="46"/>
      <x:c r="B194" s="38" t="str"/>
      <x:c r="C194" s="38" t="str"/>
      <x:c r="D194" s="38" t="str"/>
      <x:c r="E194" s="39"/>
      <x:c r="F194" s="38" t="str"/>
      <x:c r="G194" s="38" t="str"/>
      <x:c r="H194" s="38" t="str"/>
      <x:c r="I194" s="38" t="str"/>
    </x:row>
    <x:row r="195">
      <x:c r="A195" s="46"/>
      <x:c r="B195" s="38" t="str"/>
      <x:c r="C195" s="38" t="str"/>
      <x:c r="D195" s="38" t="str"/>
      <x:c r="E195" s="39"/>
      <x:c r="F195" s="38" t="str"/>
      <x:c r="G195" s="38" t="str"/>
      <x:c r="H195" s="38" t="str"/>
      <x:c r="I195" s="38" t="str"/>
    </x:row>
    <x:row r="196">
      <x:c r="A196" s="46"/>
      <x:c r="B196" s="38" t="str"/>
      <x:c r="C196" s="38" t="str"/>
      <x:c r="D196" s="38" t="str"/>
      <x:c r="E196" s="39"/>
      <x:c r="F196" s="38" t="str"/>
      <x:c r="G196" s="38" t="str"/>
      <x:c r="H196" s="38" t="str"/>
      <x:c r="I196" s="38" t="str"/>
    </x:row>
    <x:row r="197">
      <x:c r="A197" s="46"/>
      <x:c r="B197" s="38" t="str"/>
      <x:c r="C197" s="38" t="str"/>
      <x:c r="D197" s="38" t="str"/>
      <x:c r="E197" s="39"/>
      <x:c r="F197" s="38" t="str"/>
      <x:c r="G197" s="38" t="str"/>
      <x:c r="H197" s="38" t="str"/>
      <x:c r="I197" s="38" t="str"/>
    </x:row>
    <x:row r="198">
      <x:c r="A198" s="46"/>
      <x:c r="B198" s="38" t="str"/>
      <x:c r="C198" s="38" t="str"/>
      <x:c r="D198" s="38" t="str"/>
      <x:c r="E198" s="39"/>
      <x:c r="F198" s="38" t="str"/>
      <x:c r="G198" s="38" t="str"/>
      <x:c r="H198" s="38" t="str"/>
      <x:c r="I198" s="38" t="str"/>
    </x:row>
    <x:row r="199">
      <x:c r="A199" s="46"/>
      <x:c r="B199" s="38" t="str"/>
      <x:c r="C199" s="38" t="str"/>
      <x:c r="D199" s="38" t="str"/>
      <x:c r="E199" s="39"/>
      <x:c r="F199" s="38" t="str"/>
      <x:c r="G199" s="38" t="str"/>
      <x:c r="H199" s="38" t="str"/>
      <x:c r="I199" s="38" t="str"/>
    </x:row>
    <x:row r="200">
      <x:c r="A200" s="46"/>
      <x:c r="B200" s="38" t="str"/>
      <x:c r="C200" s="38" t="str"/>
      <x:c r="D200" s="38" t="str"/>
      <x:c r="E200" s="39"/>
      <x:c r="F200" s="38" t="str"/>
      <x:c r="G200" s="38" t="str"/>
      <x:c r="H200" s="38" t="str"/>
      <x:c r="I200" s="38" t="str"/>
    </x:row>
    <x:row r="201">
      <x:c r="A201" s="46"/>
      <x:c r="B201" s="38" t="str"/>
      <x:c r="C201" s="38" t="str"/>
      <x:c r="D201" s="38" t="str"/>
      <x:c r="E201" s="39"/>
      <x:c r="F201" s="38" t="str"/>
      <x:c r="G201" s="38" t="str"/>
      <x:c r="H201" s="38" t="str"/>
      <x:c r="I201" s="38" t="str"/>
    </x:row>
    <x:row r="202">
      <x:c r="A202" s="46"/>
      <x:c r="B202" s="38" t="str"/>
      <x:c r="C202" s="38" t="str"/>
      <x:c r="D202" s="38" t="str"/>
      <x:c r="E202" s="39"/>
      <x:c r="F202" s="38" t="str"/>
      <x:c r="G202" s="38" t="str"/>
      <x:c r="H202" s="38" t="str"/>
      <x:c r="I202" s="38" t="str"/>
    </x:row>
    <x:row r="203">
      <x:c r="A203" s="46"/>
      <x:c r="B203" s="38" t="str"/>
      <x:c r="C203" s="38" t="str"/>
      <x:c r="D203" s="38" t="str"/>
      <x:c r="E203" s="39"/>
      <x:c r="F203" s="38" t="str"/>
      <x:c r="G203" s="38" t="str"/>
      <x:c r="H203" s="38" t="str"/>
      <x:c r="I203" s="38" t="str"/>
    </x:row>
    <x:row r="204">
      <x:c r="A204" s="46"/>
      <x:c r="B204" s="38" t="str"/>
      <x:c r="C204" s="38" t="str"/>
      <x:c r="D204" s="38" t="str"/>
      <x:c r="E204" s="39"/>
      <x:c r="F204" s="38" t="str"/>
      <x:c r="G204" s="38" t="str"/>
      <x:c r="H204" s="38" t="str"/>
      <x:c r="I204" s="38" t="str"/>
    </x:row>
    <x:row r="205">
      <x:c r="A205" s="46"/>
      <x:c r="B205" s="38" t="str"/>
      <x:c r="C205" s="38" t="str"/>
      <x:c r="D205" s="38" t="str"/>
      <x:c r="E205" s="39"/>
      <x:c r="F205" s="38" t="str"/>
      <x:c r="G205" s="38" t="str"/>
      <x:c r="H205" s="38" t="str"/>
      <x:c r="I205" s="38" t="str"/>
    </x:row>
    <x:row r="206">
      <x:c r="A206" s="46"/>
      <x:c r="B206" s="38" t="str"/>
      <x:c r="C206" s="38" t="str"/>
      <x:c r="D206" s="38" t="str"/>
      <x:c r="E206" s="39"/>
      <x:c r="F206" s="38" t="str"/>
      <x:c r="G206" s="38" t="str"/>
      <x:c r="H206" s="38" t="str"/>
      <x:c r="I206" s="38" t="str"/>
    </x:row>
    <x:row r="207">
      <x:c r="A207" s="46"/>
      <x:c r="B207" s="38" t="str"/>
      <x:c r="C207" s="38" t="str"/>
      <x:c r="D207" s="38" t="str"/>
      <x:c r="E207" s="39"/>
      <x:c r="F207" s="38" t="str"/>
      <x:c r="G207" s="38" t="str"/>
      <x:c r="H207" s="38" t="str"/>
      <x:c r="I207" s="38" t="str"/>
    </x:row>
    <x:row r="208">
      <x:c r="A208" s="46"/>
      <x:c r="B208" s="38" t="str"/>
      <x:c r="C208" s="38" t="str"/>
      <x:c r="D208" s="38" t="str"/>
      <x:c r="E208" s="39"/>
      <x:c r="F208" s="38" t="str"/>
      <x:c r="G208" s="38" t="str"/>
      <x:c r="H208" s="38" t="str"/>
      <x:c r="I208" s="38" t="str"/>
    </x:row>
    <x:row r="209">
      <x:c r="A209" s="46"/>
      <x:c r="B209" s="38" t="str"/>
      <x:c r="C209" s="38" t="str"/>
      <x:c r="D209" s="38" t="str"/>
      <x:c r="E209" s="39"/>
      <x:c r="F209" s="38" t="str"/>
      <x:c r="G209" s="38" t="str"/>
      <x:c r="H209" s="38" t="str"/>
      <x:c r="I209" s="38" t="str"/>
    </x:row>
    <x:row r="210">
      <x:c r="A210" s="46"/>
      <x:c r="B210" s="38" t="str"/>
      <x:c r="C210" s="38" t="str"/>
      <x:c r="D210" s="38" t="str"/>
      <x:c r="E210" s="39"/>
      <x:c r="F210" s="38" t="str"/>
      <x:c r="G210" s="38" t="str"/>
      <x:c r="H210" s="38" t="str"/>
      <x:c r="I210" s="38" t="str"/>
    </x:row>
    <x:row r="211">
      <x:c r="A211" s="46"/>
      <x:c r="B211" s="38" t="str"/>
      <x:c r="C211" s="38" t="str"/>
      <x:c r="D211" s="38" t="str"/>
      <x:c r="E211" s="39"/>
      <x:c r="F211" s="38" t="str"/>
      <x:c r="G211" s="38" t="str"/>
      <x:c r="H211" s="38" t="str"/>
      <x:c r="I211" s="38" t="str"/>
    </x:row>
    <x:row r="212">
      <x:c r="A212" s="46"/>
      <x:c r="B212" s="38" t="str"/>
      <x:c r="C212" s="38" t="str"/>
      <x:c r="D212" s="38" t="str"/>
      <x:c r="E212" s="39"/>
      <x:c r="F212" s="38" t="str"/>
      <x:c r="G212" s="38" t="str"/>
      <x:c r="H212" s="38" t="str"/>
      <x:c r="I212" s="38" t="str"/>
    </x:row>
    <x:row r="213">
      <x:c r="A213" s="46"/>
      <x:c r="B213" s="38" t="str"/>
      <x:c r="C213" s="38" t="str"/>
      <x:c r="D213" s="38" t="str"/>
      <x:c r="E213" s="39"/>
      <x:c r="F213" s="38" t="str"/>
      <x:c r="G213" s="38" t="str"/>
      <x:c r="H213" s="38" t="str"/>
      <x:c r="I213" s="38" t="str"/>
    </x:row>
    <x:row r="214">
      <x:c r="A214" s="46"/>
      <x:c r="B214" s="38" t="str"/>
      <x:c r="C214" s="38" t="str"/>
      <x:c r="D214" s="38" t="str"/>
      <x:c r="E214" s="39"/>
      <x:c r="F214" s="38" t="str"/>
      <x:c r="G214" s="38" t="str"/>
      <x:c r="H214" s="38" t="str"/>
      <x:c r="I214" s="38" t="str"/>
    </x:row>
    <x:row r="215">
      <x:c r="A215" s="46"/>
      <x:c r="B215" s="38" t="str"/>
      <x:c r="C215" s="38" t="str"/>
      <x:c r="D215" s="38" t="str"/>
      <x:c r="E215" s="39"/>
      <x:c r="F215" s="38" t="str"/>
      <x:c r="G215" s="38" t="str"/>
      <x:c r="H215" s="38" t="str"/>
      <x:c r="I215" s="38" t="str"/>
    </x:row>
    <x:row r="216">
      <x:c r="A216" s="46"/>
      <x:c r="B216" s="38" t="str"/>
      <x:c r="C216" s="38" t="str"/>
      <x:c r="D216" s="38" t="str"/>
      <x:c r="E216" s="39"/>
      <x:c r="F216" s="38" t="str"/>
      <x:c r="G216" s="38" t="str"/>
      <x:c r="H216" s="38" t="str"/>
      <x:c r="I216" s="38" t="str"/>
    </x:row>
    <x:row r="217">
      <x:c r="A217" s="46"/>
      <x:c r="B217" s="38" t="str"/>
      <x:c r="C217" s="38" t="str"/>
      <x:c r="D217" s="38" t="str"/>
      <x:c r="E217" s="39"/>
      <x:c r="F217" s="38" t="str"/>
      <x:c r="G217" s="38" t="str"/>
      <x:c r="H217" s="38" t="str"/>
      <x:c r="I217" s="38" t="str"/>
    </x:row>
    <x:row r="218">
      <x:c r="A218" s="46"/>
      <x:c r="B218" s="38" t="str"/>
      <x:c r="C218" s="38" t="str"/>
      <x:c r="D218" s="38" t="str"/>
      <x:c r="E218" s="39"/>
      <x:c r="F218" s="38" t="str"/>
      <x:c r="G218" s="38" t="str"/>
      <x:c r="H218" s="38" t="str"/>
      <x:c r="I218" s="38" t="str"/>
    </x:row>
    <x:row r="219">
      <x:c r="A219" s="46"/>
      <x:c r="B219" s="38" t="str"/>
      <x:c r="C219" s="38" t="str"/>
      <x:c r="D219" s="38" t="str"/>
      <x:c r="E219" s="39"/>
      <x:c r="F219" s="38" t="str"/>
      <x:c r="G219" s="38" t="str"/>
      <x:c r="H219" s="38" t="str"/>
      <x:c r="I219" s="38" t="str"/>
    </x:row>
    <x:row r="220">
      <x:c r="A220" s="46"/>
      <x:c r="B220" s="38" t="str"/>
      <x:c r="C220" s="38" t="str"/>
      <x:c r="D220" s="38" t="str"/>
      <x:c r="E220" s="39"/>
      <x:c r="F220" s="38" t="str"/>
      <x:c r="G220" s="38" t="str"/>
      <x:c r="H220" s="38" t="str"/>
      <x:c r="I220" s="38" t="str"/>
    </x:row>
    <x:row r="221">
      <x:c r="A221" s="46"/>
      <x:c r="B221" s="38" t="str"/>
      <x:c r="C221" s="38" t="str"/>
      <x:c r="D221" s="38" t="str"/>
      <x:c r="E221" s="39"/>
      <x:c r="F221" s="38" t="str"/>
      <x:c r="G221" s="38" t="str"/>
      <x:c r="H221" s="38" t="str"/>
      <x:c r="I221" s="38" t="str"/>
    </x:row>
    <x:row r="222">
      <x:c r="A222" s="46"/>
      <x:c r="B222" s="38" t="str"/>
      <x:c r="C222" s="38" t="str"/>
      <x:c r="D222" s="38" t="str"/>
      <x:c r="E222" s="39"/>
      <x:c r="F222" s="38" t="str"/>
      <x:c r="G222" s="38" t="str"/>
      <x:c r="H222" s="38" t="str"/>
      <x:c r="I222" s="38" t="str"/>
    </x:row>
    <x:row r="223">
      <x:c r="A223" s="46"/>
      <x:c r="B223" s="38" t="str"/>
      <x:c r="C223" s="38" t="str"/>
      <x:c r="D223" s="38" t="str"/>
      <x:c r="E223" s="39"/>
      <x:c r="F223" s="38" t="str"/>
      <x:c r="G223" s="38" t="str"/>
      <x:c r="H223" s="38" t="str"/>
      <x:c r="I223" s="38" t="str"/>
    </x:row>
    <x:row r="224">
      <x:c r="A224" s="46"/>
      <x:c r="B224" s="38" t="str"/>
      <x:c r="C224" s="38" t="str"/>
      <x:c r="D224" s="38" t="str"/>
      <x:c r="E224" s="39"/>
      <x:c r="F224" s="38" t="str"/>
      <x:c r="G224" s="38" t="str"/>
      <x:c r="H224" s="38" t="str"/>
      <x:c r="I224" s="38" t="str"/>
    </x:row>
    <x:row r="225">
      <x:c r="A225" s="46"/>
      <x:c r="B225" s="38" t="str"/>
      <x:c r="C225" s="38" t="str"/>
      <x:c r="D225" s="38" t="str"/>
      <x:c r="E225" s="39"/>
      <x:c r="F225" s="38" t="str"/>
      <x:c r="G225" s="38" t="str"/>
      <x:c r="H225" s="38" t="str"/>
      <x:c r="I225" s="38" t="str"/>
    </x:row>
    <x:row r="226">
      <x:c r="A226" s="46"/>
      <x:c r="B226" s="38" t="str"/>
      <x:c r="C226" s="38" t="str"/>
      <x:c r="D226" s="38" t="str"/>
      <x:c r="E226" s="39"/>
      <x:c r="F226" s="38" t="str"/>
      <x:c r="G226" s="38" t="str"/>
      <x:c r="H226" s="38" t="str"/>
      <x:c r="I226" s="38" t="str"/>
    </x:row>
    <x:row r="227">
      <x:c r="A227" s="46"/>
      <x:c r="B227" s="38" t="str"/>
      <x:c r="C227" s="38" t="str"/>
      <x:c r="D227" s="38" t="str"/>
      <x:c r="E227" s="39"/>
      <x:c r="F227" s="38" t="str"/>
      <x:c r="G227" s="38" t="str"/>
      <x:c r="H227" s="38" t="str"/>
      <x:c r="I227" s="38" t="str"/>
    </x:row>
    <x:row r="228">
      <x:c r="A228" s="46"/>
      <x:c r="B228" s="38" t="str"/>
      <x:c r="C228" s="38" t="str"/>
      <x:c r="D228" s="38" t="str"/>
      <x:c r="E228" s="39"/>
      <x:c r="F228" s="38" t="str"/>
      <x:c r="G228" s="38" t="str"/>
      <x:c r="H228" s="38" t="str"/>
      <x:c r="I228" s="38" t="str"/>
    </x:row>
    <x:row r="229">
      <x:c r="A229" s="46"/>
      <x:c r="B229" s="38" t="str"/>
      <x:c r="C229" s="38" t="str"/>
      <x:c r="D229" s="38" t="str"/>
      <x:c r="E229" s="39"/>
      <x:c r="F229" s="38" t="str"/>
      <x:c r="G229" s="38" t="str"/>
      <x:c r="H229" s="38" t="str"/>
      <x:c r="I229" s="38" t="str"/>
    </x:row>
    <x:row r="230">
      <x:c r="A230" s="46"/>
      <x:c r="B230" s="38" t="str"/>
      <x:c r="C230" s="38" t="str"/>
      <x:c r="D230" s="38" t="str"/>
      <x:c r="E230" s="39"/>
      <x:c r="F230" s="38" t="str"/>
      <x:c r="G230" s="38" t="str"/>
      <x:c r="H230" s="38" t="str"/>
      <x:c r="I230" s="38" t="str"/>
    </x:row>
    <x:row r="231">
      <x:c r="A231" s="46"/>
      <x:c r="B231" s="38" t="str"/>
      <x:c r="C231" s="38" t="str"/>
      <x:c r="D231" s="38" t="str"/>
      <x:c r="E231" s="39"/>
      <x:c r="F231" s="38" t="str"/>
      <x:c r="G231" s="38" t="str"/>
      <x:c r="H231" s="38" t="str"/>
      <x:c r="I231" s="38" t="str"/>
    </x:row>
    <x:row r="232">
      <x:c r="A232" s="46"/>
      <x:c r="B232" s="38" t="str"/>
      <x:c r="C232" s="38" t="str"/>
      <x:c r="D232" s="38" t="str"/>
      <x:c r="E232" s="39"/>
      <x:c r="F232" s="38" t="str"/>
      <x:c r="G232" s="38" t="str"/>
      <x:c r="H232" s="38" t="str"/>
      <x:c r="I232" s="38" t="str"/>
    </x:row>
    <x:row r="233">
      <x:c r="A233" s="46"/>
      <x:c r="B233" s="38" t="str"/>
      <x:c r="C233" s="38" t="str"/>
      <x:c r="D233" s="38" t="str"/>
      <x:c r="E233" s="39"/>
      <x:c r="F233" s="38" t="str"/>
      <x:c r="G233" s="38" t="str"/>
      <x:c r="H233" s="38" t="str"/>
      <x:c r="I233" s="38" t="str"/>
    </x:row>
    <x:row r="234">
      <x:c r="A234" s="46"/>
      <x:c r="B234" s="38" t="str"/>
      <x:c r="C234" s="38" t="str"/>
      <x:c r="D234" s="38" t="str"/>
      <x:c r="E234" s="39"/>
      <x:c r="F234" s="38" t="str"/>
      <x:c r="G234" s="38" t="str"/>
      <x:c r="H234" s="38" t="str"/>
      <x:c r="I234" s="38" t="str"/>
    </x:row>
    <x:row r="235">
      <x:c r="A235" s="46"/>
      <x:c r="B235" s="38" t="str"/>
      <x:c r="C235" s="38" t="str"/>
      <x:c r="D235" s="38" t="str"/>
      <x:c r="E235" s="39"/>
      <x:c r="F235" s="38" t="str"/>
      <x:c r="G235" s="38" t="str"/>
      <x:c r="H235" s="38" t="str"/>
      <x:c r="I235" s="38" t="str"/>
    </x:row>
    <x:row r="236">
      <x:c r="A236" s="46"/>
      <x:c r="B236" s="38" t="str"/>
      <x:c r="C236" s="38" t="str"/>
      <x:c r="D236" s="38" t="str"/>
      <x:c r="E236" s="39"/>
      <x:c r="F236" s="38" t="str"/>
      <x:c r="G236" s="38" t="str"/>
      <x:c r="H236" s="38" t="str"/>
      <x:c r="I236" s="38" t="str"/>
    </x:row>
    <x:row r="237">
      <x:c r="A237" s="46"/>
      <x:c r="B237" s="38" t="str"/>
      <x:c r="C237" s="38" t="str"/>
      <x:c r="D237" s="38" t="str"/>
      <x:c r="E237" s="39"/>
      <x:c r="F237" s="38" t="str"/>
      <x:c r="G237" s="38" t="str"/>
      <x:c r="H237" s="38" t="str"/>
      <x:c r="I237" s="38" t="str"/>
    </x:row>
    <x:row r="238">
      <x:c r="A238" s="46"/>
      <x:c r="B238" s="38" t="str"/>
      <x:c r="C238" s="38" t="str"/>
      <x:c r="D238" s="38" t="str"/>
      <x:c r="E238" s="39"/>
      <x:c r="F238" s="38" t="str"/>
      <x:c r="G238" s="38" t="str"/>
      <x:c r="H238" s="38" t="str"/>
      <x:c r="I238" s="38" t="str"/>
    </x:row>
    <x:row r="239">
      <x:c r="A239" s="46"/>
      <x:c r="B239" s="38" t="str"/>
      <x:c r="C239" s="38" t="str"/>
      <x:c r="D239" s="38" t="str"/>
      <x:c r="E239" s="39"/>
      <x:c r="F239" s="38" t="str"/>
      <x:c r="G239" s="38" t="str"/>
      <x:c r="H239" s="38" t="str"/>
      <x:c r="I239" s="38" t="str"/>
    </x:row>
    <x:row r="240">
      <x:c r="A240" s="46"/>
      <x:c r="B240" s="38" t="str"/>
      <x:c r="C240" s="38" t="str"/>
      <x:c r="D240" s="38" t="str"/>
      <x:c r="E240" s="39"/>
      <x:c r="F240" s="38" t="str"/>
      <x:c r="G240" s="38" t="str"/>
      <x:c r="H240" s="38" t="str"/>
      <x:c r="I240" s="38" t="str"/>
    </x:row>
    <x:row r="241">
      <x:c r="A241" s="46"/>
      <x:c r="B241" s="38" t="str"/>
      <x:c r="C241" s="38" t="str"/>
      <x:c r="D241" s="38" t="str"/>
      <x:c r="E241" s="39"/>
      <x:c r="F241" s="38" t="str"/>
      <x:c r="G241" s="38" t="str"/>
      <x:c r="H241" s="38" t="str"/>
      <x:c r="I241" s="38" t="str"/>
    </x:row>
    <x:row r="242">
      <x:c r="A242" s="46"/>
      <x:c r="B242" s="38" t="str"/>
      <x:c r="C242" s="38" t="str"/>
      <x:c r="D242" s="38" t="str"/>
      <x:c r="E242" s="39"/>
      <x:c r="F242" s="38" t="str"/>
      <x:c r="G242" s="38" t="str"/>
      <x:c r="H242" s="38" t="str"/>
      <x:c r="I242" s="38" t="str"/>
    </x:row>
    <x:row r="243">
      <x:c r="A243" s="46"/>
      <x:c r="B243" s="38" t="str"/>
      <x:c r="C243" s="38" t="str"/>
      <x:c r="D243" s="38" t="str"/>
      <x:c r="E243" s="39"/>
      <x:c r="F243" s="38" t="str"/>
      <x:c r="G243" s="38" t="str"/>
      <x:c r="H243" s="38" t="str"/>
      <x:c r="I243" s="38" t="str"/>
    </x:row>
    <x:row r="244">
      <x:c r="A244" s="46"/>
      <x:c r="B244" s="38" t="str"/>
      <x:c r="C244" s="38" t="str"/>
      <x:c r="D244" s="38" t="str"/>
      <x:c r="E244" s="39"/>
      <x:c r="F244" s="38" t="str"/>
      <x:c r="G244" s="38" t="str"/>
      <x:c r="H244" s="38" t="str"/>
      <x:c r="I244" s="38" t="str"/>
    </x:row>
    <x:row r="245">
      <x:c r="A245" s="46"/>
      <x:c r="B245" s="38" t="str"/>
      <x:c r="C245" s="38" t="str"/>
      <x:c r="D245" s="38" t="str"/>
      <x:c r="E245" s="39"/>
      <x:c r="F245" s="38" t="str"/>
      <x:c r="G245" s="38" t="str"/>
      <x:c r="H245" s="38" t="str"/>
      <x:c r="I245" s="38" t="str"/>
    </x:row>
    <x:row r="246">
      <x:c r="A246" s="46"/>
      <x:c r="B246" s="38" t="str"/>
      <x:c r="C246" s="38" t="str"/>
      <x:c r="D246" s="38" t="str"/>
      <x:c r="E246" s="39"/>
      <x:c r="F246" s="38" t="str"/>
      <x:c r="G246" s="38" t="str"/>
      <x:c r="H246" s="38" t="str"/>
      <x:c r="I246" s="38" t="str"/>
    </x:row>
    <x:row r="247">
      <x:c r="A247" s="46"/>
      <x:c r="B247" s="38" t="str"/>
      <x:c r="C247" s="38" t="str"/>
      <x:c r="D247" s="38" t="str"/>
      <x:c r="E247" s="39"/>
      <x:c r="F247" s="38" t="str"/>
      <x:c r="G247" s="38" t="str"/>
      <x:c r="H247" s="38" t="str"/>
      <x:c r="I247" s="38" t="str"/>
    </x:row>
    <x:row r="248">
      <x:c r="A248" s="46"/>
      <x:c r="B248" s="38" t="str"/>
      <x:c r="C248" s="38" t="str"/>
      <x:c r="D248" s="38" t="str"/>
      <x:c r="E248" s="39"/>
      <x:c r="F248" s="38" t="str"/>
      <x:c r="G248" s="38" t="str"/>
      <x:c r="H248" s="38" t="str"/>
      <x:c r="I248" s="38" t="str"/>
    </x:row>
    <x:row r="249">
      <x:c r="A249" s="46"/>
      <x:c r="B249" s="38" t="str"/>
      <x:c r="C249" s="38" t="str"/>
      <x:c r="D249" s="38" t="str"/>
      <x:c r="E249" s="39"/>
      <x:c r="F249" s="38" t="str"/>
      <x:c r="G249" s="38" t="str"/>
      <x:c r="H249" s="38" t="str"/>
      <x:c r="I249" s="38" t="str"/>
    </x:row>
    <x:row r="250">
      <x:c r="A250" s="46"/>
      <x:c r="B250" s="38" t="str"/>
      <x:c r="C250" s="38" t="str"/>
      <x:c r="D250" s="38" t="str"/>
      <x:c r="E250" s="39"/>
      <x:c r="F250" s="38" t="str"/>
      <x:c r="G250" s="38" t="str"/>
      <x:c r="H250" s="38" t="str"/>
      <x:c r="I250" s="38" t="str"/>
    </x:row>
    <x:row r="251">
      <x:c r="A251" s="46"/>
      <x:c r="B251" s="38" t="str"/>
      <x:c r="C251" s="38" t="str"/>
      <x:c r="D251" s="38" t="str"/>
      <x:c r="E251" s="39"/>
      <x:c r="F251" s="38" t="str"/>
      <x:c r="G251" s="38" t="str"/>
      <x:c r="H251" s="38" t="str"/>
      <x:c r="I251" s="38" t="str"/>
    </x:row>
    <x:row r="252">
      <x:c r="A252" s="46"/>
      <x:c r="B252" s="38" t="str"/>
      <x:c r="C252" s="38" t="str"/>
      <x:c r="D252" s="38" t="str"/>
      <x:c r="E252" s="39"/>
      <x:c r="F252" s="38" t="str"/>
      <x:c r="G252" s="38" t="str"/>
      <x:c r="H252" s="38" t="str"/>
      <x:c r="I252" s="38" t="str"/>
    </x:row>
    <x:row r="253">
      <x:c r="A253" s="46"/>
      <x:c r="B253" s="38" t="str"/>
      <x:c r="C253" s="38" t="str"/>
      <x:c r="D253" s="38" t="str"/>
      <x:c r="E253" s="39"/>
      <x:c r="F253" s="38" t="str"/>
      <x:c r="G253" s="38" t="str"/>
      <x:c r="H253" s="38" t="str"/>
      <x:c r="I253" s="38" t="str"/>
    </x:row>
    <x:row r="254">
      <x:c r="A254" s="46"/>
      <x:c r="B254" s="38" t="str"/>
      <x:c r="C254" s="38" t="str"/>
      <x:c r="D254" s="38" t="str"/>
      <x:c r="E254" s="39"/>
      <x:c r="F254" s="38" t="str"/>
      <x:c r="G254" s="38" t="str"/>
      <x:c r="H254" s="38" t="str"/>
      <x:c r="I254" s="38" t="str"/>
    </x:row>
    <x:row r="255">
      <x:c r="A255" s="46"/>
      <x:c r="B255" s="38" t="str"/>
      <x:c r="C255" s="38" t="str"/>
      <x:c r="D255" s="38" t="str"/>
      <x:c r="E255" s="39"/>
      <x:c r="F255" s="38" t="str"/>
      <x:c r="G255" s="38" t="str"/>
      <x:c r="H255" s="38" t="str"/>
      <x:c r="I255" s="38" t="str"/>
    </x:row>
    <x:row r="256">
      <x:c r="A256" s="46"/>
      <x:c r="B256" s="38" t="str"/>
      <x:c r="C256" s="38" t="str"/>
      <x:c r="D256" s="38" t="str"/>
      <x:c r="E256" s="39"/>
      <x:c r="F256" s="38" t="str"/>
      <x:c r="G256" s="38" t="str"/>
      <x:c r="H256" s="38" t="str"/>
      <x:c r="I256" s="38" t="str"/>
    </x:row>
    <x:row r="257">
      <x:c r="A257" s="46"/>
      <x:c r="B257" s="38" t="str"/>
      <x:c r="C257" s="38" t="str"/>
      <x:c r="D257" s="38" t="str"/>
      <x:c r="E257" s="39"/>
      <x:c r="F257" s="38" t="str"/>
      <x:c r="G257" s="38" t="str"/>
      <x:c r="H257" s="38" t="str"/>
      <x:c r="I257" s="38" t="str"/>
    </x:row>
    <x:row r="258">
      <x:c r="A258" s="46"/>
      <x:c r="B258" s="38" t="str"/>
      <x:c r="C258" s="38" t="str"/>
      <x:c r="D258" s="38" t="str"/>
      <x:c r="E258" s="39"/>
      <x:c r="F258" s="38" t="str"/>
      <x:c r="G258" s="38" t="str"/>
      <x:c r="H258" s="38" t="str"/>
      <x:c r="I258" s="38" t="str"/>
    </x:row>
    <x:row r="259">
      <x:c r="A259" s="46"/>
      <x:c r="B259" s="38" t="str"/>
      <x:c r="C259" s="38" t="str"/>
      <x:c r="D259" s="38" t="str"/>
      <x:c r="E259" s="39"/>
      <x:c r="F259" s="38" t="str"/>
      <x:c r="G259" s="38" t="str"/>
      <x:c r="H259" s="38" t="str"/>
      <x:c r="I259" s="38" t="str"/>
    </x:row>
    <x:row r="260">
      <x:c r="A260" s="46"/>
      <x:c r="B260" s="38" t="str"/>
      <x:c r="C260" s="38" t="str"/>
      <x:c r="D260" s="38" t="str"/>
      <x:c r="E260" s="39"/>
      <x:c r="F260" s="38" t="str"/>
      <x:c r="G260" s="38" t="str"/>
      <x:c r="H260" s="38" t="str"/>
      <x:c r="I260" s="38" t="str"/>
    </x:row>
    <x:row r="261">
      <x:c r="A261" s="46"/>
      <x:c r="B261" s="38" t="str"/>
      <x:c r="C261" s="38" t="str"/>
      <x:c r="D261" s="38" t="str"/>
      <x:c r="E261" s="39"/>
      <x:c r="F261" s="38" t="str"/>
      <x:c r="G261" s="38" t="str"/>
      <x:c r="H261" s="38" t="str"/>
      <x:c r="I261" s="38" t="str"/>
    </x:row>
    <x:row r="262">
      <x:c r="A262" s="46"/>
      <x:c r="B262" s="38" t="str"/>
      <x:c r="C262" s="38" t="str"/>
      <x:c r="D262" s="38" t="str"/>
      <x:c r="E262" s="39"/>
      <x:c r="F262" s="38" t="str"/>
      <x:c r="G262" s="38" t="str"/>
      <x:c r="H262" s="38" t="str"/>
      <x:c r="I262" s="38" t="str"/>
    </x:row>
    <x:row r="263">
      <x:c r="A263" s="46"/>
      <x:c r="B263" s="38" t="str"/>
      <x:c r="C263" s="38" t="str"/>
      <x:c r="D263" s="38" t="str"/>
      <x:c r="E263" s="39"/>
      <x:c r="F263" s="38" t="str"/>
      <x:c r="G263" s="38" t="str"/>
      <x:c r="H263" s="38" t="str"/>
      <x:c r="I263" s="38" t="str"/>
    </x:row>
    <x:row r="264">
      <x:c r="A264" s="46"/>
      <x:c r="B264" s="38" t="str"/>
      <x:c r="C264" s="38" t="str"/>
      <x:c r="D264" s="38" t="str"/>
      <x:c r="E264" s="39"/>
      <x:c r="F264" s="38" t="str"/>
      <x:c r="G264" s="38" t="str"/>
      <x:c r="H264" s="38" t="str"/>
      <x:c r="I264" s="38" t="str"/>
    </x:row>
    <x:row r="265">
      <x:c r="A265" s="46"/>
      <x:c r="B265" s="38" t="str"/>
      <x:c r="C265" s="38" t="str"/>
      <x:c r="D265" s="38" t="str"/>
      <x:c r="E265" s="39"/>
      <x:c r="F265" s="38" t="str"/>
      <x:c r="G265" s="38" t="str"/>
      <x:c r="H265" s="38" t="str"/>
      <x:c r="I265" s="38" t="str"/>
    </x:row>
    <x:row r="266">
      <x:c r="A266" s="46"/>
      <x:c r="B266" s="38" t="str"/>
      <x:c r="C266" s="38" t="str"/>
      <x:c r="D266" s="38" t="str"/>
      <x:c r="E266" s="39"/>
      <x:c r="F266" s="38" t="str"/>
      <x:c r="G266" s="38" t="str"/>
      <x:c r="H266" s="38" t="str"/>
      <x:c r="I266" s="38" t="str"/>
    </x:row>
    <x:row r="267">
      <x:c r="A267" s="46"/>
      <x:c r="B267" s="38" t="str"/>
      <x:c r="C267" s="38" t="str"/>
      <x:c r="D267" s="38" t="str"/>
      <x:c r="E267" s="39"/>
      <x:c r="F267" s="38" t="str"/>
      <x:c r="G267" s="38" t="str"/>
      <x:c r="H267" s="38" t="str"/>
      <x:c r="I267" s="38" t="str"/>
    </x:row>
    <x:row r="268">
      <x:c r="A268" s="46"/>
      <x:c r="B268" s="38" t="str"/>
      <x:c r="C268" s="38" t="str"/>
      <x:c r="D268" s="38" t="str"/>
      <x:c r="E268" s="39"/>
      <x:c r="F268" s="38" t="str"/>
      <x:c r="G268" s="38" t="str"/>
      <x:c r="H268" s="38" t="str"/>
      <x:c r="I268" s="38" t="str"/>
    </x:row>
    <x:row r="269">
      <x:c r="A269" s="46"/>
      <x:c r="B269" s="38" t="str"/>
      <x:c r="C269" s="38" t="str"/>
      <x:c r="D269" s="38" t="str"/>
      <x:c r="E269" s="39"/>
      <x:c r="F269" s="38" t="str"/>
      <x:c r="G269" s="38" t="str"/>
      <x:c r="H269" s="38" t="str"/>
      <x:c r="I269" s="38" t="str"/>
    </x:row>
    <x:row r="270">
      <x:c r="A270" s="46"/>
      <x:c r="B270" s="38" t="str"/>
      <x:c r="C270" s="38" t="str"/>
      <x:c r="D270" s="38" t="str"/>
      <x:c r="E270" s="39"/>
      <x:c r="F270" s="38" t="str"/>
      <x:c r="G270" s="38" t="str"/>
      <x:c r="H270" s="38" t="str"/>
      <x:c r="I270" s="38" t="str"/>
    </x:row>
    <x:row r="271">
      <x:c r="A271" s="46"/>
      <x:c r="B271" s="38" t="str"/>
      <x:c r="C271" s="38" t="str"/>
      <x:c r="D271" s="38" t="str"/>
      <x:c r="E271" s="39"/>
      <x:c r="F271" s="38" t="str"/>
      <x:c r="G271" s="38" t="str"/>
      <x:c r="H271" s="38" t="str"/>
      <x:c r="I271" s="38" t="str"/>
    </x:row>
    <x:row r="272">
      <x:c r="A272" s="46"/>
      <x:c r="B272" s="38" t="str"/>
      <x:c r="C272" s="38" t="str"/>
      <x:c r="D272" s="38" t="str"/>
      <x:c r="E272" s="39"/>
      <x:c r="F272" s="38" t="str"/>
      <x:c r="G272" s="38" t="str"/>
      <x:c r="H272" s="38" t="str"/>
      <x:c r="I272" s="38" t="str"/>
    </x:row>
    <x:row r="273">
      <x:c r="A273" s="46"/>
      <x:c r="B273" s="38" t="str"/>
      <x:c r="C273" s="38" t="str"/>
      <x:c r="D273" s="38" t="str"/>
      <x:c r="E273" s="39"/>
      <x:c r="F273" s="38" t="str"/>
      <x:c r="G273" s="38" t="str"/>
      <x:c r="H273" s="38" t="str"/>
      <x:c r="I273" s="38" t="str"/>
    </x:row>
    <x:row r="274">
      <x:c r="A274" s="46"/>
      <x:c r="B274" s="38" t="str"/>
      <x:c r="C274" s="38" t="str"/>
      <x:c r="D274" s="38" t="str"/>
      <x:c r="E274" s="39"/>
      <x:c r="F274" s="38" t="str"/>
      <x:c r="G274" s="38" t="str"/>
      <x:c r="H274" s="38" t="str"/>
      <x:c r="I274" s="38" t="str"/>
    </x:row>
    <x:row r="275">
      <x:c r="A275" s="46"/>
      <x:c r="B275" s="38" t="str"/>
      <x:c r="C275" s="38" t="str"/>
      <x:c r="D275" s="38" t="str"/>
      <x:c r="E275" s="39"/>
      <x:c r="F275" s="38" t="str"/>
      <x:c r="G275" s="38" t="str"/>
      <x:c r="H275" s="38" t="str"/>
      <x:c r="I275" s="38" t="str"/>
    </x:row>
    <x:row r="276">
      <x:c r="A276" s="46"/>
      <x:c r="B276" s="38" t="str"/>
      <x:c r="C276" s="38" t="str"/>
      <x:c r="D276" s="38" t="str"/>
      <x:c r="E276" s="39"/>
      <x:c r="F276" s="38" t="str"/>
      <x:c r="G276" s="38" t="str"/>
      <x:c r="H276" s="38" t="str"/>
      <x:c r="I276" s="38" t="str"/>
    </x:row>
    <x:row r="277">
      <x:c r="A277" s="46"/>
      <x:c r="B277" s="38" t="str"/>
      <x:c r="C277" s="38" t="str"/>
      <x:c r="D277" s="38" t="str"/>
      <x:c r="E277" s="39"/>
      <x:c r="F277" s="38" t="str"/>
      <x:c r="G277" s="38" t="str"/>
      <x:c r="H277" s="38" t="str"/>
      <x:c r="I277" s="38" t="str"/>
    </x:row>
    <x:row r="278">
      <x:c r="A278" s="46"/>
      <x:c r="B278" s="38" t="str"/>
      <x:c r="C278" s="38" t="str"/>
      <x:c r="D278" s="38" t="str"/>
      <x:c r="E278" s="39"/>
      <x:c r="F278" s="38" t="str"/>
      <x:c r="G278" s="38" t="str"/>
      <x:c r="H278" s="38" t="str"/>
      <x:c r="I278" s="38" t="str"/>
    </x:row>
    <x:row r="279">
      <x:c r="A279" s="46"/>
      <x:c r="B279" s="38" t="str"/>
      <x:c r="C279" s="38" t="str"/>
      <x:c r="D279" s="38" t="str"/>
      <x:c r="E279" s="39"/>
      <x:c r="F279" s="38" t="str"/>
      <x:c r="G279" s="38" t="str"/>
      <x:c r="H279" s="38" t="str"/>
      <x:c r="I279" s="38" t="str"/>
    </x:row>
    <x:row r="280">
      <x:c r="A280" s="46"/>
      <x:c r="B280" s="38" t="str"/>
      <x:c r="C280" s="38" t="str"/>
      <x:c r="D280" s="38" t="str"/>
      <x:c r="E280" s="39"/>
      <x:c r="F280" s="38" t="str"/>
      <x:c r="G280" s="38" t="str"/>
      <x:c r="H280" s="38" t="str"/>
      <x:c r="I280" s="38" t="str"/>
    </x:row>
    <x:row r="281">
      <x:c r="A281" s="46"/>
      <x:c r="B281" s="38" t="str"/>
      <x:c r="C281" s="38" t="str"/>
      <x:c r="D281" s="38" t="str"/>
      <x:c r="E281" s="39"/>
      <x:c r="F281" s="38" t="str"/>
      <x:c r="G281" s="38" t="str"/>
      <x:c r="H281" s="38" t="str"/>
      <x:c r="I281" s="38" t="str"/>
    </x:row>
    <x:row r="282">
      <x:c r="A282" s="46"/>
      <x:c r="B282" s="38" t="str"/>
      <x:c r="C282" s="38" t="str"/>
      <x:c r="D282" s="38" t="str"/>
      <x:c r="E282" s="39"/>
      <x:c r="F282" s="38" t="str"/>
      <x:c r="G282" s="38" t="str"/>
      <x:c r="H282" s="38" t="str"/>
      <x:c r="I282" s="38" t="str"/>
    </x:row>
    <x:row r="283">
      <x:c r="A283" s="46"/>
      <x:c r="B283" s="38" t="str"/>
      <x:c r="C283" s="38" t="str"/>
      <x:c r="D283" s="38" t="str"/>
      <x:c r="E283" s="39"/>
      <x:c r="F283" s="38" t="str"/>
      <x:c r="G283" s="38" t="str"/>
      <x:c r="H283" s="38" t="str"/>
      <x:c r="I283" s="38" t="str"/>
    </x:row>
    <x:row r="284">
      <x:c r="A284" s="46"/>
      <x:c r="B284" s="38" t="str"/>
      <x:c r="C284" s="38" t="str"/>
      <x:c r="D284" s="38" t="str"/>
      <x:c r="E284" s="39"/>
      <x:c r="F284" s="38" t="str"/>
      <x:c r="G284" s="38" t="str"/>
      <x:c r="H284" s="38" t="str"/>
      <x:c r="I284" s="38" t="str"/>
    </x:row>
    <x:row r="285">
      <x:c r="A285" s="46"/>
      <x:c r="B285" s="38" t="str"/>
      <x:c r="C285" s="38" t="str"/>
      <x:c r="D285" s="38" t="str"/>
      <x:c r="E285" s="39"/>
      <x:c r="F285" s="38" t="str"/>
      <x:c r="G285" s="38" t="str"/>
      <x:c r="H285" s="38" t="str"/>
      <x:c r="I285" s="38" t="str"/>
    </x:row>
    <x:row r="286">
      <x:c r="A286" s="46"/>
      <x:c r="B286" s="38" t="str"/>
      <x:c r="C286" s="38" t="str"/>
      <x:c r="D286" s="38" t="str"/>
      <x:c r="E286" s="39"/>
      <x:c r="F286" s="38" t="str"/>
      <x:c r="G286" s="38" t="str"/>
      <x:c r="H286" s="38" t="str"/>
      <x:c r="I286" s="38" t="str"/>
    </x:row>
    <x:row r="287">
      <x:c r="A287" s="46"/>
      <x:c r="B287" s="38" t="str"/>
      <x:c r="C287" s="38" t="str"/>
      <x:c r="D287" s="38" t="str"/>
      <x:c r="E287" s="39"/>
      <x:c r="F287" s="38" t="str"/>
      <x:c r="G287" s="38" t="str"/>
      <x:c r="H287" s="38" t="str"/>
      <x:c r="I287" s="38" t="str"/>
    </x:row>
    <x:row r="288">
      <x:c r="A288" s="46"/>
      <x:c r="B288" s="38" t="str"/>
      <x:c r="C288" s="38" t="str"/>
      <x:c r="D288" s="38" t="str"/>
      <x:c r="E288" s="39"/>
      <x:c r="F288" s="38" t="str"/>
      <x:c r="G288" s="38" t="str"/>
      <x:c r="H288" s="38" t="str"/>
      <x:c r="I288" s="38" t="str"/>
    </x:row>
    <x:row r="289">
      <x:c r="A289" s="46"/>
      <x:c r="B289" s="38" t="str"/>
      <x:c r="C289" s="38" t="str"/>
      <x:c r="D289" s="38" t="str"/>
      <x:c r="E289" s="39"/>
      <x:c r="F289" s="38" t="str"/>
      <x:c r="G289" s="38" t="str"/>
      <x:c r="H289" s="38" t="str"/>
      <x:c r="I289" s="38" t="str"/>
    </x:row>
    <x:row r="290">
      <x:c r="A290" s="46"/>
      <x:c r="B290" s="38" t="str"/>
      <x:c r="C290" s="38" t="str"/>
      <x:c r="D290" s="38" t="str"/>
      <x:c r="E290" s="39"/>
      <x:c r="F290" s="38" t="str"/>
      <x:c r="G290" s="38" t="str"/>
      <x:c r="H290" s="38" t="str"/>
      <x:c r="I290" s="38" t="str"/>
    </x:row>
    <x:row r="291">
      <x:c r="A291" s="46"/>
      <x:c r="B291" s="38" t="str"/>
      <x:c r="C291" s="38" t="str"/>
      <x:c r="D291" s="38" t="str"/>
      <x:c r="E291" s="39"/>
      <x:c r="F291" s="38" t="str"/>
      <x:c r="G291" s="38" t="str"/>
      <x:c r="H291" s="38" t="str"/>
      <x:c r="I291" s="38" t="str"/>
    </x:row>
    <x:row r="292">
      <x:c r="A292" s="46"/>
      <x:c r="B292" s="38" t="str"/>
      <x:c r="C292" s="38" t="str"/>
      <x:c r="D292" s="38" t="str"/>
      <x:c r="E292" s="39"/>
      <x:c r="F292" s="38" t="str"/>
      <x:c r="G292" s="38" t="str"/>
      <x:c r="H292" s="38" t="str"/>
      <x:c r="I292" s="38" t="str"/>
    </x:row>
    <x:row r="293">
      <x:c r="A293" s="46"/>
      <x:c r="B293" s="38" t="str"/>
      <x:c r="C293" s="38" t="str"/>
      <x:c r="D293" s="38" t="str"/>
      <x:c r="E293" s="39"/>
      <x:c r="F293" s="38" t="str"/>
      <x:c r="G293" s="38" t="str"/>
      <x:c r="H293" s="38" t="str"/>
      <x:c r="I293" s="38" t="str"/>
    </x:row>
    <x:row r="294">
      <x:c r="A294" s="46"/>
      <x:c r="B294" s="38" t="str"/>
      <x:c r="C294" s="38" t="str"/>
      <x:c r="D294" s="38" t="str"/>
      <x:c r="E294" s="39"/>
      <x:c r="F294" s="38" t="str"/>
      <x:c r="G294" s="38" t="str"/>
      <x:c r="H294" s="38" t="str"/>
      <x:c r="I294" s="38" t="str"/>
    </x:row>
    <x:row r="295">
      <x:c r="A295" s="46"/>
      <x:c r="B295" s="38" t="str"/>
      <x:c r="C295" s="38" t="str"/>
      <x:c r="D295" s="38" t="str"/>
      <x:c r="E295" s="39"/>
      <x:c r="F295" s="38" t="str"/>
      <x:c r="G295" s="38" t="str"/>
      <x:c r="H295" s="38" t="str"/>
      <x:c r="I295" s="38" t="str"/>
    </x:row>
    <x:row r="296">
      <x:c r="A296" s="46"/>
      <x:c r="B296" s="38" t="str"/>
      <x:c r="C296" s="38" t="str"/>
      <x:c r="D296" s="38" t="str"/>
      <x:c r="E296" s="39"/>
      <x:c r="F296" s="38" t="str"/>
      <x:c r="G296" s="38" t="str"/>
      <x:c r="H296" s="38" t="str"/>
      <x:c r="I296" s="38" t="str"/>
    </x:row>
    <x:row r="297">
      <x:c r="A297" s="46"/>
      <x:c r="B297" s="38" t="str"/>
      <x:c r="C297" s="38" t="str"/>
      <x:c r="D297" s="38" t="str"/>
      <x:c r="E297" s="39"/>
      <x:c r="F297" s="38" t="str"/>
      <x:c r="G297" s="38" t="str"/>
      <x:c r="H297" s="38" t="str"/>
      <x:c r="I297" s="38" t="str"/>
    </x:row>
    <x:row r="298">
      <x:c r="A298" s="46"/>
      <x:c r="B298" s="38" t="str"/>
      <x:c r="C298" s="38" t="str"/>
      <x:c r="D298" s="38" t="str"/>
      <x:c r="E298" s="39"/>
      <x:c r="F298" s="38" t="str"/>
      <x:c r="G298" s="38" t="str"/>
      <x:c r="H298" s="38" t="str"/>
      <x:c r="I298" s="38" t="str"/>
    </x:row>
    <x:row r="299">
      <x:c r="A299" s="46"/>
      <x:c r="B299" s="38" t="str"/>
      <x:c r="C299" s="38" t="str"/>
      <x:c r="D299" s="38" t="str"/>
      <x:c r="E299" s="39"/>
      <x:c r="F299" s="38" t="str"/>
      <x:c r="G299" s="38" t="str"/>
      <x:c r="H299" s="38" t="str"/>
      <x:c r="I299" s="38" t="str"/>
    </x:row>
    <x:row r="300">
      <x:c r="A300" s="46"/>
      <x:c r="B300" s="38" t="str"/>
      <x:c r="C300" s="38" t="str"/>
      <x:c r="D300" s="38" t="str"/>
      <x:c r="E300" s="39"/>
      <x:c r="F300" s="38" t="str"/>
      <x:c r="G300" s="38" t="str"/>
      <x:c r="H300" s="38" t="str"/>
      <x:c r="I300" s="38" t="str"/>
    </x:row>
    <x:row r="301">
      <x:c r="A301" s="46"/>
      <x:c r="B301" s="38" t="str"/>
      <x:c r="C301" s="38" t="str"/>
      <x:c r="D301" s="38" t="str"/>
      <x:c r="E301" s="39"/>
      <x:c r="F301" s="38" t="str"/>
      <x:c r="G301" s="38" t="str"/>
      <x:c r="H301" s="38" t="str"/>
      <x:c r="I301" s="38" t="str"/>
    </x:row>
    <x:row r="302">
      <x:c r="A302" s="46"/>
      <x:c r="B302" s="38" t="str"/>
      <x:c r="C302" s="38" t="str"/>
      <x:c r="D302" s="38" t="str"/>
      <x:c r="E302" s="39"/>
      <x:c r="F302" s="38" t="str"/>
      <x:c r="G302" s="38" t="str"/>
      <x:c r="H302" s="38" t="str"/>
      <x:c r="I302" s="38" t="str"/>
    </x:row>
    <x:row r="303">
      <x:c r="A303" s="46"/>
      <x:c r="B303" s="38" t="str"/>
      <x:c r="C303" s="38" t="str"/>
      <x:c r="D303" s="38" t="str"/>
      <x:c r="E303" s="39"/>
      <x:c r="F303" s="38" t="str"/>
      <x:c r="G303" s="38" t="str"/>
      <x:c r="H303" s="38" t="str"/>
      <x:c r="I303" s="38" t="str"/>
    </x:row>
    <x:row r="304">
      <x:c r="A304" s="46"/>
      <x:c r="B304" s="38" t="str"/>
      <x:c r="C304" s="38" t="str"/>
      <x:c r="D304" s="38" t="str"/>
      <x:c r="E304" s="39"/>
      <x:c r="F304" s="38" t="str"/>
      <x:c r="G304" s="38" t="str"/>
      <x:c r="H304" s="38" t="str"/>
      <x:c r="I304" s="38" t="str"/>
    </x:row>
    <x:row r="305">
      <x:c r="A305" s="46"/>
      <x:c r="B305" s="38" t="str"/>
      <x:c r="C305" s="38" t="str"/>
      <x:c r="D305" s="38" t="str"/>
      <x:c r="E305" s="39"/>
      <x:c r="F305" s="38" t="str"/>
      <x:c r="G305" s="38" t="str"/>
      <x:c r="H305" s="38" t="str"/>
      <x:c r="I305" s="38" t="str"/>
    </x:row>
    <x:row r="306">
      <x:c r="A306" s="46"/>
      <x:c r="B306" s="38" t="str"/>
      <x:c r="C306" s="38" t="str"/>
      <x:c r="D306" s="38" t="str"/>
      <x:c r="E306" s="39"/>
      <x:c r="F306" s="38" t="str"/>
      <x:c r="G306" s="38" t="str"/>
      <x:c r="H306" s="38" t="str"/>
      <x:c r="I306" s="38" t="str"/>
    </x:row>
    <x:row r="307">
      <x:c r="A307" s="46"/>
      <x:c r="B307" s="38" t="str"/>
      <x:c r="C307" s="38" t="str"/>
      <x:c r="D307" s="38" t="str"/>
      <x:c r="E307" s="39"/>
      <x:c r="F307" s="38" t="str"/>
      <x:c r="G307" s="38" t="str"/>
      <x:c r="H307" s="38" t="str"/>
      <x:c r="I307" s="38" t="str"/>
    </x:row>
    <x:row r="308">
      <x:c r="A308" s="46"/>
      <x:c r="B308" s="38" t="str"/>
      <x:c r="C308" s="38" t="str"/>
      <x:c r="D308" s="38" t="str"/>
      <x:c r="E308" s="39"/>
      <x:c r="F308" s="38" t="str"/>
      <x:c r="G308" s="38" t="str"/>
      <x:c r="H308" s="38" t="str"/>
      <x:c r="I308" s="38" t="str"/>
    </x:row>
    <x:row r="309">
      <x:c r="A309" s="46"/>
      <x:c r="B309" s="38" t="str"/>
      <x:c r="C309" s="38" t="str"/>
      <x:c r="D309" s="38" t="str"/>
      <x:c r="E309" s="39"/>
      <x:c r="F309" s="38" t="str"/>
      <x:c r="G309" s="38" t="str"/>
      <x:c r="H309" s="38" t="str"/>
      <x:c r="I309" s="38" t="str"/>
    </x:row>
    <x:row r="310">
      <x:c r="A310" s="46"/>
      <x:c r="B310" s="38" t="str"/>
      <x:c r="C310" s="38" t="str"/>
      <x:c r="D310" s="38" t="str"/>
      <x:c r="E310" s="39"/>
      <x:c r="F310" s="38" t="str"/>
      <x:c r="G310" s="38" t="str"/>
      <x:c r="H310" s="38" t="str"/>
      <x:c r="I310" s="38" t="str"/>
    </x:row>
    <x:row r="311">
      <x:c r="A311" s="46"/>
      <x:c r="B311" s="38" t="str"/>
      <x:c r="C311" s="38" t="str"/>
      <x:c r="D311" s="38" t="str"/>
      <x:c r="E311" s="39"/>
      <x:c r="F311" s="38" t="str"/>
      <x:c r="G311" s="38" t="str"/>
      <x:c r="H311" s="38" t="str"/>
      <x:c r="I311" s="38" t="str"/>
    </x:row>
    <x:row r="312">
      <x:c r="A312" s="46"/>
      <x:c r="B312" s="38" t="str"/>
      <x:c r="C312" s="38" t="str"/>
      <x:c r="D312" s="38" t="str"/>
      <x:c r="E312" s="39"/>
      <x:c r="F312" s="38" t="str"/>
      <x:c r="G312" s="38" t="str"/>
      <x:c r="H312" s="38" t="str"/>
      <x:c r="I312" s="38" t="str"/>
    </x:row>
    <x:row r="313">
      <x:c r="A313" s="46"/>
      <x:c r="B313" s="38" t="str"/>
      <x:c r="C313" s="38" t="str"/>
      <x:c r="D313" s="38" t="str"/>
      <x:c r="E313" s="39"/>
      <x:c r="F313" s="38" t="str"/>
      <x:c r="G313" s="38" t="str"/>
      <x:c r="H313" s="38" t="str"/>
      <x:c r="I313" s="38" t="str"/>
    </x:row>
    <x:row r="314">
      <x:c r="A314" s="46"/>
      <x:c r="B314" s="38" t="str"/>
      <x:c r="C314" s="38" t="str"/>
      <x:c r="D314" s="38" t="str"/>
      <x:c r="E314" s="39"/>
      <x:c r="F314" s="38" t="str"/>
      <x:c r="G314" s="38" t="str"/>
      <x:c r="H314" s="38" t="str"/>
      <x:c r="I314" s="38" t="str"/>
    </x:row>
    <x:row r="315">
      <x:c r="A315" s="46"/>
      <x:c r="B315" s="38" t="str"/>
      <x:c r="C315" s="38" t="str"/>
      <x:c r="D315" s="38" t="str"/>
      <x:c r="E315" s="39"/>
      <x:c r="F315" s="38" t="str"/>
      <x:c r="G315" s="38" t="str"/>
      <x:c r="H315" s="38" t="str"/>
      <x:c r="I315" s="38" t="str"/>
    </x:row>
    <x:row r="316">
      <x:c r="A316" s="46"/>
      <x:c r="B316" s="38" t="str"/>
      <x:c r="C316" s="38" t="str"/>
      <x:c r="D316" s="38" t="str"/>
      <x:c r="E316" s="39"/>
      <x:c r="F316" s="38" t="str"/>
      <x:c r="G316" s="38" t="str"/>
      <x:c r="H316" s="38" t="str"/>
      <x:c r="I316" s="38" t="str"/>
    </x:row>
    <x:row r="317">
      <x:c r="A317" s="46"/>
      <x:c r="B317" s="38" t="str"/>
      <x:c r="C317" s="38" t="str"/>
      <x:c r="D317" s="38" t="str"/>
      <x:c r="E317" s="39"/>
      <x:c r="F317" s="38" t="str"/>
      <x:c r="G317" s="38" t="str"/>
      <x:c r="H317" s="38" t="str"/>
      <x:c r="I317" s="38" t="str"/>
    </x:row>
    <x:row r="318">
      <x:c r="A318" s="46"/>
      <x:c r="B318" s="38" t="str"/>
      <x:c r="C318" s="38" t="str"/>
      <x:c r="D318" s="38" t="str"/>
      <x:c r="E318" s="39"/>
      <x:c r="F318" s="38" t="str"/>
      <x:c r="G318" s="38" t="str"/>
      <x:c r="H318" s="38" t="str"/>
      <x:c r="I318" s="38" t="str"/>
    </x:row>
    <x:row r="319">
      <x:c r="A319" s="46"/>
      <x:c r="B319" s="38" t="str"/>
      <x:c r="C319" s="38" t="str"/>
      <x:c r="D319" s="38" t="str"/>
      <x:c r="E319" s="39"/>
      <x:c r="F319" s="38" t="str"/>
      <x:c r="G319" s="38" t="str"/>
      <x:c r="H319" s="38" t="str"/>
      <x:c r="I319" s="38" t="str"/>
    </x:row>
    <x:row r="320">
      <x:c r="A320" s="46"/>
      <x:c r="B320" s="38" t="str"/>
      <x:c r="C320" s="38" t="str"/>
      <x:c r="D320" s="38" t="str"/>
      <x:c r="E320" s="39"/>
      <x:c r="F320" s="38" t="str"/>
      <x:c r="G320" s="38" t="str"/>
      <x:c r="H320" s="38" t="str"/>
      <x:c r="I320" s="38" t="str"/>
    </x:row>
    <x:row r="321">
      <x:c r="A321" s="46"/>
      <x:c r="B321" s="38" t="str"/>
      <x:c r="C321" s="38" t="str"/>
      <x:c r="D321" s="38" t="str"/>
      <x:c r="E321" s="39"/>
      <x:c r="F321" s="38" t="str"/>
      <x:c r="G321" s="38" t="str"/>
      <x:c r="H321" s="38" t="str"/>
      <x:c r="I321" s="38" t="str"/>
    </x:row>
    <x:row r="322">
      <x:c r="A322" s="46"/>
      <x:c r="B322" s="38" t="str"/>
      <x:c r="C322" s="38" t="str"/>
      <x:c r="D322" s="38" t="str"/>
      <x:c r="E322" s="39"/>
      <x:c r="F322" s="38" t="str"/>
      <x:c r="G322" s="38" t="str"/>
      <x:c r="H322" s="38" t="str"/>
      <x:c r="I322" s="38" t="str"/>
    </x:row>
    <x:row r="323">
      <x:c r="A323" s="46"/>
      <x:c r="B323" s="38" t="str"/>
      <x:c r="C323" s="38" t="str"/>
      <x:c r="D323" s="38" t="str"/>
      <x:c r="E323" s="39"/>
      <x:c r="F323" s="38" t="str"/>
      <x:c r="G323" s="38" t="str"/>
      <x:c r="H323" s="38" t="str"/>
      <x:c r="I323" s="38" t="str"/>
    </x:row>
    <x:row r="324">
      <x:c r="A324" s="46"/>
      <x:c r="B324" s="38" t="str"/>
      <x:c r="C324" s="38" t="str"/>
      <x:c r="D324" s="38" t="str"/>
      <x:c r="E324" s="39"/>
      <x:c r="F324" s="38" t="str"/>
      <x:c r="G324" s="38" t="str"/>
      <x:c r="H324" s="38" t="str"/>
      <x:c r="I324" s="38" t="str"/>
    </x:row>
    <x:row r="325">
      <x:c r="A325" s="46"/>
      <x:c r="B325" s="38" t="str"/>
      <x:c r="C325" s="38" t="str"/>
      <x:c r="D325" s="38" t="str"/>
      <x:c r="E325" s="39"/>
      <x:c r="F325" s="38" t="str"/>
      <x:c r="G325" s="38" t="str"/>
      <x:c r="H325" s="38" t="str"/>
      <x:c r="I325" s="38" t="str"/>
    </x:row>
    <x:row r="326">
      <x:c r="A326" s="46"/>
      <x:c r="B326" s="38" t="str"/>
      <x:c r="C326" s="38" t="str"/>
      <x:c r="D326" s="38" t="str"/>
      <x:c r="E326" s="39"/>
      <x:c r="F326" s="38" t="str"/>
      <x:c r="G326" s="38" t="str"/>
      <x:c r="H326" s="38" t="str"/>
      <x:c r="I326" s="38" t="str"/>
    </x:row>
    <x:row r="327">
      <x:c r="A327" s="46"/>
      <x:c r="B327" s="38" t="str"/>
      <x:c r="C327" s="38" t="str"/>
      <x:c r="D327" s="38" t="str"/>
      <x:c r="E327" s="39"/>
      <x:c r="F327" s="38" t="str"/>
      <x:c r="G327" s="38" t="str"/>
      <x:c r="H327" s="38" t="str"/>
      <x:c r="I327" s="38" t="str"/>
    </x:row>
    <x:row r="328">
      <x:c r="A328" s="46"/>
      <x:c r="B328" s="38" t="str"/>
      <x:c r="C328" s="38" t="str"/>
      <x:c r="D328" s="38" t="str"/>
      <x:c r="E328" s="39"/>
      <x:c r="F328" s="38" t="str"/>
      <x:c r="G328" s="38" t="str"/>
      <x:c r="H328" s="38" t="str"/>
      <x:c r="I328" s="38" t="str"/>
    </x:row>
    <x:row r="329">
      <x:c r="A329" s="46"/>
      <x:c r="B329" s="38" t="str"/>
      <x:c r="C329" s="38" t="str"/>
      <x:c r="D329" s="38" t="str"/>
      <x:c r="E329" s="39"/>
      <x:c r="F329" s="38" t="str"/>
      <x:c r="G329" s="38" t="str"/>
      <x:c r="H329" s="38" t="str"/>
      <x:c r="I329" s="38" t="str"/>
    </x:row>
    <x:row r="330">
      <x:c r="A330" s="46"/>
      <x:c r="B330" s="38" t="str"/>
      <x:c r="C330" s="38" t="str"/>
      <x:c r="D330" s="38" t="str"/>
      <x:c r="E330" s="39"/>
      <x:c r="F330" s="38" t="str"/>
      <x:c r="G330" s="38" t="str"/>
      <x:c r="H330" s="38" t="str"/>
      <x:c r="I330" s="38" t="str"/>
    </x:row>
    <x:row r="331">
      <x:c r="A331" s="46"/>
      <x:c r="B331" s="38" t="str"/>
      <x:c r="C331" s="38" t="str"/>
      <x:c r="D331" s="38" t="str"/>
      <x:c r="E331" s="39"/>
      <x:c r="F331" s="38" t="str"/>
      <x:c r="G331" s="38" t="str"/>
      <x:c r="H331" s="38" t="str"/>
      <x:c r="I331" s="38" t="str"/>
    </x:row>
    <x:row r="332">
      <x:c r="A332" s="46"/>
      <x:c r="B332" s="38" t="str"/>
      <x:c r="C332" s="38" t="str"/>
      <x:c r="D332" s="38" t="str"/>
      <x:c r="E332" s="39"/>
      <x:c r="F332" s="38" t="str"/>
      <x:c r="G332" s="38" t="str"/>
      <x:c r="H332" s="38" t="str"/>
      <x:c r="I332" s="38" t="str"/>
    </x:row>
    <x:row r="333">
      <x:c r="A333" s="46"/>
      <x:c r="B333" s="38" t="str"/>
      <x:c r="C333" s="38" t="str"/>
      <x:c r="D333" s="38" t="str"/>
      <x:c r="E333" s="39"/>
      <x:c r="F333" s="38" t="str"/>
      <x:c r="G333" s="38" t="str"/>
      <x:c r="H333" s="38" t="str"/>
      <x:c r="I333" s="38" t="str"/>
    </x:row>
    <x:row r="334">
      <x:c r="A334" s="46"/>
      <x:c r="B334" s="38" t="str"/>
      <x:c r="C334" s="38" t="str"/>
      <x:c r="D334" s="38" t="str"/>
      <x:c r="E334" s="39"/>
      <x:c r="F334" s="38" t="str"/>
      <x:c r="G334" s="38" t="str"/>
      <x:c r="H334" s="38" t="str"/>
      <x:c r="I334" s="38" t="str"/>
    </x:row>
    <x:row r="335">
      <x:c r="A335" s="46"/>
      <x:c r="B335" s="38" t="str"/>
      <x:c r="C335" s="38" t="str"/>
      <x:c r="D335" s="38" t="str"/>
      <x:c r="E335" s="39"/>
      <x:c r="F335" s="38" t="str"/>
      <x:c r="G335" s="38" t="str"/>
      <x:c r="H335" s="38" t="str"/>
      <x:c r="I335" s="38" t="str"/>
    </x:row>
    <x:row r="336">
      <x:c r="A336" s="46"/>
      <x:c r="B336" s="38" t="str"/>
      <x:c r="C336" s="38" t="str"/>
      <x:c r="D336" s="38" t="str"/>
      <x:c r="E336" s="39"/>
      <x:c r="F336" s="38" t="str"/>
      <x:c r="G336" s="38" t="str"/>
      <x:c r="H336" s="38" t="str"/>
      <x:c r="I336" s="38" t="str"/>
    </x:row>
    <x:row r="337">
      <x:c r="A337" s="46"/>
      <x:c r="B337" s="38" t="str"/>
      <x:c r="C337" s="38" t="str"/>
      <x:c r="D337" s="38" t="str"/>
      <x:c r="E337" s="39"/>
      <x:c r="F337" s="38" t="str"/>
      <x:c r="G337" s="38" t="str"/>
      <x:c r="H337" s="38" t="str"/>
      <x:c r="I337" s="38" t="str"/>
    </x:row>
    <x:row r="338">
      <x:c r="A338" s="46"/>
      <x:c r="B338" s="38" t="str"/>
      <x:c r="C338" s="38" t="str"/>
      <x:c r="D338" s="38" t="str"/>
      <x:c r="E338" s="39"/>
      <x:c r="F338" s="38" t="str"/>
      <x:c r="G338" s="38" t="str"/>
      <x:c r="H338" s="38" t="str"/>
      <x:c r="I338" s="38" t="str"/>
    </x:row>
    <x:row r="339">
      <x:c r="A339" s="46"/>
      <x:c r="B339" s="38" t="str"/>
      <x:c r="C339" s="38" t="str"/>
      <x:c r="D339" s="38" t="str"/>
      <x:c r="E339" s="39"/>
      <x:c r="F339" s="38" t="str"/>
      <x:c r="G339" s="38" t="str"/>
      <x:c r="H339" s="38" t="str"/>
      <x:c r="I339" s="38" t="str"/>
    </x:row>
    <x:row r="340">
      <x:c r="A340" s="46"/>
      <x:c r="B340" s="38" t="str"/>
      <x:c r="C340" s="38" t="str"/>
      <x:c r="D340" s="38" t="str"/>
      <x:c r="E340" s="39"/>
      <x:c r="F340" s="38" t="str"/>
      <x:c r="G340" s="38" t="str"/>
      <x:c r="H340" s="38" t="str"/>
      <x:c r="I340" s="38" t="str"/>
    </x:row>
    <x:row r="341">
      <x:c r="A341" s="46"/>
      <x:c r="B341" s="38" t="str"/>
      <x:c r="C341" s="38" t="str"/>
      <x:c r="D341" s="38" t="str"/>
      <x:c r="E341" s="39"/>
      <x:c r="F341" s="38" t="str"/>
      <x:c r="G341" s="38" t="str"/>
      <x:c r="H341" s="38" t="str"/>
      <x:c r="I341" s="38" t="str"/>
    </x:row>
    <x:row r="342">
      <x:c r="A342" s="46"/>
      <x:c r="B342" s="38" t="str"/>
      <x:c r="C342" s="38" t="str"/>
      <x:c r="D342" s="38" t="str"/>
      <x:c r="E342" s="39"/>
      <x:c r="F342" s="38" t="str"/>
      <x:c r="G342" s="38" t="str"/>
      <x:c r="H342" s="38" t="str"/>
      <x:c r="I342" s="38" t="str"/>
    </x:row>
    <x:row r="343">
      <x:c r="A343" s="46"/>
      <x:c r="B343" s="38" t="str"/>
      <x:c r="C343" s="38" t="str"/>
      <x:c r="D343" s="38" t="str"/>
      <x:c r="E343" s="39"/>
      <x:c r="F343" s="38" t="str"/>
      <x:c r="G343" s="38" t="str"/>
      <x:c r="H343" s="38" t="str"/>
      <x:c r="I343" s="38" t="str"/>
    </x:row>
    <x:row r="344">
      <x:c r="A344" s="46"/>
      <x:c r="B344" s="38" t="str"/>
      <x:c r="C344" s="38" t="str"/>
      <x:c r="D344" s="38" t="str"/>
      <x:c r="E344" s="39"/>
      <x:c r="F344" s="38" t="str"/>
      <x:c r="G344" s="38" t="str"/>
      <x:c r="H344" s="38" t="str"/>
      <x:c r="I344" s="38" t="str"/>
    </x:row>
    <x:row r="345">
      <x:c r="A345" s="46"/>
      <x:c r="B345" s="38" t="str"/>
      <x:c r="C345" s="38" t="str"/>
      <x:c r="D345" s="38" t="str"/>
      <x:c r="E345" s="39"/>
      <x:c r="F345" s="38" t="str"/>
      <x:c r="G345" s="38" t="str"/>
      <x:c r="H345" s="38" t="str"/>
      <x:c r="I345" s="38" t="str"/>
    </x:row>
    <x:row r="346">
      <x:c r="A346" s="46"/>
      <x:c r="B346" s="38" t="str"/>
      <x:c r="C346" s="38" t="str"/>
      <x:c r="D346" s="38" t="str"/>
      <x:c r="E346" s="39"/>
      <x:c r="F346" s="38" t="str"/>
      <x:c r="G346" s="38" t="str"/>
      <x:c r="H346" s="38" t="str"/>
      <x:c r="I346" s="38" t="str"/>
    </x:row>
    <x:row r="347">
      <x:c r="A347" s="46"/>
      <x:c r="B347" s="38" t="str"/>
      <x:c r="C347" s="38" t="str"/>
      <x:c r="D347" s="38" t="str"/>
      <x:c r="E347" s="39"/>
      <x:c r="F347" s="38" t="str"/>
      <x:c r="G347" s="38" t="str"/>
      <x:c r="H347" s="38" t="str"/>
      <x:c r="I347" s="38" t="str"/>
    </x:row>
    <x:row r="348">
      <x:c r="A348" s="46"/>
      <x:c r="B348" s="38" t="str"/>
      <x:c r="C348" s="38" t="str"/>
      <x:c r="D348" s="38" t="str"/>
      <x:c r="E348" s="39"/>
      <x:c r="F348" s="38" t="str"/>
      <x:c r="G348" s="38" t="str"/>
      <x:c r="H348" s="38" t="str"/>
      <x:c r="I348" s="38" t="str"/>
    </x:row>
    <x:row r="349">
      <x:c r="A349" s="46"/>
      <x:c r="B349" s="38" t="str"/>
      <x:c r="C349" s="38" t="str"/>
      <x:c r="D349" s="38" t="str"/>
      <x:c r="E349" s="39"/>
      <x:c r="F349" s="38" t="str"/>
      <x:c r="G349" s="38" t="str"/>
      <x:c r="H349" s="38" t="str"/>
      <x:c r="I349" s="38" t="str"/>
    </x:row>
    <x:row r="350">
      <x:c r="A350" s="46"/>
      <x:c r="B350" s="38" t="str"/>
      <x:c r="C350" s="38" t="str"/>
      <x:c r="D350" s="38" t="str"/>
      <x:c r="E350" s="39"/>
      <x:c r="F350" s="38" t="str"/>
      <x:c r="G350" s="38" t="str"/>
      <x:c r="H350" s="38" t="str"/>
      <x:c r="I350" s="38" t="str"/>
    </x:row>
    <x:row r="351">
      <x:c r="A351" s="46"/>
      <x:c r="B351" s="38" t="str"/>
      <x:c r="C351" s="38" t="str"/>
      <x:c r="D351" s="38" t="str"/>
      <x:c r="E351" s="39"/>
      <x:c r="F351" s="38" t="str"/>
      <x:c r="G351" s="38" t="str"/>
      <x:c r="H351" s="38" t="str"/>
      <x:c r="I351" s="38" t="str"/>
    </x:row>
    <x:row r="352">
      <x:c r="A352" s="46"/>
      <x:c r="B352" s="38" t="str"/>
      <x:c r="C352" s="38" t="str"/>
      <x:c r="D352" s="38" t="str"/>
      <x:c r="E352" s="39"/>
      <x:c r="F352" s="38" t="str"/>
      <x:c r="G352" s="38" t="str"/>
      <x:c r="H352" s="38" t="str"/>
      <x:c r="I352" s="38" t="str"/>
    </x:row>
    <x:row r="353">
      <x:c r="A353" s="46"/>
      <x:c r="B353" s="38" t="str"/>
      <x:c r="C353" s="38" t="str"/>
      <x:c r="D353" s="38" t="str"/>
      <x:c r="E353" s="39"/>
      <x:c r="F353" s="38" t="str"/>
      <x:c r="G353" s="38" t="str"/>
      <x:c r="H353" s="38" t="str"/>
      <x:c r="I353" s="38" t="str"/>
    </x:row>
    <x:row r="354">
      <x:c r="A354" s="46"/>
      <x:c r="B354" s="38" t="str"/>
      <x:c r="C354" s="38" t="str"/>
      <x:c r="D354" s="38" t="str"/>
      <x:c r="E354" s="39"/>
      <x:c r="F354" s="38" t="str"/>
      <x:c r="G354" s="38" t="str"/>
      <x:c r="H354" s="38" t="str"/>
      <x:c r="I354" s="38" t="str"/>
    </x:row>
    <x:row r="355">
      <x:c r="A355" s="46"/>
      <x:c r="B355" s="38" t="str"/>
      <x:c r="C355" s="38" t="str"/>
      <x:c r="D355" s="38" t="str"/>
      <x:c r="E355" s="39"/>
      <x:c r="F355" s="38" t="str"/>
      <x:c r="G355" s="38" t="str"/>
      <x:c r="H355" s="38" t="str"/>
      <x:c r="I355" s="38" t="str"/>
    </x:row>
    <x:row r="356">
      <x:c r="A356" s="46"/>
      <x:c r="B356" s="38" t="str"/>
      <x:c r="C356" s="38" t="str"/>
      <x:c r="D356" s="38" t="str"/>
      <x:c r="E356" s="39"/>
      <x:c r="F356" s="38" t="str"/>
      <x:c r="G356" s="38" t="str"/>
      <x:c r="H356" s="38" t="str"/>
      <x:c r="I356" s="38" t="str"/>
    </x:row>
    <x:row r="357">
      <x:c r="A357" s="46"/>
      <x:c r="B357" s="38" t="str"/>
      <x:c r="C357" s="38" t="str"/>
      <x:c r="D357" s="38" t="str"/>
      <x:c r="E357" s="39"/>
      <x:c r="F357" s="38" t="str"/>
      <x:c r="G357" s="38" t="str"/>
      <x:c r="H357" s="38" t="str"/>
      <x:c r="I357" s="38" t="str"/>
    </x:row>
    <x:row r="358">
      <x:c r="A358" s="46"/>
      <x:c r="B358" s="38" t="str"/>
      <x:c r="C358" s="38" t="str"/>
      <x:c r="D358" s="38" t="str"/>
      <x:c r="E358" s="39"/>
      <x:c r="F358" s="38" t="str"/>
      <x:c r="G358" s="38" t="str"/>
      <x:c r="H358" s="38" t="str"/>
      <x:c r="I358" s="38" t="str"/>
    </x:row>
    <x:row r="359">
      <x:c r="A359" s="46"/>
      <x:c r="B359" s="38" t="str"/>
      <x:c r="C359" s="38" t="str"/>
      <x:c r="D359" s="38" t="str"/>
      <x:c r="E359" s="39"/>
      <x:c r="F359" s="38" t="str"/>
      <x:c r="G359" s="38" t="str"/>
      <x:c r="H359" s="38" t="str"/>
      <x:c r="I359" s="38" t="str"/>
    </x:row>
    <x:row r="360">
      <x:c r="A360" s="46"/>
      <x:c r="B360" s="38" t="str"/>
      <x:c r="C360" s="38" t="str"/>
      <x:c r="D360" s="38" t="str"/>
      <x:c r="E360" s="39"/>
      <x:c r="F360" s="38" t="str"/>
      <x:c r="G360" s="38" t="str"/>
      <x:c r="H360" s="38" t="str"/>
      <x:c r="I360" s="38" t="str"/>
    </x:row>
    <x:row r="361">
      <x:c r="A361" s="46"/>
      <x:c r="B361" s="38" t="str"/>
      <x:c r="C361" s="38" t="str"/>
      <x:c r="D361" s="38" t="str"/>
      <x:c r="E361" s="39"/>
      <x:c r="F361" s="38" t="str"/>
      <x:c r="G361" s="38" t="str"/>
      <x:c r="H361" s="38" t="str"/>
      <x:c r="I361" s="38" t="str"/>
    </x:row>
    <x:row r="362">
      <x:c r="A362" s="46"/>
      <x:c r="B362" s="38" t="str"/>
      <x:c r="C362" s="38" t="str"/>
      <x:c r="D362" s="38" t="str"/>
      <x:c r="E362" s="39"/>
      <x:c r="F362" s="38" t="str"/>
      <x:c r="G362" s="38" t="str"/>
      <x:c r="H362" s="38" t="str"/>
      <x:c r="I362" s="38" t="str"/>
    </x:row>
    <x:row r="363">
      <x:c r="A363" s="46"/>
      <x:c r="B363" s="38" t="str"/>
      <x:c r="C363" s="38" t="str"/>
      <x:c r="D363" s="38" t="str"/>
      <x:c r="E363" s="39"/>
      <x:c r="F363" s="38" t="str"/>
      <x:c r="G363" s="38" t="str"/>
      <x:c r="H363" s="38" t="str"/>
      <x:c r="I363" s="38" t="str"/>
    </x:row>
    <x:row r="364">
      <x:c r="A364" s="46"/>
      <x:c r="B364" s="38" t="str"/>
      <x:c r="C364" s="38" t="str"/>
      <x:c r="D364" s="38" t="str"/>
      <x:c r="E364" s="39"/>
      <x:c r="F364" s="38" t="str"/>
      <x:c r="G364" s="38" t="str"/>
      <x:c r="H364" s="38" t="str"/>
      <x:c r="I364" s="38" t="str"/>
    </x:row>
    <x:row r="365">
      <x:c r="A365" s="46"/>
      <x:c r="B365" s="38" t="str"/>
      <x:c r="C365" s="38" t="str"/>
      <x:c r="D365" s="38" t="str"/>
      <x:c r="E365" s="39"/>
      <x:c r="F365" s="38" t="str"/>
      <x:c r="G365" s="38" t="str"/>
      <x:c r="H365" s="38" t="str"/>
      <x:c r="I365" s="38" t="str"/>
    </x:row>
    <x:row r="366">
      <x:c r="A366" s="46"/>
      <x:c r="B366" s="38" t="str"/>
      <x:c r="C366" s="38" t="str"/>
      <x:c r="D366" s="38" t="str"/>
      <x:c r="E366" s="39"/>
      <x:c r="F366" s="38" t="str"/>
      <x:c r="G366" s="38" t="str"/>
      <x:c r="H366" s="38" t="str"/>
      <x:c r="I366" s="38" t="str"/>
    </x:row>
    <x:row r="367">
      <x:c r="A367" s="46"/>
      <x:c r="B367" s="38" t="str"/>
      <x:c r="C367" s="38" t="str"/>
      <x:c r="D367" s="38" t="str"/>
      <x:c r="E367" s="39"/>
      <x:c r="F367" s="38" t="str"/>
      <x:c r="G367" s="38" t="str"/>
      <x:c r="H367" s="38" t="str"/>
      <x:c r="I367" s="38" t="str"/>
    </x:row>
    <x:row r="368">
      <x:c r="A368" s="46"/>
      <x:c r="B368" s="38" t="str"/>
      <x:c r="C368" s="38" t="str"/>
      <x:c r="D368" s="38" t="str"/>
      <x:c r="E368" s="39"/>
      <x:c r="F368" s="38" t="str"/>
      <x:c r="G368" s="38" t="str"/>
      <x:c r="H368" s="38" t="str"/>
      <x:c r="I368" s="38" t="str"/>
    </x:row>
    <x:row r="369">
      <x:c r="A369" s="46"/>
      <x:c r="B369" s="38" t="str"/>
      <x:c r="C369" s="38" t="str"/>
      <x:c r="D369" s="38" t="str"/>
      <x:c r="E369" s="39"/>
      <x:c r="F369" s="38" t="str"/>
      <x:c r="G369" s="38" t="str"/>
      <x:c r="H369" s="38" t="str"/>
      <x:c r="I369" s="38" t="str"/>
    </x:row>
    <x:row r="370">
      <x:c r="A370" s="46"/>
      <x:c r="B370" s="38" t="str"/>
      <x:c r="C370" s="38" t="str"/>
      <x:c r="D370" s="38" t="str"/>
      <x:c r="E370" s="39"/>
      <x:c r="F370" s="38" t="str"/>
      <x:c r="G370" s="38" t="str"/>
      <x:c r="H370" s="38" t="str"/>
      <x:c r="I370" s="38" t="str"/>
    </x:row>
    <x:row r="371">
      <x:c r="A371" s="46"/>
      <x:c r="B371" s="38" t="str"/>
      <x:c r="C371" s="38" t="str"/>
      <x:c r="D371" s="38" t="str"/>
      <x:c r="E371" s="39"/>
      <x:c r="F371" s="38" t="str"/>
      <x:c r="G371" s="38" t="str"/>
      <x:c r="H371" s="38" t="str"/>
      <x:c r="I371" s="38" t="str"/>
    </x:row>
    <x:row r="372">
      <x:c r="A372" s="46"/>
      <x:c r="B372" s="38" t="str"/>
      <x:c r="C372" s="38" t="str"/>
      <x:c r="D372" s="38" t="str"/>
      <x:c r="E372" s="39"/>
      <x:c r="F372" s="38" t="str"/>
      <x:c r="G372" s="38" t="str"/>
      <x:c r="H372" s="38" t="str"/>
      <x:c r="I372" s="38" t="str"/>
    </x:row>
    <x:row r="373">
      <x:c r="A373" s="46"/>
      <x:c r="B373" s="38" t="str"/>
      <x:c r="C373" s="38" t="str"/>
      <x:c r="D373" s="38" t="str"/>
      <x:c r="E373" s="39"/>
      <x:c r="F373" s="38" t="str"/>
      <x:c r="G373" s="38" t="str"/>
      <x:c r="H373" s="38" t="str"/>
      <x:c r="I373" s="38" t="str"/>
    </x:row>
    <x:row r="374">
      <x:c r="A374" s="46"/>
      <x:c r="B374" s="38" t="str"/>
      <x:c r="C374" s="38" t="str"/>
      <x:c r="D374" s="38" t="str"/>
      <x:c r="E374" s="39"/>
      <x:c r="F374" s="38" t="str"/>
      <x:c r="G374" s="38" t="str"/>
      <x:c r="H374" s="38" t="str"/>
      <x:c r="I374" s="38" t="str"/>
    </x:row>
    <x:row r="375">
      <x:c r="A375" s="46"/>
      <x:c r="B375" s="38" t="str"/>
      <x:c r="C375" s="38" t="str"/>
      <x:c r="D375" s="38" t="str"/>
      <x:c r="E375" s="39"/>
      <x:c r="F375" s="38" t="str"/>
      <x:c r="G375" s="38" t="str"/>
      <x:c r="H375" s="38" t="str"/>
      <x:c r="I375" s="38" t="str"/>
    </x:row>
    <x:row r="376">
      <x:c r="A376" s="46"/>
      <x:c r="B376" s="38" t="str"/>
      <x:c r="C376" s="38" t="str"/>
      <x:c r="D376" s="38" t="str"/>
      <x:c r="E376" s="39"/>
      <x:c r="F376" s="38" t="str"/>
      <x:c r="G376" s="38" t="str"/>
      <x:c r="H376" s="38" t="str"/>
      <x:c r="I376" s="38" t="str"/>
    </x:row>
    <x:row r="377">
      <x:c r="A377" s="46"/>
      <x:c r="B377" s="38" t="str"/>
      <x:c r="C377" s="38" t="str"/>
      <x:c r="D377" s="38" t="str"/>
      <x:c r="E377" s="39"/>
      <x:c r="F377" s="38" t="str"/>
      <x:c r="G377" s="38" t="str"/>
      <x:c r="H377" s="38" t="str"/>
      <x:c r="I377" s="38" t="str"/>
    </x:row>
    <x:row r="378">
      <x:c r="A378" s="46"/>
      <x:c r="B378" s="38" t="str"/>
      <x:c r="C378" s="38" t="str"/>
      <x:c r="D378" s="38" t="str"/>
      <x:c r="E378" s="39"/>
      <x:c r="F378" s="38" t="str"/>
      <x:c r="G378" s="38" t="str"/>
      <x:c r="H378" s="38" t="str"/>
      <x:c r="I378" s="38" t="str"/>
    </x:row>
    <x:row r="379">
      <x:c r="A379" s="46"/>
      <x:c r="B379" s="38" t="str"/>
      <x:c r="C379" s="38" t="str"/>
      <x:c r="D379" s="38" t="str"/>
      <x:c r="E379" s="39"/>
      <x:c r="F379" s="38" t="str"/>
      <x:c r="G379" s="38" t="str"/>
      <x:c r="H379" s="38" t="str"/>
      <x:c r="I379" s="38" t="str"/>
    </x:row>
    <x:row r="380">
      <x:c r="A380" s="46"/>
      <x:c r="B380" s="38" t="str"/>
      <x:c r="C380" s="38" t="str"/>
      <x:c r="D380" s="38" t="str"/>
      <x:c r="E380" s="39"/>
      <x:c r="F380" s="38" t="str"/>
      <x:c r="G380" s="38" t="str"/>
      <x:c r="H380" s="38" t="str"/>
      <x:c r="I380" s="38" t="str"/>
    </x:row>
    <x:row r="381">
      <x:c r="A381" s="46"/>
      <x:c r="B381" s="38" t="str"/>
      <x:c r="C381" s="38" t="str"/>
      <x:c r="D381" s="38" t="str"/>
      <x:c r="E381" s="39"/>
      <x:c r="F381" s="38" t="str"/>
      <x:c r="G381" s="38" t="str"/>
      <x:c r="H381" s="38" t="str"/>
      <x:c r="I381" s="38" t="str"/>
    </x:row>
    <x:row r="382">
      <x:c r="A382" s="46"/>
      <x:c r="B382" s="38" t="str"/>
      <x:c r="C382" s="38" t="str"/>
      <x:c r="D382" s="38" t="str"/>
      <x:c r="E382" s="39"/>
      <x:c r="F382" s="38" t="str"/>
      <x:c r="G382" s="38" t="str"/>
      <x:c r="H382" s="38" t="str"/>
      <x:c r="I382" s="38" t="str"/>
    </x:row>
    <x:row r="383">
      <x:c r="A383" s="46"/>
      <x:c r="B383" s="38" t="str"/>
      <x:c r="C383" s="38" t="str"/>
      <x:c r="D383" s="38" t="str"/>
      <x:c r="E383" s="39"/>
      <x:c r="F383" s="38" t="str"/>
      <x:c r="G383" s="38" t="str"/>
      <x:c r="H383" s="38" t="str"/>
      <x:c r="I383" s="38" t="str"/>
    </x:row>
    <x:row r="384">
      <x:c r="A384" s="46"/>
      <x:c r="B384" s="38" t="str"/>
      <x:c r="C384" s="38" t="str"/>
      <x:c r="D384" s="38" t="str"/>
      <x:c r="E384" s="39"/>
      <x:c r="F384" s="38" t="str"/>
      <x:c r="G384" s="38" t="str"/>
      <x:c r="H384" s="38" t="str"/>
      <x:c r="I384" s="38" t="str"/>
    </x:row>
    <x:row r="385">
      <x:c r="A385" s="46"/>
      <x:c r="B385" s="38" t="str"/>
      <x:c r="C385" s="38" t="str"/>
      <x:c r="D385" s="38" t="str"/>
      <x:c r="E385" s="39"/>
      <x:c r="F385" s="38" t="str"/>
      <x:c r="G385" s="38" t="str"/>
      <x:c r="H385" s="38" t="str"/>
      <x:c r="I385" s="38" t="str"/>
    </x:row>
    <x:row r="386">
      <x:c r="A386" s="46"/>
      <x:c r="B386" s="38" t="str"/>
      <x:c r="C386" s="38" t="str"/>
      <x:c r="D386" s="38" t="str"/>
      <x:c r="E386" s="39"/>
      <x:c r="F386" s="38" t="str"/>
      <x:c r="G386" s="38" t="str"/>
      <x:c r="H386" s="38" t="str"/>
      <x:c r="I386" s="38" t="str"/>
    </x:row>
    <x:row r="387">
      <x:c r="A387" s="46"/>
      <x:c r="B387" s="38" t="str"/>
      <x:c r="C387" s="38" t="str"/>
      <x:c r="D387" s="38" t="str"/>
      <x:c r="E387" s="39"/>
      <x:c r="F387" s="38" t="str"/>
      <x:c r="G387" s="38" t="str"/>
      <x:c r="H387" s="38" t="str"/>
      <x:c r="I387" s="38" t="str"/>
    </x:row>
    <x:row r="388">
      <x:c r="A388" s="46"/>
      <x:c r="B388" s="38" t="str"/>
      <x:c r="C388" s="38" t="str"/>
      <x:c r="D388" s="38" t="str"/>
      <x:c r="E388" s="39"/>
      <x:c r="F388" s="38" t="str"/>
      <x:c r="G388" s="38" t="str"/>
      <x:c r="H388" s="38" t="str"/>
      <x:c r="I388" s="38" t="str"/>
    </x:row>
    <x:row r="389">
      <x:c r="A389" s="46"/>
      <x:c r="B389" s="38" t="str"/>
      <x:c r="C389" s="38" t="str"/>
      <x:c r="D389" s="38" t="str"/>
      <x:c r="E389" s="39"/>
      <x:c r="F389" s="38" t="str"/>
      <x:c r="G389" s="38" t="str"/>
      <x:c r="H389" s="38" t="str"/>
      <x:c r="I389" s="38" t="str"/>
    </x:row>
    <x:row r="390">
      <x:c r="A390" s="46"/>
      <x:c r="B390" s="38" t="str"/>
      <x:c r="C390" s="38" t="str"/>
      <x:c r="D390" s="38" t="str"/>
      <x:c r="E390" s="39"/>
      <x:c r="F390" s="38" t="str"/>
      <x:c r="G390" s="38" t="str"/>
      <x:c r="H390" s="38" t="str"/>
      <x:c r="I390" s="38" t="str"/>
    </x:row>
    <x:row r="391">
      <x:c r="A391" s="46"/>
      <x:c r="B391" s="38" t="str"/>
      <x:c r="C391" s="38" t="str"/>
      <x:c r="D391" s="38" t="str"/>
      <x:c r="E391" s="39"/>
      <x:c r="F391" s="38" t="str"/>
      <x:c r="G391" s="38" t="str"/>
      <x:c r="H391" s="38" t="str"/>
      <x:c r="I391" s="38" t="str"/>
    </x:row>
    <x:row r="392">
      <x:c r="A392" s="46"/>
      <x:c r="B392" s="38" t="str"/>
      <x:c r="C392" s="38" t="str"/>
      <x:c r="D392" s="38" t="str"/>
      <x:c r="E392" s="39"/>
      <x:c r="F392" s="38" t="str"/>
      <x:c r="G392" s="38" t="str"/>
      <x:c r="H392" s="38" t="str"/>
      <x:c r="I392" s="38" t="str"/>
    </x:row>
    <x:row r="393">
      <x:c r="A393" s="46"/>
      <x:c r="B393" s="38" t="str"/>
      <x:c r="C393" s="38" t="str"/>
      <x:c r="D393" s="38" t="str"/>
      <x:c r="E393" s="39"/>
      <x:c r="F393" s="38" t="str"/>
      <x:c r="G393" s="38" t="str"/>
      <x:c r="H393" s="38" t="str"/>
      <x:c r="I393" s="38" t="str"/>
    </x:row>
    <x:row r="394">
      <x:c r="A394" s="46"/>
      <x:c r="B394" s="38" t="str"/>
      <x:c r="C394" s="38" t="str"/>
      <x:c r="D394" s="38" t="str"/>
      <x:c r="E394" s="39"/>
      <x:c r="F394" s="38" t="str"/>
      <x:c r="G394" s="38" t="str"/>
      <x:c r="H394" s="38" t="str"/>
      <x:c r="I394" s="38" t="str"/>
    </x:row>
    <x:row r="395">
      <x:c r="A395" s="46"/>
      <x:c r="B395" s="38" t="str"/>
      <x:c r="C395" s="38" t="str"/>
      <x:c r="D395" s="38" t="str"/>
      <x:c r="E395" s="39"/>
      <x:c r="F395" s="38" t="str"/>
      <x:c r="G395" s="38" t="str"/>
      <x:c r="H395" s="38" t="str"/>
      <x:c r="I395" s="38" t="str"/>
    </x:row>
    <x:row r="396">
      <x:c r="A396" s="46"/>
      <x:c r="B396" s="38" t="str"/>
      <x:c r="C396" s="38" t="str"/>
      <x:c r="D396" s="38" t="str"/>
      <x:c r="E396" s="39"/>
      <x:c r="F396" s="38" t="str"/>
      <x:c r="G396" s="38" t="str"/>
      <x:c r="H396" s="38" t="str"/>
      <x:c r="I396" s="38" t="str"/>
    </x:row>
    <x:row r="397">
      <x:c r="A397" s="46"/>
      <x:c r="B397" s="38" t="str"/>
      <x:c r="C397" s="38" t="str"/>
      <x:c r="D397" s="38" t="str"/>
      <x:c r="E397" s="39"/>
      <x:c r="F397" s="38" t="str"/>
      <x:c r="G397" s="38" t="str"/>
      <x:c r="H397" s="38" t="str"/>
      <x:c r="I397" s="38" t="str"/>
    </x:row>
    <x:row r="398">
      <x:c r="A398" s="46"/>
      <x:c r="B398" s="38" t="str"/>
      <x:c r="C398" s="38" t="str"/>
      <x:c r="D398" s="38" t="str"/>
      <x:c r="E398" s="39"/>
      <x:c r="F398" s="38" t="str"/>
      <x:c r="G398" s="38" t="str"/>
      <x:c r="H398" s="38" t="str"/>
      <x:c r="I398" s="38" t="str"/>
    </x:row>
    <x:row r="399">
      <x:c r="A399" s="46"/>
      <x:c r="B399" s="38" t="str"/>
      <x:c r="C399" s="38" t="str"/>
      <x:c r="D399" s="38" t="str"/>
      <x:c r="E399" s="39"/>
      <x:c r="F399" s="38" t="str"/>
      <x:c r="G399" s="38" t="str"/>
      <x:c r="H399" s="38" t="str"/>
      <x:c r="I399" s="38" t="str"/>
    </x:row>
    <x:row r="400">
      <x:c r="A400" s="46"/>
      <x:c r="B400" s="38" t="str"/>
      <x:c r="C400" s="38" t="str"/>
      <x:c r="D400" s="38" t="str"/>
      <x:c r="E400" s="39"/>
      <x:c r="F400" s="38" t="str"/>
      <x:c r="G400" s="38" t="str"/>
      <x:c r="H400" s="38" t="str"/>
      <x:c r="I400" s="38" t="str"/>
    </x:row>
    <x:row r="401">
      <x:c r="A401" s="46"/>
      <x:c r="B401" s="38" t="str"/>
      <x:c r="C401" s="38" t="str"/>
      <x:c r="D401" s="38" t="str"/>
      <x:c r="E401" s="39"/>
      <x:c r="F401" s="38" t="str"/>
      <x:c r="G401" s="38" t="str"/>
      <x:c r="H401" s="38" t="str"/>
      <x:c r="I401" s="38" t="str"/>
    </x:row>
    <x:row r="402">
      <x:c r="A402" s="46"/>
      <x:c r="B402" s="38" t="str"/>
      <x:c r="C402" s="38" t="str"/>
      <x:c r="D402" s="38" t="str"/>
      <x:c r="E402" s="39"/>
      <x:c r="F402" s="38" t="str"/>
      <x:c r="G402" s="38" t="str"/>
      <x:c r="H402" s="38" t="str"/>
      <x:c r="I402" s="38" t="str"/>
    </x:row>
    <x:row r="403">
      <x:c r="A403" s="46"/>
      <x:c r="B403" s="38" t="str"/>
      <x:c r="C403" s="38" t="str"/>
      <x:c r="D403" s="38" t="str"/>
      <x:c r="E403" s="39"/>
      <x:c r="F403" s="38" t="str"/>
      <x:c r="G403" s="38" t="str"/>
      <x:c r="H403" s="38" t="str"/>
      <x:c r="I403" s="38" t="str"/>
    </x:row>
    <x:row r="404">
      <x:c r="A404" s="46"/>
      <x:c r="B404" s="38" t="str"/>
      <x:c r="C404" s="38" t="str"/>
      <x:c r="D404" s="38" t="str"/>
      <x:c r="E404" s="39"/>
      <x:c r="F404" s="38" t="str"/>
      <x:c r="G404" s="38" t="str"/>
      <x:c r="H404" s="38" t="str"/>
      <x:c r="I404" s="38" t="str"/>
    </x:row>
    <x:row r="405">
      <x:c r="A405" s="46"/>
      <x:c r="B405" s="38" t="str"/>
      <x:c r="C405" s="38" t="str"/>
      <x:c r="D405" s="38" t="str"/>
      <x:c r="E405" s="39"/>
      <x:c r="F405" s="38" t="str"/>
      <x:c r="G405" s="38" t="str"/>
      <x:c r="H405" s="38" t="str"/>
      <x:c r="I405" s="38" t="str"/>
    </x:row>
    <x:row r="406">
      <x:c r="A406" s="46"/>
      <x:c r="B406" s="38" t="str"/>
      <x:c r="C406" s="38" t="str"/>
      <x:c r="D406" s="38" t="str"/>
      <x:c r="E406" s="39"/>
      <x:c r="F406" s="38" t="str"/>
      <x:c r="G406" s="38" t="str"/>
      <x:c r="H406" s="38" t="str"/>
      <x:c r="I406" s="38" t="str"/>
    </x:row>
    <x:row r="407">
      <x:c r="A407" s="46"/>
      <x:c r="B407" s="38" t="str"/>
      <x:c r="C407" s="38" t="str"/>
      <x:c r="D407" s="38" t="str"/>
      <x:c r="E407" s="39"/>
      <x:c r="F407" s="38" t="str"/>
      <x:c r="G407" s="38" t="str"/>
      <x:c r="H407" s="38" t="str"/>
      <x:c r="I407" s="38" t="str"/>
    </x:row>
    <x:row r="408">
      <x:c r="A408" s="46"/>
      <x:c r="B408" s="38" t="str"/>
      <x:c r="C408" s="38" t="str"/>
      <x:c r="D408" s="38" t="str"/>
      <x:c r="E408" s="39"/>
      <x:c r="F408" s="38" t="str"/>
      <x:c r="G408" s="38" t="str"/>
      <x:c r="H408" s="38" t="str"/>
      <x:c r="I408" s="38" t="str"/>
    </x:row>
    <x:row r="409">
      <x:c r="A409" s="46"/>
      <x:c r="B409" s="38" t="str"/>
      <x:c r="C409" s="38" t="str"/>
      <x:c r="D409" s="38" t="str"/>
      <x:c r="E409" s="39"/>
      <x:c r="F409" s="38" t="str"/>
      <x:c r="G409" s="38" t="str"/>
      <x:c r="H409" s="38" t="str"/>
      <x:c r="I409" s="38" t="str"/>
    </x:row>
    <x:row r="410">
      <x:c r="A410" s="46"/>
      <x:c r="B410" s="38" t="str"/>
      <x:c r="C410" s="38" t="str"/>
      <x:c r="D410" s="38" t="str"/>
      <x:c r="E410" s="39"/>
      <x:c r="F410" s="38" t="str"/>
      <x:c r="G410" s="38" t="str"/>
      <x:c r="H410" s="38" t="str"/>
      <x:c r="I410" s="38" t="str"/>
    </x:row>
    <x:row r="411">
      <x:c r="A411" s="46"/>
      <x:c r="B411" s="38" t="str"/>
      <x:c r="C411" s="38" t="str"/>
      <x:c r="D411" s="38" t="str"/>
      <x:c r="E411" s="39"/>
      <x:c r="F411" s="38" t="str"/>
      <x:c r="G411" s="38" t="str"/>
      <x:c r="H411" s="38" t="str"/>
      <x:c r="I411" s="38" t="str"/>
    </x:row>
    <x:row r="412">
      <x:c r="A412" s="46"/>
      <x:c r="B412" s="38" t="str"/>
      <x:c r="C412" s="38" t="str"/>
      <x:c r="D412" s="38" t="str"/>
      <x:c r="E412" s="39"/>
      <x:c r="F412" s="38" t="str"/>
      <x:c r="G412" s="38" t="str"/>
      <x:c r="H412" s="38" t="str"/>
      <x:c r="I412" s="38" t="str"/>
    </x:row>
    <x:row r="413">
      <x:c r="A413" s="46"/>
      <x:c r="B413" s="38" t="str"/>
      <x:c r="C413" s="38" t="str"/>
      <x:c r="D413" s="38" t="str"/>
      <x:c r="E413" s="39"/>
      <x:c r="F413" s="38" t="str"/>
      <x:c r="G413" s="38" t="str"/>
      <x:c r="H413" s="38" t="str"/>
      <x:c r="I413" s="38" t="str"/>
    </x:row>
    <x:row r="414">
      <x:c r="A414" s="46"/>
      <x:c r="B414" s="38" t="str"/>
      <x:c r="C414" s="38" t="str"/>
      <x:c r="D414" s="38" t="str"/>
      <x:c r="E414" s="39"/>
      <x:c r="F414" s="38" t="str"/>
      <x:c r="G414" s="38" t="str"/>
      <x:c r="H414" s="38" t="str"/>
      <x:c r="I414" s="38" t="str"/>
    </x:row>
    <x:row r="415">
      <x:c r="A415" s="46"/>
      <x:c r="B415" s="38" t="str"/>
      <x:c r="C415" s="38" t="str"/>
      <x:c r="D415" s="38" t="str"/>
      <x:c r="E415" s="39"/>
      <x:c r="F415" s="38" t="str"/>
      <x:c r="G415" s="38" t="str"/>
      <x:c r="H415" s="38" t="str"/>
      <x:c r="I415" s="38" t="str"/>
    </x:row>
    <x:row r="416">
      <x:c r="A416" s="46"/>
      <x:c r="B416" s="38" t="str"/>
      <x:c r="C416" s="38" t="str"/>
      <x:c r="D416" s="38" t="str"/>
      <x:c r="E416" s="39"/>
      <x:c r="F416" s="38" t="str"/>
      <x:c r="G416" s="38" t="str"/>
      <x:c r="H416" s="38" t="str"/>
      <x:c r="I416" s="38" t="str"/>
    </x:row>
    <x:row r="417">
      <x:c r="A417" s="46"/>
      <x:c r="B417" s="38" t="str"/>
      <x:c r="C417" s="38" t="str"/>
      <x:c r="D417" s="38" t="str"/>
      <x:c r="E417" s="39"/>
      <x:c r="F417" s="38" t="str"/>
      <x:c r="G417" s="38" t="str"/>
      <x:c r="H417" s="38" t="str"/>
      <x:c r="I417" s="38" t="str"/>
    </x:row>
    <x:row r="418">
      <x:c r="A418" s="46"/>
      <x:c r="B418" s="38" t="str"/>
      <x:c r="C418" s="38" t="str"/>
      <x:c r="D418" s="38" t="str"/>
      <x:c r="E418" s="39"/>
      <x:c r="F418" s="38" t="str"/>
      <x:c r="G418" s="38" t="str"/>
      <x:c r="H418" s="38" t="str"/>
      <x:c r="I418" s="38" t="str"/>
    </x:row>
    <x:row r="419">
      <x:c r="A419" s="46"/>
      <x:c r="B419" s="38" t="str"/>
      <x:c r="C419" s="38" t="str"/>
      <x:c r="D419" s="38" t="str"/>
      <x:c r="E419" s="39"/>
      <x:c r="F419" s="38" t="str"/>
      <x:c r="G419" s="38" t="str"/>
      <x:c r="H419" s="38" t="str"/>
      <x:c r="I419" s="38" t="str"/>
    </x:row>
    <x:row r="420">
      <x:c r="A420" s="46"/>
      <x:c r="B420" s="38" t="str"/>
      <x:c r="C420" s="38" t="str"/>
      <x:c r="D420" s="38" t="str"/>
      <x:c r="E420" s="39"/>
      <x:c r="F420" s="38" t="str"/>
      <x:c r="G420" s="38" t="str"/>
      <x:c r="H420" s="38" t="str"/>
      <x:c r="I420" s="38" t="str"/>
    </x:row>
    <x:row r="421">
      <x:c r="A421" s="46"/>
      <x:c r="B421" s="38" t="str"/>
      <x:c r="C421" s="38" t="str"/>
      <x:c r="D421" s="38" t="str"/>
      <x:c r="E421" s="39"/>
      <x:c r="F421" s="38" t="str"/>
      <x:c r="G421" s="38" t="str"/>
      <x:c r="H421" s="38" t="str"/>
      <x:c r="I421" s="38" t="str"/>
    </x:row>
    <x:row r="422">
      <x:c r="A422" s="46"/>
      <x:c r="B422" s="38" t="str"/>
      <x:c r="C422" s="38" t="str"/>
      <x:c r="D422" s="38" t="str"/>
      <x:c r="E422" s="39"/>
      <x:c r="F422" s="38" t="str"/>
      <x:c r="G422" s="38" t="str"/>
      <x:c r="H422" s="38" t="str"/>
      <x:c r="I422" s="38" t="str"/>
    </x:row>
    <x:row r="423">
      <x:c r="A423" s="46"/>
      <x:c r="B423" s="38" t="str"/>
      <x:c r="C423" s="38" t="str"/>
      <x:c r="D423" s="38" t="str"/>
      <x:c r="E423" s="39"/>
      <x:c r="F423" s="38" t="str"/>
      <x:c r="G423" s="38" t="str"/>
      <x:c r="H423" s="38" t="str"/>
      <x:c r="I423" s="38" t="str"/>
    </x:row>
    <x:row r="424">
      <x:c r="A424" s="46"/>
      <x:c r="B424" s="38" t="str"/>
      <x:c r="C424" s="38" t="str"/>
      <x:c r="D424" s="38" t="str"/>
      <x:c r="E424" s="39"/>
      <x:c r="F424" s="38" t="str"/>
      <x:c r="G424" s="38" t="str"/>
      <x:c r="H424" s="38" t="str"/>
      <x:c r="I424" s="38" t="str"/>
    </x:row>
    <x:row r="425">
      <x:c r="A425" s="46"/>
      <x:c r="B425" s="38" t="str"/>
      <x:c r="C425" s="38" t="str"/>
      <x:c r="D425" s="38" t="str"/>
      <x:c r="E425" s="39"/>
      <x:c r="F425" s="38" t="str"/>
      <x:c r="G425" s="38" t="str"/>
      <x:c r="H425" s="38" t="str"/>
      <x:c r="I425" s="38" t="str"/>
    </x:row>
    <x:row r="426">
      <x:c r="A426" s="46"/>
      <x:c r="B426" s="38" t="str"/>
      <x:c r="C426" s="38" t="str"/>
      <x:c r="D426" s="38" t="str"/>
      <x:c r="E426" s="39"/>
      <x:c r="F426" s="38" t="str"/>
      <x:c r="G426" s="38" t="str"/>
      <x:c r="H426" s="38" t="str"/>
      <x:c r="I426" s="38" t="str"/>
    </x:row>
    <x:row r="427">
      <x:c r="A427" s="46"/>
      <x:c r="B427" s="38" t="str"/>
      <x:c r="C427" s="38" t="str"/>
      <x:c r="D427" s="38" t="str"/>
      <x:c r="E427" s="39"/>
      <x:c r="F427" s="38" t="str"/>
      <x:c r="G427" s="38" t="str"/>
      <x:c r="H427" s="38" t="str"/>
      <x:c r="I427" s="38" t="str"/>
    </x:row>
    <x:row r="428">
      <x:c r="A428" s="46"/>
      <x:c r="B428" s="38" t="str"/>
      <x:c r="C428" s="38" t="str"/>
      <x:c r="D428" s="38" t="str"/>
      <x:c r="E428" s="39"/>
      <x:c r="F428" s="38" t="str"/>
      <x:c r="G428" s="38" t="str"/>
      <x:c r="H428" s="38" t="str"/>
      <x:c r="I428" s="38" t="str"/>
    </x:row>
    <x:row r="429">
      <x:c r="A429" s="46"/>
      <x:c r="B429" s="38" t="str"/>
      <x:c r="C429" s="38" t="str"/>
      <x:c r="D429" s="38" t="str"/>
      <x:c r="E429" s="39"/>
      <x:c r="F429" s="38" t="str"/>
      <x:c r="G429" s="38" t="str"/>
      <x:c r="H429" s="38" t="str"/>
      <x:c r="I429" s="38" t="str"/>
    </x:row>
    <x:row r="430">
      <x:c r="A430" s="46"/>
      <x:c r="B430" s="38" t="str"/>
      <x:c r="C430" s="38" t="str"/>
      <x:c r="D430" s="38" t="str"/>
      <x:c r="E430" s="39"/>
      <x:c r="F430" s="38" t="str"/>
      <x:c r="G430" s="38" t="str"/>
      <x:c r="H430" s="38" t="str"/>
      <x:c r="I430" s="38" t="str"/>
    </x:row>
    <x:row r="431">
      <x:c r="A431" s="46"/>
      <x:c r="B431" s="38" t="str"/>
      <x:c r="C431" s="38" t="str"/>
      <x:c r="D431" s="38" t="str"/>
      <x:c r="E431" s="39"/>
      <x:c r="F431" s="38" t="str"/>
      <x:c r="G431" s="38" t="str"/>
      <x:c r="H431" s="38" t="str"/>
      <x:c r="I431" s="38" t="str"/>
    </x:row>
    <x:row r="432">
      <x:c r="A432" s="46"/>
      <x:c r="B432" s="38" t="str"/>
      <x:c r="C432" s="38" t="str"/>
      <x:c r="D432" s="38" t="str"/>
      <x:c r="E432" s="39"/>
      <x:c r="F432" s="38" t="str"/>
      <x:c r="G432" s="38" t="str"/>
      <x:c r="H432" s="38" t="str"/>
      <x:c r="I432" s="38" t="str"/>
    </x:row>
    <x:row r="433">
      <x:c r="A433" s="46"/>
      <x:c r="B433" s="38" t="str"/>
      <x:c r="C433" s="38" t="str"/>
      <x:c r="D433" s="38" t="str"/>
      <x:c r="E433" s="39"/>
      <x:c r="F433" s="38" t="str"/>
      <x:c r="G433" s="38" t="str"/>
      <x:c r="H433" s="38" t="str"/>
      <x:c r="I433" s="38" t="str"/>
    </x:row>
    <x:row r="434">
      <x:c r="A434" s="46"/>
      <x:c r="B434" s="38" t="str"/>
      <x:c r="C434" s="38" t="str"/>
      <x:c r="D434" s="38" t="str"/>
      <x:c r="E434" s="39"/>
      <x:c r="F434" s="38" t="str"/>
      <x:c r="G434" s="38" t="str"/>
      <x:c r="H434" s="38" t="str"/>
      <x:c r="I434" s="38" t="str"/>
    </x:row>
    <x:row r="435">
      <x:c r="A435" s="46"/>
      <x:c r="B435" s="38" t="str"/>
      <x:c r="C435" s="38" t="str"/>
      <x:c r="D435" s="38" t="str"/>
      <x:c r="E435" s="39"/>
      <x:c r="F435" s="38" t="str"/>
      <x:c r="G435" s="38" t="str"/>
      <x:c r="H435" s="38" t="str"/>
      <x:c r="I435" s="38" t="str"/>
    </x:row>
    <x:row r="436">
      <x:c r="A436" s="46"/>
      <x:c r="B436" s="38" t="str"/>
      <x:c r="C436" s="38" t="str"/>
      <x:c r="D436" s="38" t="str"/>
      <x:c r="E436" s="39"/>
      <x:c r="F436" s="38" t="str"/>
      <x:c r="G436" s="38" t="str"/>
      <x:c r="H436" s="38" t="str"/>
      <x:c r="I436" s="38" t="str"/>
    </x:row>
    <x:row r="437">
      <x:c r="A437" s="46"/>
      <x:c r="B437" s="38" t="str"/>
      <x:c r="C437" s="38" t="str"/>
      <x:c r="D437" s="38" t="str"/>
      <x:c r="E437" s="39"/>
      <x:c r="F437" s="38" t="str"/>
      <x:c r="G437" s="38" t="str"/>
      <x:c r="H437" s="38" t="str"/>
      <x:c r="I437" s="38" t="str"/>
    </x:row>
    <x:row r="438">
      <x:c r="A438" s="46"/>
      <x:c r="B438" s="38" t="str"/>
      <x:c r="C438" s="38" t="str"/>
      <x:c r="D438" s="38" t="str"/>
      <x:c r="E438" s="39"/>
      <x:c r="F438" s="38" t="str"/>
      <x:c r="G438" s="38" t="str"/>
      <x:c r="H438" s="38" t="str"/>
      <x:c r="I438" s="38" t="str"/>
    </x:row>
    <x:row r="439">
      <x:c r="A439" s="46"/>
      <x:c r="B439" s="38" t="str"/>
      <x:c r="C439" s="38" t="str"/>
      <x:c r="D439" s="38" t="str"/>
      <x:c r="E439" s="39"/>
      <x:c r="F439" s="38" t="str"/>
      <x:c r="G439" s="38" t="str"/>
      <x:c r="H439" s="38" t="str"/>
      <x:c r="I439" s="38" t="str"/>
    </x:row>
    <x:row r="440">
      <x:c r="A440" s="46"/>
      <x:c r="B440" s="38" t="str"/>
      <x:c r="C440" s="38" t="str"/>
      <x:c r="D440" s="38" t="str"/>
      <x:c r="E440" s="39"/>
      <x:c r="F440" s="38" t="str"/>
      <x:c r="G440" s="38" t="str"/>
      <x:c r="H440" s="38" t="str"/>
      <x:c r="I440" s="38" t="str"/>
    </x:row>
    <x:row r="441">
      <x:c r="A441" s="46"/>
      <x:c r="B441" s="38" t="str"/>
      <x:c r="C441" s="38" t="str"/>
      <x:c r="D441" s="38" t="str"/>
      <x:c r="E441" s="39"/>
      <x:c r="F441" s="38" t="str"/>
      <x:c r="G441" s="38" t="str"/>
      <x:c r="H441" s="38" t="str"/>
      <x:c r="I441" s="38" t="str"/>
    </x:row>
    <x:row r="442">
      <x:c r="A442" s="46"/>
      <x:c r="B442" s="38" t="str"/>
      <x:c r="C442" s="38" t="str"/>
      <x:c r="D442" s="38" t="str"/>
      <x:c r="E442" s="39"/>
      <x:c r="F442" s="38" t="str"/>
      <x:c r="G442" s="38" t="str"/>
      <x:c r="H442" s="38" t="str"/>
      <x:c r="I442" s="38" t="str"/>
    </x:row>
    <x:row r="443">
      <x:c r="A443" s="46"/>
      <x:c r="B443" s="38" t="str"/>
      <x:c r="C443" s="38" t="str"/>
      <x:c r="D443" s="38" t="str"/>
      <x:c r="E443" s="39"/>
      <x:c r="F443" s="38" t="str"/>
      <x:c r="G443" s="38" t="str"/>
      <x:c r="H443" s="38" t="str"/>
      <x:c r="I443" s="38" t="str"/>
    </x:row>
    <x:row r="444">
      <x:c r="A444" s="46"/>
      <x:c r="B444" s="38" t="str"/>
      <x:c r="C444" s="38" t="str"/>
      <x:c r="D444" s="38" t="str"/>
      <x:c r="E444" s="39"/>
      <x:c r="F444" s="38" t="str"/>
      <x:c r="G444" s="38" t="str"/>
      <x:c r="H444" s="38" t="str"/>
      <x:c r="I444" s="38" t="str"/>
    </x:row>
    <x:row r="445">
      <x:c r="A445" s="46"/>
      <x:c r="B445" s="38" t="str"/>
      <x:c r="C445" s="38" t="str"/>
      <x:c r="D445" s="38" t="str"/>
      <x:c r="E445" s="39"/>
      <x:c r="F445" s="38" t="str"/>
      <x:c r="G445" s="38" t="str"/>
      <x:c r="H445" s="38" t="str"/>
      <x:c r="I445" s="38" t="str"/>
    </x:row>
    <x:row r="446">
      <x:c r="A446" s="46"/>
      <x:c r="B446" s="38" t="str"/>
      <x:c r="C446" s="38" t="str"/>
      <x:c r="D446" s="38" t="str"/>
      <x:c r="E446" s="39"/>
      <x:c r="F446" s="38" t="str"/>
      <x:c r="G446" s="38" t="str"/>
      <x:c r="H446" s="38" t="str"/>
      <x:c r="I446" s="38" t="str"/>
    </x:row>
    <x:row r="447">
      <x:c r="A447" s="46"/>
      <x:c r="B447" s="38" t="str"/>
      <x:c r="C447" s="38" t="str"/>
      <x:c r="D447" s="38" t="str"/>
      <x:c r="E447" s="39"/>
      <x:c r="F447" s="38" t="str"/>
      <x:c r="G447" s="38" t="str"/>
      <x:c r="H447" s="38" t="str"/>
      <x:c r="I447" s="38" t="str"/>
    </x:row>
    <x:row r="448">
      <x:c r="A448" s="46"/>
      <x:c r="B448" s="38" t="str"/>
      <x:c r="C448" s="38" t="str"/>
      <x:c r="D448" s="38" t="str"/>
      <x:c r="E448" s="39"/>
      <x:c r="F448" s="38" t="str"/>
      <x:c r="G448" s="38" t="str"/>
      <x:c r="H448" s="38" t="str"/>
      <x:c r="I448" s="38" t="str"/>
    </x:row>
    <x:row r="449">
      <x:c r="A449" s="46"/>
      <x:c r="B449" s="38" t="str"/>
      <x:c r="C449" s="38" t="str"/>
      <x:c r="D449" s="38" t="str"/>
      <x:c r="E449" s="39"/>
      <x:c r="F449" s="38" t="str"/>
      <x:c r="G449" s="38" t="str"/>
      <x:c r="H449" s="38" t="str"/>
      <x:c r="I449" s="38" t="str"/>
    </x:row>
    <x:row r="450">
      <x:c r="A450" s="46"/>
      <x:c r="B450" s="38" t="str"/>
      <x:c r="C450" s="38" t="str"/>
      <x:c r="D450" s="38" t="str"/>
      <x:c r="E450" s="39"/>
      <x:c r="F450" s="38" t="str"/>
      <x:c r="G450" s="38" t="str"/>
      <x:c r="H450" s="38" t="str"/>
      <x:c r="I450" s="38" t="str"/>
    </x:row>
    <x:row r="451">
      <x:c r="A451" s="46"/>
      <x:c r="B451" s="38" t="str"/>
      <x:c r="C451" s="38" t="str"/>
      <x:c r="D451" s="38" t="str"/>
      <x:c r="E451" s="39"/>
      <x:c r="F451" s="38" t="str"/>
      <x:c r="G451" s="38" t="str"/>
      <x:c r="H451" s="38" t="str"/>
      <x:c r="I451" s="38" t="str"/>
    </x:row>
    <x:row r="452">
      <x:c r="A452" s="46"/>
      <x:c r="B452" s="38" t="str"/>
      <x:c r="C452" s="38" t="str"/>
      <x:c r="D452" s="38" t="str"/>
      <x:c r="E452" s="39"/>
      <x:c r="F452" s="38" t="str"/>
      <x:c r="G452" s="38" t="str"/>
      <x:c r="H452" s="38" t="str"/>
      <x:c r="I452" s="38" t="str"/>
    </x:row>
    <x:row r="453">
      <x:c r="A453" s="46"/>
      <x:c r="B453" s="38" t="str"/>
      <x:c r="C453" s="38" t="str"/>
      <x:c r="D453" s="38" t="str"/>
      <x:c r="E453" s="39"/>
      <x:c r="F453" s="38" t="str"/>
      <x:c r="G453" s="38" t="str"/>
      <x:c r="H453" s="38" t="str"/>
      <x:c r="I453" s="38" t="str"/>
    </x:row>
    <x:row r="454">
      <x:c r="A454" s="46"/>
      <x:c r="B454" s="38" t="str"/>
      <x:c r="C454" s="38" t="str"/>
      <x:c r="D454" s="38" t="str"/>
      <x:c r="E454" s="39"/>
      <x:c r="F454" s="38" t="str"/>
      <x:c r="G454" s="38" t="str"/>
      <x:c r="H454" s="38" t="str"/>
      <x:c r="I454" s="38" t="str"/>
    </x:row>
    <x:row r="455">
      <x:c r="A455" s="46"/>
      <x:c r="B455" s="38" t="str"/>
      <x:c r="C455" s="38" t="str"/>
      <x:c r="D455" s="38" t="str"/>
      <x:c r="E455" s="39"/>
      <x:c r="F455" s="38" t="str"/>
      <x:c r="G455" s="38" t="str"/>
      <x:c r="H455" s="38" t="str"/>
      <x:c r="I455" s="38" t="str"/>
    </x:row>
    <x:row r="456">
      <x:c r="A456" s="46"/>
      <x:c r="B456" s="38" t="str"/>
      <x:c r="C456" s="38" t="str"/>
      <x:c r="D456" s="38" t="str"/>
      <x:c r="E456" s="39"/>
      <x:c r="F456" s="38" t="str"/>
      <x:c r="G456" s="38" t="str"/>
      <x:c r="H456" s="38" t="str"/>
      <x:c r="I456" s="38" t="str"/>
    </x:row>
    <x:row r="457">
      <x:c r="A457" s="46"/>
      <x:c r="B457" s="38" t="str"/>
      <x:c r="C457" s="38" t="str"/>
      <x:c r="D457" s="38" t="str"/>
      <x:c r="E457" s="39"/>
      <x:c r="F457" s="38" t="str"/>
      <x:c r="G457" s="38" t="str"/>
      <x:c r="H457" s="38" t="str"/>
      <x:c r="I457" s="38" t="str"/>
    </x:row>
    <x:row r="458">
      <x:c r="A458" s="46"/>
      <x:c r="B458" s="38" t="str"/>
      <x:c r="C458" s="38" t="str"/>
      <x:c r="D458" s="38" t="str"/>
      <x:c r="E458" s="39"/>
      <x:c r="F458" s="38" t="str"/>
      <x:c r="G458" s="38" t="str"/>
      <x:c r="H458" s="38" t="str"/>
      <x:c r="I458" s="38" t="str"/>
    </x:row>
    <x:row r="459">
      <x:c r="A459" s="46"/>
      <x:c r="B459" s="38" t="str"/>
      <x:c r="C459" s="38" t="str"/>
      <x:c r="D459" s="38" t="str"/>
      <x:c r="E459" s="39"/>
      <x:c r="F459" s="38" t="str"/>
      <x:c r="G459" s="38" t="str"/>
      <x:c r="H459" s="38" t="str"/>
      <x:c r="I459" s="38" t="str"/>
    </x:row>
    <x:row r="460">
      <x:c r="A460" s="46"/>
      <x:c r="B460" s="38" t="str"/>
      <x:c r="C460" s="38" t="str"/>
      <x:c r="D460" s="38" t="str"/>
      <x:c r="E460" s="39"/>
      <x:c r="F460" s="38" t="str"/>
      <x:c r="G460" s="38" t="str"/>
      <x:c r="H460" s="38" t="str"/>
      <x:c r="I460" s="38" t="str"/>
    </x:row>
    <x:row r="461">
      <x:c r="A461" s="46"/>
      <x:c r="B461" s="38" t="str"/>
      <x:c r="C461" s="38" t="str"/>
      <x:c r="D461" s="38" t="str"/>
      <x:c r="E461" s="39"/>
      <x:c r="F461" s="38" t="str"/>
      <x:c r="G461" s="38" t="str"/>
      <x:c r="H461" s="38" t="str"/>
      <x:c r="I461" s="38" t="str"/>
    </x:row>
    <x:row r="462">
      <x:c r="A462" s="46"/>
      <x:c r="B462" s="38" t="str"/>
      <x:c r="C462" s="38" t="str"/>
      <x:c r="D462" s="38" t="str"/>
      <x:c r="E462" s="39"/>
      <x:c r="F462" s="38" t="str"/>
      <x:c r="G462" s="38" t="str"/>
      <x:c r="H462" s="38" t="str"/>
      <x:c r="I462" s="38" t="str"/>
    </x:row>
    <x:row r="463">
      <x:c r="A463" s="46"/>
      <x:c r="B463" s="38" t="str"/>
      <x:c r="C463" s="38" t="str"/>
      <x:c r="D463" s="38" t="str"/>
      <x:c r="E463" s="39"/>
      <x:c r="F463" s="38" t="str"/>
      <x:c r="G463" s="38" t="str"/>
      <x:c r="H463" s="38" t="str"/>
      <x:c r="I463" s="38" t="str"/>
    </x:row>
    <x:row r="464">
      <x:c r="A464" s="46"/>
      <x:c r="B464" s="38" t="str"/>
      <x:c r="C464" s="38" t="str"/>
      <x:c r="D464" s="38" t="str"/>
      <x:c r="E464" s="39"/>
      <x:c r="F464" s="38" t="str"/>
      <x:c r="G464" s="38" t="str"/>
      <x:c r="H464" s="38" t="str"/>
      <x:c r="I464" s="38" t="str"/>
    </x:row>
    <x:row r="465">
      <x:c r="A465" s="46"/>
      <x:c r="B465" s="38" t="str"/>
      <x:c r="C465" s="38" t="str"/>
      <x:c r="D465" s="38" t="str"/>
      <x:c r="E465" s="39"/>
      <x:c r="F465" s="38" t="str"/>
      <x:c r="G465" s="38" t="str"/>
      <x:c r="H465" s="38" t="str"/>
      <x:c r="I465" s="38" t="str"/>
    </x:row>
    <x:row r="466">
      <x:c r="A466" s="46"/>
      <x:c r="B466" s="38" t="str"/>
      <x:c r="C466" s="38" t="str"/>
      <x:c r="D466" s="38" t="str"/>
      <x:c r="E466" s="39"/>
      <x:c r="F466" s="38" t="str"/>
      <x:c r="G466" s="38" t="str"/>
      <x:c r="H466" s="38" t="str"/>
      <x:c r="I466" s="38" t="str"/>
    </x:row>
    <x:row r="467">
      <x:c r="A467" s="46"/>
      <x:c r="B467" s="38" t="str"/>
      <x:c r="C467" s="38" t="str"/>
      <x:c r="D467" s="38" t="str"/>
      <x:c r="E467" s="39"/>
      <x:c r="F467" s="38" t="str"/>
      <x:c r="G467" s="38" t="str"/>
      <x:c r="H467" s="38" t="str"/>
      <x:c r="I467" s="38" t="str"/>
    </x:row>
    <x:row r="468">
      <x:c r="A468" s="46"/>
      <x:c r="B468" s="38" t="str"/>
      <x:c r="C468" s="38" t="str"/>
      <x:c r="D468" s="38" t="str"/>
      <x:c r="E468" s="39"/>
      <x:c r="F468" s="38" t="str"/>
      <x:c r="G468" s="38" t="str"/>
      <x:c r="H468" s="38" t="str"/>
      <x:c r="I468" s="38" t="str"/>
    </x:row>
    <x:row r="469">
      <x:c r="A469" s="46"/>
      <x:c r="B469" s="38" t="str"/>
      <x:c r="C469" s="38" t="str"/>
      <x:c r="D469" s="38" t="str"/>
      <x:c r="E469" s="39"/>
      <x:c r="F469" s="38" t="str"/>
      <x:c r="G469" s="38" t="str"/>
      <x:c r="H469" s="38" t="str"/>
      <x:c r="I469" s="38" t="str"/>
    </x:row>
    <x:row r="470">
      <x:c r="A470" s="46"/>
      <x:c r="B470" s="38" t="str"/>
      <x:c r="C470" s="38" t="str"/>
      <x:c r="D470" s="38" t="str"/>
      <x:c r="E470" s="39"/>
      <x:c r="F470" s="38" t="str"/>
      <x:c r="G470" s="38" t="str"/>
      <x:c r="H470" s="38" t="str"/>
      <x:c r="I470" s="38" t="str"/>
    </x:row>
    <x:row r="471">
      <x:c r="A471" s="46"/>
      <x:c r="B471" s="38" t="str"/>
      <x:c r="C471" s="38" t="str"/>
      <x:c r="D471" s="38" t="str"/>
      <x:c r="E471" s="39"/>
      <x:c r="F471" s="38" t="str"/>
      <x:c r="G471" s="38" t="str"/>
      <x:c r="H471" s="38" t="str"/>
      <x:c r="I471" s="38" t="str"/>
    </x:row>
    <x:row r="472">
      <x:c r="A472" s="46"/>
      <x:c r="B472" s="38" t="str"/>
      <x:c r="C472" s="38" t="str"/>
      <x:c r="D472" s="38" t="str"/>
      <x:c r="E472" s="39"/>
      <x:c r="F472" s="38" t="str"/>
      <x:c r="G472" s="38" t="str"/>
      <x:c r="H472" s="38" t="str"/>
      <x:c r="I472" s="38" t="str"/>
    </x:row>
    <x:row r="473">
      <x:c r="A473" s="46"/>
      <x:c r="B473" s="38" t="str"/>
      <x:c r="C473" s="38" t="str"/>
      <x:c r="D473" s="38" t="str"/>
      <x:c r="E473" s="39"/>
      <x:c r="F473" s="38" t="str"/>
      <x:c r="G473" s="38" t="str"/>
      <x:c r="H473" s="38" t="str"/>
      <x:c r="I473" s="38" t="str"/>
    </x:row>
    <x:row r="474">
      <x:c r="A474" s="46"/>
      <x:c r="B474" s="38" t="str"/>
      <x:c r="C474" s="38" t="str"/>
      <x:c r="D474" s="38" t="str"/>
      <x:c r="E474" s="39"/>
      <x:c r="F474" s="38" t="str"/>
      <x:c r="G474" s="38" t="str"/>
      <x:c r="H474" s="38" t="str"/>
      <x:c r="I474" s="38" t="str"/>
    </x:row>
    <x:row r="475">
      <x:c r="A475" s="46"/>
      <x:c r="B475" s="38" t="str"/>
      <x:c r="C475" s="38" t="str"/>
      <x:c r="D475" s="38" t="str"/>
      <x:c r="E475" s="39"/>
      <x:c r="F475" s="38" t="str"/>
      <x:c r="G475" s="38" t="str"/>
      <x:c r="H475" s="38" t="str"/>
      <x:c r="I475" s="38" t="str"/>
    </x:row>
    <x:row r="476">
      <x:c r="A476" s="46"/>
      <x:c r="B476" s="38" t="str"/>
      <x:c r="C476" s="38" t="str"/>
      <x:c r="D476" s="38" t="str"/>
      <x:c r="E476" s="39"/>
      <x:c r="F476" s="38" t="str"/>
      <x:c r="G476" s="38" t="str"/>
      <x:c r="H476" s="38" t="str"/>
      <x:c r="I476" s="38" t="str"/>
    </x:row>
    <x:row r="477">
      <x:c r="A477" s="46"/>
      <x:c r="B477" s="38" t="str"/>
      <x:c r="C477" s="38" t="str"/>
      <x:c r="D477" s="38" t="str"/>
      <x:c r="E477" s="39"/>
      <x:c r="F477" s="38" t="str"/>
      <x:c r="G477" s="38" t="str"/>
      <x:c r="H477" s="38" t="str"/>
      <x:c r="I477" s="38" t="str"/>
    </x:row>
    <x:row r="478">
      <x:c r="A478" s="46"/>
      <x:c r="B478" s="38" t="str"/>
      <x:c r="C478" s="38" t="str"/>
      <x:c r="D478" s="38" t="str"/>
      <x:c r="E478" s="39"/>
      <x:c r="F478" s="38" t="str"/>
      <x:c r="G478" s="38" t="str"/>
      <x:c r="H478" s="38" t="str"/>
      <x:c r="I478" s="38" t="str"/>
    </x:row>
    <x:row r="479">
      <x:c r="A479" s="46"/>
      <x:c r="B479" s="38" t="str"/>
      <x:c r="C479" s="38" t="str"/>
      <x:c r="D479" s="38" t="str"/>
      <x:c r="E479" s="39"/>
      <x:c r="F479" s="38" t="str"/>
      <x:c r="G479" s="38" t="str"/>
      <x:c r="H479" s="38" t="str"/>
      <x:c r="I479" s="38" t="str"/>
    </x:row>
    <x:row r="480">
      <x:c r="A480" s="46"/>
      <x:c r="B480" s="38" t="str"/>
      <x:c r="C480" s="38" t="str"/>
      <x:c r="D480" s="38" t="str"/>
      <x:c r="E480" s="39"/>
      <x:c r="F480" s="38" t="str"/>
      <x:c r="G480" s="38" t="str"/>
      <x:c r="H480" s="38" t="str"/>
      <x:c r="I480" s="38" t="str"/>
    </x:row>
    <x:row r="481">
      <x:c r="A481" s="46"/>
      <x:c r="B481" s="38" t="str"/>
      <x:c r="C481" s="38" t="str"/>
      <x:c r="D481" s="38" t="str"/>
      <x:c r="E481" s="39"/>
      <x:c r="F481" s="38" t="str"/>
      <x:c r="G481" s="38" t="str"/>
      <x:c r="H481" s="38" t="str"/>
      <x:c r="I481" s="38" t="str"/>
    </x:row>
    <x:row r="482">
      <x:c r="A482" s="46"/>
      <x:c r="B482" s="38" t="str"/>
      <x:c r="C482" s="38" t="str"/>
      <x:c r="D482" s="38" t="str"/>
      <x:c r="E482" s="39"/>
      <x:c r="F482" s="38" t="str"/>
      <x:c r="G482" s="38" t="str"/>
      <x:c r="H482" s="38" t="str"/>
      <x:c r="I482" s="38" t="str"/>
    </x:row>
    <x:row r="483">
      <x:c r="A483" s="46"/>
      <x:c r="B483" s="38" t="str"/>
      <x:c r="C483" s="38" t="str"/>
      <x:c r="D483" s="38" t="str"/>
      <x:c r="E483" s="39"/>
      <x:c r="F483" s="38" t="str"/>
      <x:c r="G483" s="38" t="str"/>
      <x:c r="H483" s="38" t="str"/>
      <x:c r="I483" s="38" t="str"/>
    </x:row>
    <x:row r="484">
      <x:c r="A484" s="46"/>
      <x:c r="B484" s="38" t="str"/>
      <x:c r="C484" s="38" t="str"/>
      <x:c r="D484" s="38" t="str"/>
      <x:c r="E484" s="39"/>
      <x:c r="F484" s="38" t="str"/>
      <x:c r="G484" s="38" t="str"/>
      <x:c r="H484" s="38" t="str"/>
      <x:c r="I484" s="38" t="str"/>
    </x:row>
    <x:row r="485">
      <x:c r="A485" s="46"/>
      <x:c r="B485" s="38" t="str"/>
      <x:c r="C485" s="38" t="str"/>
      <x:c r="D485" s="38" t="str"/>
      <x:c r="E485" s="39"/>
      <x:c r="F485" s="38" t="str"/>
      <x:c r="G485" s="38" t="str"/>
      <x:c r="H485" s="38" t="str"/>
      <x:c r="I485" s="38" t="str"/>
    </x:row>
    <x:row r="486">
      <x:c r="A486" s="46"/>
      <x:c r="B486" s="38" t="str"/>
      <x:c r="C486" s="38" t="str"/>
      <x:c r="D486" s="38" t="str"/>
      <x:c r="E486" s="39"/>
      <x:c r="F486" s="38" t="str"/>
      <x:c r="G486" s="38" t="str"/>
      <x:c r="H486" s="38" t="str"/>
      <x:c r="I486" s="38" t="str"/>
    </x:row>
    <x:row r="487">
      <x:c r="A487" s="46"/>
      <x:c r="B487" s="38" t="str"/>
      <x:c r="C487" s="38" t="str"/>
      <x:c r="D487" s="38" t="str"/>
      <x:c r="E487" s="39"/>
      <x:c r="F487" s="38" t="str"/>
      <x:c r="G487" s="38" t="str"/>
      <x:c r="H487" s="38" t="str"/>
      <x:c r="I487" s="38" t="str"/>
    </x:row>
    <x:row r="488">
      <x:c r="A488" s="46"/>
      <x:c r="B488" s="38" t="str"/>
      <x:c r="C488" s="38" t="str"/>
      <x:c r="D488" s="38" t="str"/>
      <x:c r="E488" s="39"/>
      <x:c r="F488" s="38" t="str"/>
      <x:c r="G488" s="38" t="str"/>
      <x:c r="H488" s="38" t="str"/>
      <x:c r="I488" s="38" t="str"/>
    </x:row>
    <x:row r="489">
      <x:c r="A489" s="46"/>
      <x:c r="B489" s="38" t="str"/>
      <x:c r="C489" s="38" t="str"/>
      <x:c r="D489" s="38" t="str"/>
      <x:c r="E489" s="39"/>
      <x:c r="F489" s="38" t="str"/>
      <x:c r="G489" s="38" t="str"/>
      <x:c r="H489" s="38" t="str"/>
      <x:c r="I489" s="38" t="str"/>
    </x:row>
    <x:row r="490">
      <x:c r="A490" s="46"/>
      <x:c r="B490" s="38" t="str"/>
      <x:c r="C490" s="38" t="str"/>
      <x:c r="D490" s="38" t="str"/>
      <x:c r="E490" s="39"/>
      <x:c r="F490" s="38" t="str"/>
      <x:c r="G490" s="38" t="str"/>
      <x:c r="H490" s="38" t="str"/>
      <x:c r="I490" s="38" t="str"/>
    </x:row>
    <x:row r="491">
      <x:c r="A491" s="46"/>
      <x:c r="B491" s="38" t="str"/>
      <x:c r="C491" s="38" t="str"/>
      <x:c r="D491" s="38" t="str"/>
      <x:c r="E491" s="39"/>
      <x:c r="F491" s="38" t="str"/>
      <x:c r="G491" s="38" t="str"/>
      <x:c r="H491" s="38" t="str"/>
      <x:c r="I491" s="38" t="str"/>
    </x:row>
    <x:row r="492">
      <x:c r="A492" s="46"/>
      <x:c r="B492" s="38" t="str"/>
      <x:c r="C492" s="38" t="str"/>
      <x:c r="D492" s="38" t="str"/>
      <x:c r="E492" s="39"/>
      <x:c r="F492" s="38" t="str"/>
      <x:c r="G492" s="38" t="str"/>
      <x:c r="H492" s="38" t="str"/>
      <x:c r="I492" s="38" t="str"/>
    </x:row>
    <x:row r="493">
      <x:c r="A493" s="46"/>
      <x:c r="B493" s="38" t="str"/>
      <x:c r="C493" s="38" t="str"/>
      <x:c r="D493" s="38" t="str"/>
      <x:c r="E493" s="39"/>
      <x:c r="F493" s="38" t="str"/>
      <x:c r="G493" s="38" t="str"/>
      <x:c r="H493" s="38" t="str"/>
      <x:c r="I493" s="38" t="str"/>
    </x:row>
    <x:row r="494">
      <x:c r="A494" s="46"/>
      <x:c r="B494" s="38" t="str"/>
      <x:c r="C494" s="38" t="str"/>
      <x:c r="D494" s="38" t="str"/>
      <x:c r="E494" s="39"/>
      <x:c r="F494" s="38" t="str"/>
      <x:c r="G494" s="38" t="str"/>
      <x:c r="H494" s="38" t="str"/>
      <x:c r="I494" s="38" t="str"/>
    </x:row>
    <x:row r="495">
      <x:c r="A495" s="46"/>
      <x:c r="B495" s="38" t="str"/>
      <x:c r="C495" s="38" t="str"/>
      <x:c r="D495" s="38" t="str"/>
      <x:c r="E495" s="39"/>
      <x:c r="F495" s="38" t="str"/>
      <x:c r="G495" s="38" t="str"/>
      <x:c r="H495" s="38" t="str"/>
      <x:c r="I495" s="38" t="str"/>
    </x:row>
    <x:row r="496">
      <x:c r="A496" s="46"/>
      <x:c r="B496" s="38" t="str"/>
      <x:c r="C496" s="38" t="str"/>
      <x:c r="D496" s="38" t="str"/>
      <x:c r="E496" s="39"/>
      <x:c r="F496" s="38" t="str"/>
      <x:c r="G496" s="38" t="str"/>
      <x:c r="H496" s="38" t="str"/>
      <x:c r="I496" s="38" t="str"/>
    </x:row>
    <x:row r="497">
      <x:c r="A497" s="46"/>
      <x:c r="B497" s="38" t="str"/>
      <x:c r="C497" s="38" t="str"/>
      <x:c r="D497" s="38" t="str"/>
      <x:c r="E497" s="39"/>
      <x:c r="F497" s="38" t="str"/>
      <x:c r="G497" s="38" t="str"/>
      <x:c r="H497" s="38" t="str"/>
      <x:c r="I497" s="38" t="str"/>
    </x:row>
    <x:row r="498">
      <x:c r="A498" s="46"/>
      <x:c r="B498" s="38" t="str"/>
      <x:c r="C498" s="38" t="str"/>
      <x:c r="D498" s="38" t="str"/>
      <x:c r="E498" s="39"/>
      <x:c r="F498" s="38" t="str"/>
      <x:c r="G498" s="38" t="str"/>
      <x:c r="H498" s="38" t="str"/>
      <x:c r="I498" s="38" t="str"/>
    </x:row>
    <x:row r="499">
      <x:c r="A499" s="46"/>
      <x:c r="B499" s="38" t="str"/>
      <x:c r="C499" s="38" t="str"/>
      <x:c r="D499" s="38" t="str"/>
      <x:c r="E499" s="39"/>
      <x:c r="F499" s="38" t="str"/>
      <x:c r="G499" s="38" t="str"/>
      <x:c r="H499" s="38" t="str"/>
      <x:c r="I499" s="38" t="str"/>
    </x:row>
    <x:row r="500">
      <x:c r="A500" s="46"/>
      <x:c r="B500" s="38" t="str"/>
      <x:c r="C500" s="38" t="str"/>
      <x:c r="D500" s="38" t="str"/>
      <x:c r="E500" s="39"/>
      <x:c r="F500" s="38" t="str"/>
      <x:c r="G500" s="38" t="str"/>
      <x:c r="H500" s="38" t="str"/>
      <x:c r="I500" s="38" t="str"/>
    </x:row>
    <x:row r="501">
      <x:c r="A501" s="46"/>
      <x:c r="B501" s="38" t="str"/>
      <x:c r="C501" s="38" t="str"/>
      <x:c r="D501" s="38" t="str"/>
      <x:c r="E501" s="39"/>
      <x:c r="F501" s="38" t="str"/>
      <x:c r="G501" s="38" t="str"/>
      <x:c r="H501" s="38" t="str"/>
      <x:c r="I501" s="38" t="str"/>
    </x:row>
    <x:row r="502">
      <x:c r="A502" s="46"/>
      <x:c r="B502" s="38" t="str"/>
      <x:c r="C502" s="38" t="str"/>
      <x:c r="D502" s="38" t="str"/>
      <x:c r="E502" s="39"/>
      <x:c r="F502" s="38" t="str"/>
      <x:c r="G502" s="38" t="str"/>
      <x:c r="H502" s="38" t="str"/>
      <x:c r="I502" s="38" t="str"/>
    </x:row>
    <x:row r="503">
      <x:c r="A503" s="46"/>
      <x:c r="B503" s="38" t="str"/>
      <x:c r="C503" s="38" t="str"/>
      <x:c r="D503" s="38" t="str"/>
      <x:c r="E503" s="39"/>
      <x:c r="F503" s="38" t="str"/>
      <x:c r="G503" s="38" t="str"/>
      <x:c r="H503" s="38" t="str"/>
      <x:c r="I503" s="38" t="str"/>
    </x:row>
    <x:row r="504">
      <x:c r="A504" s="46"/>
      <x:c r="B504" s="38" t="str"/>
      <x:c r="C504" s="38" t="str"/>
      <x:c r="D504" s="38" t="str"/>
      <x:c r="E504" s="39"/>
      <x:c r="F504" s="38" t="str"/>
      <x:c r="G504" s="38" t="str"/>
      <x:c r="H504" s="38" t="str"/>
      <x:c r="I504" s="38" t="str"/>
    </x:row>
    <x:row r="505">
      <x:c r="A505" s="46"/>
      <x:c r="B505" s="38" t="str"/>
      <x:c r="C505" s="38" t="str"/>
      <x:c r="D505" s="38" t="str"/>
      <x:c r="E505" s="39"/>
      <x:c r="F505" s="38" t="str"/>
      <x:c r="G505" s="38" t="str"/>
      <x:c r="H505" s="38" t="str"/>
      <x:c r="I505" s="38" t="str"/>
    </x:row>
  </x:sheetData>
  <x:mergeCells>
    <x:mergeCell ref="A1:I1"/>
    <x:mergeCell ref="A2:I2"/>
  </x:mergeCells>
  <x:conditionalFormatting sqref="H6:H505">
    <x:cfRule type="containsText" dxfId="0" priority="1" operator="containsText" text="Pagado"/>
    <x:cfRule type="containsText" dxfId="1" priority="2" operator="containsText" text="Pendiente"/>
  </x:conditionalFormatting>
  <x:dataValidations count="5">
    <x:dataValidation type="list" sqref="B6:B505">
      <x:formula1>'Configuración'!$B$5:$B$30</x:formula1>
    </x:dataValidation>
    <x:dataValidation type="list" sqref="C6:C505">
      <x:formula1>'Configuración'!$C$5:$C$30</x:formula1>
    </x:dataValidation>
    <x:dataValidation type="list" sqref="F6:F505">
      <x:formula1>'Configuración'!$E$5:$E$25</x:formula1>
    </x:dataValidation>
    <x:dataValidation type="list" sqref="G6:G505">
      <x:formula1>'Configuración'!$D$5:$D$25</x:formula1>
    </x:dataValidation>
    <x:dataValidation type="list" sqref="H6:H505">
      <x:formula1>'Configuración'!$F$5:$F$10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1c43964554b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1299991607666" hidden="0" customWidth="1"/>
    <x:col min="3" max="3" width="16.25" hidden="0" customWidth="1"/>
    <x:col min="4" max="4" width="13.75" hidden="0" customWidth="1"/>
    <x:col min="5" max="5" width="15" hidden="0" customWidth="1"/>
    <x:col min="6" max="6" width="13.75" hidden="0" customWidth="1"/>
    <x:col min="7" max="7" width="13.75" hidden="0" customWidth="1"/>
  </x:cols>
  <x:sheetData>
    <x:row r="1" ht="28.5" customHeight="1">
      <x:c r="A1" s="34" t="str">
        <x:v>Calendario de Pagos</x:v>
      </x:c>
      <x:c r="B1" s="34" t="str">
        <x:v>Calendario de Pagos</x:v>
      </x:c>
      <x:c r="C1" s="34" t="str">
        <x:v>Calendario de Pagos</x:v>
      </x:c>
      <x:c r="D1" s="34" t="str">
        <x:v>Calendario de Pagos</x:v>
      </x:c>
      <x:c r="E1" s="34" t="str">
        <x:v>Calendario de Pagos</x:v>
      </x:c>
      <x:c r="F1" s="34" t="str">
        <x:v>Calendario de Pagos</x:v>
      </x:c>
      <x:c r="G1" s="34" t="str">
        <x:v>Calendario de Pagos</x:v>
      </x:c>
    </x:row>
    <x:row r="2" ht="19.5" customHeight="1">
      <x:c r="A2" s="36" t="str">
        <x:v>Control de vencimientos recurrentes y alertas automáticas.</x:v>
      </x:c>
      <x:c r="B2" s="36" t="str">
        <x:v>Control de vencimientos recurrentes y alertas automáticas.</x:v>
      </x:c>
      <x:c r="C2" s="36" t="str">
        <x:v>Control de vencimientos recurrentes y alertas automáticas.</x:v>
      </x:c>
      <x:c r="D2" s="36" t="str">
        <x:v>Control de vencimientos recurrentes y alertas automáticas.</x:v>
      </x:c>
      <x:c r="E2" s="36" t="str">
        <x:v>Control de vencimientos recurrentes y alertas automáticas.</x:v>
      </x:c>
      <x:c r="F2" s="36" t="str">
        <x:v>Control de vencimientos recurrentes y alertas automáticas.</x:v>
      </x:c>
      <x:c r="G2" s="36" t="str">
        <x:v>Control de vencimientos recurrentes y alertas automáticas.</x:v>
      </x:c>
    </x:row>
    <x:row r="3">
      <x:c r="A3" s="35"/>
      <x:c r="B3" s="35"/>
      <x:c r="C3" s="35"/>
      <x:c r="D3" s="35"/>
      <x:c r="E3" s="35"/>
      <x:c r="F3" s="35"/>
      <x:c r="G3" s="35"/>
    </x:row>
    <x:row r="4">
      <x:c r="A4" s="35"/>
      <x:c r="B4" s="35"/>
      <x:c r="C4" s="35"/>
      <x:c r="D4" s="35"/>
      <x:c r="E4" s="35"/>
      <x:c r="F4" s="35"/>
      <x:c r="G4" s="35"/>
    </x:row>
    <x:row r="5">
      <x:c r="A5" s="37" t="str">
        <x:v>Concepto</x:v>
      </x:c>
      <x:c r="B5" s="37" t="str">
        <x:v>Categoría</x:v>
      </x:c>
      <x:c r="C5" s="37" t="str">
        <x:v>Fecha de vencimiento</x:v>
      </x:c>
      <x:c r="D5" s="37" t="str">
        <x:v>Monto</x:v>
      </x:c>
      <x:c r="E5" s="37" t="str">
        <x:v>Frecuencia</x:v>
      </x:c>
      <x:c r="F5" s="37" t="str">
        <x:v>Estado</x:v>
      </x:c>
      <x:c r="G5" s="37" t="str">
        <x:v>Días restantes</x:v>
      </x:c>
    </x:row>
    <x:row r="6">
      <x:c r="A6" s="38" t="str">
        <x:v>Renta</x:v>
      </x:c>
      <x:c r="B6" s="38" t="str">
        <x:v>Renta/Hipoteca</x:v>
      </x:c>
      <x:c r="C6" s="46" t="n">
        <x:v>46203</x:v>
      </x:c>
      <x:c r="D6" s="39" t="n">
        <x:v>1450</x:v>
      </x:c>
      <x:c r="E6" s="38" t="str">
        <x:v>Mensual</x:v>
      </x:c>
      <x:c r="F6" s="38" t="str">
        <x:v>Pendiente</x:v>
      </x:c>
      <x:c r="G6" s="47" t="n">
        <x:f>IF(OR(C6="",F6="Pagado"),"",C6-TODAY())</x:f>
        <x:v>24</x:v>
      </x:c>
    </x:row>
    <x:row r="7">
      <x:c r="A7" s="38" t="str">
        <x:v>Internet</x:v>
      </x:c>
      <x:c r="B7" s="38" t="str">
        <x:v>Internet</x:v>
      </x:c>
      <x:c r="C7" s="46" t="n">
        <x:v>46193</x:v>
      </x:c>
      <x:c r="D7" s="39" t="n">
        <x:v>55</x:v>
      </x:c>
      <x:c r="E7" s="38" t="str">
        <x:v>Mensual</x:v>
      </x:c>
      <x:c r="F7" s="38" t="str">
        <x:v>Pendiente</x:v>
      </x:c>
      <x:c r="G7" s="47" t="n">
        <x:f>IF(OR(C7="",F7="Pagado"),"",C7-TODAY())</x:f>
        <x:v>14</x:v>
      </x:c>
    </x:row>
    <x:row r="8">
      <x:c r="A8" s="38" t="str">
        <x:v>Seguro hogar</x:v>
      </x:c>
      <x:c r="B8" s="38" t="str">
        <x:v>Seguros</x:v>
      </x:c>
      <x:c r="C8" s="46" t="n">
        <x:v>46208</x:v>
      </x:c>
      <x:c r="D8" s="39" t="n">
        <x:v>320</x:v>
      </x:c>
      <x:c r="E8" s="38" t="str">
        <x:v>Anual</x:v>
      </x:c>
      <x:c r="F8" s="38" t="str">
        <x:v>Pendiente</x:v>
      </x:c>
      <x:c r="G8" s="47" t="n">
        <x:f>IF(OR(C8="",F8="Pagado"),"",C8-TODAY())</x:f>
        <x:v>29</x:v>
      </x:c>
    </x:row>
    <x:row r="9">
      <x:c r="A9" s="38" t="str">
        <x:v>Teléfono</x:v>
      </x:c>
      <x:c r="B9" s="38" t="str">
        <x:v>Teléfono</x:v>
      </x:c>
      <x:c r="C9" s="46" t="n">
        <x:v>46185</x:v>
      </x:c>
      <x:c r="D9" s="39" t="n">
        <x:v>70</x:v>
      </x:c>
      <x:c r="E9" s="38" t="str">
        <x:v>Mensual</x:v>
      </x:c>
      <x:c r="F9" s="38" t="str">
        <x:v>Pagado</x:v>
      </x:c>
      <x:c r="G9" s="47" t="str">
        <x:f>IF(OR(C9="",F9="Pagado"),"",C9-TODAY())</x:f>
      </x:c>
    </x:row>
    <x:row r="10">
      <x:c r="A10" s="38" t="str"/>
      <x:c r="B10" s="38" t="str"/>
      <x:c r="C10" s="46"/>
      <x:c r="D10" s="39"/>
      <x:c r="E10" s="38" t="str"/>
      <x:c r="F10" s="38" t="str"/>
      <x:c r="G10" s="47" t="str">
        <x:f>IF(OR(C10="",F10="Pagado"),"",C10-TODAY())</x:f>
      </x:c>
    </x:row>
    <x:row r="11">
      <x:c r="A11" s="38" t="str"/>
      <x:c r="B11" s="38" t="str"/>
      <x:c r="C11" s="46"/>
      <x:c r="D11" s="39"/>
      <x:c r="E11" s="38" t="str"/>
      <x:c r="F11" s="38" t="str"/>
      <x:c r="G11" s="47" t="str">
        <x:f>IF(OR(C11="",F11="Pagado"),"",C11-TODAY())</x:f>
      </x:c>
    </x:row>
    <x:row r="12">
      <x:c r="A12" s="38" t="str"/>
      <x:c r="B12" s="38" t="str"/>
      <x:c r="C12" s="46"/>
      <x:c r="D12" s="39"/>
      <x:c r="E12" s="38" t="str"/>
      <x:c r="F12" s="38" t="str"/>
      <x:c r="G12" s="47" t="str">
        <x:f>IF(OR(C12="",F12="Pagado"),"",C12-TODAY())</x:f>
      </x:c>
    </x:row>
    <x:row r="13">
      <x:c r="A13" s="38" t="str"/>
      <x:c r="B13" s="38" t="str"/>
      <x:c r="C13" s="46"/>
      <x:c r="D13" s="39"/>
      <x:c r="E13" s="38" t="str"/>
      <x:c r="F13" s="38" t="str"/>
      <x:c r="G13" s="47" t="str">
        <x:f>IF(OR(C13="",F13="Pagado"),"",C13-TODAY())</x:f>
      </x:c>
    </x:row>
    <x:row r="14">
      <x:c r="A14" s="38" t="str"/>
      <x:c r="B14" s="38" t="str"/>
      <x:c r="C14" s="46"/>
      <x:c r="D14" s="39"/>
      <x:c r="E14" s="38" t="str"/>
      <x:c r="F14" s="38" t="str"/>
      <x:c r="G14" s="47" t="str">
        <x:f>IF(OR(C14="",F14="Pagado"),"",C14-TODAY())</x:f>
      </x:c>
    </x:row>
    <x:row r="15">
      <x:c r="A15" s="38" t="str"/>
      <x:c r="B15" s="38" t="str"/>
      <x:c r="C15" s="46"/>
      <x:c r="D15" s="39"/>
      <x:c r="E15" s="38" t="str"/>
      <x:c r="F15" s="38" t="str"/>
      <x:c r="G15" s="47" t="str">
        <x:f>IF(OR(C15="",F15="Pagado"),"",C15-TODAY())</x:f>
      </x:c>
    </x:row>
    <x:row r="16">
      <x:c r="A16" s="38" t="str"/>
      <x:c r="B16" s="38" t="str"/>
      <x:c r="C16" s="46"/>
      <x:c r="D16" s="39"/>
      <x:c r="E16" s="38" t="str"/>
      <x:c r="F16" s="38" t="str"/>
      <x:c r="G16" s="47" t="str">
        <x:f>IF(OR(C16="",F16="Pagado"),"",C16-TODAY())</x:f>
      </x:c>
    </x:row>
    <x:row r="17">
      <x:c r="A17" s="38" t="str"/>
      <x:c r="B17" s="38" t="str"/>
      <x:c r="C17" s="46"/>
      <x:c r="D17" s="39"/>
      <x:c r="E17" s="38" t="str"/>
      <x:c r="F17" s="38" t="str"/>
      <x:c r="G17" s="47" t="str">
        <x:f>IF(OR(C17="",F17="Pagado"),"",C17-TODAY())</x:f>
      </x:c>
    </x:row>
    <x:row r="18">
      <x:c r="A18" s="38" t="str"/>
      <x:c r="B18" s="38" t="str"/>
      <x:c r="C18" s="46"/>
      <x:c r="D18" s="39"/>
      <x:c r="E18" s="38" t="str"/>
      <x:c r="F18" s="38" t="str"/>
      <x:c r="G18" s="47" t="str">
        <x:f>IF(OR(C18="",F18="Pagado"),"",C18-TODAY())</x:f>
      </x:c>
    </x:row>
    <x:row r="19">
      <x:c r="A19" s="38" t="str"/>
      <x:c r="B19" s="38" t="str"/>
      <x:c r="C19" s="46"/>
      <x:c r="D19" s="39"/>
      <x:c r="E19" s="38" t="str"/>
      <x:c r="F19" s="38" t="str"/>
      <x:c r="G19" s="47" t="str">
        <x:f>IF(OR(C19="",F19="Pagado"),"",C19-TODAY())</x:f>
      </x:c>
    </x:row>
    <x:row r="20">
      <x:c r="A20" s="38" t="str"/>
      <x:c r="B20" s="38" t="str"/>
      <x:c r="C20" s="46"/>
      <x:c r="D20" s="39"/>
      <x:c r="E20" s="38" t="str"/>
      <x:c r="F20" s="38" t="str"/>
      <x:c r="G20" s="47" t="str">
        <x:f>IF(OR(C20="",F20="Pagado"),"",C20-TODAY())</x:f>
      </x:c>
    </x:row>
    <x:row r="21">
      <x:c r="A21" s="38" t="str"/>
      <x:c r="B21" s="38" t="str"/>
      <x:c r="C21" s="46"/>
      <x:c r="D21" s="39"/>
      <x:c r="E21" s="38" t="str"/>
      <x:c r="F21" s="38" t="str"/>
      <x:c r="G21" s="47" t="str">
        <x:f>IF(OR(C21="",F21="Pagado"),"",C21-TODAY())</x:f>
      </x:c>
    </x:row>
    <x:row r="22">
      <x:c r="A22" s="38" t="str"/>
      <x:c r="B22" s="38" t="str"/>
      <x:c r="C22" s="46"/>
      <x:c r="D22" s="39"/>
      <x:c r="E22" s="38" t="str"/>
      <x:c r="F22" s="38" t="str"/>
      <x:c r="G22" s="47" t="str">
        <x:f>IF(OR(C22="",F22="Pagado"),"",C22-TODAY())</x:f>
      </x:c>
    </x:row>
    <x:row r="23">
      <x:c r="A23" s="38" t="str"/>
      <x:c r="B23" s="38" t="str"/>
      <x:c r="C23" s="46"/>
      <x:c r="D23" s="39"/>
      <x:c r="E23" s="38" t="str"/>
      <x:c r="F23" s="38" t="str"/>
      <x:c r="G23" s="47" t="str">
        <x:f>IF(OR(C23="",F23="Pagado"),"",C23-TODAY())</x:f>
      </x:c>
    </x:row>
    <x:row r="24">
      <x:c r="A24" s="38" t="str"/>
      <x:c r="B24" s="38" t="str"/>
      <x:c r="C24" s="46"/>
      <x:c r="D24" s="39"/>
      <x:c r="E24" s="38" t="str"/>
      <x:c r="F24" s="38" t="str"/>
      <x:c r="G24" s="47" t="str">
        <x:f>IF(OR(C24="",F24="Pagado"),"",C24-TODAY())</x:f>
      </x:c>
    </x:row>
    <x:row r="25">
      <x:c r="A25" s="38" t="str"/>
      <x:c r="B25" s="38" t="str"/>
      <x:c r="C25" s="46"/>
      <x:c r="D25" s="39"/>
      <x:c r="E25" s="38" t="str"/>
      <x:c r="F25" s="38" t="str"/>
      <x:c r="G25" s="47" t="str">
        <x:f>IF(OR(C25="",F25="Pagado"),"",C25-TODAY())</x:f>
      </x:c>
    </x:row>
    <x:row r="26">
      <x:c r="A26" s="38" t="str"/>
      <x:c r="B26" s="38" t="str"/>
      <x:c r="C26" s="46"/>
      <x:c r="D26" s="39"/>
      <x:c r="E26" s="38" t="str"/>
      <x:c r="F26" s="38" t="str"/>
      <x:c r="G26" s="47" t="str">
        <x:f>IF(OR(C26="",F26="Pagado"),"",C26-TODAY())</x:f>
      </x:c>
    </x:row>
    <x:row r="27">
      <x:c r="A27" s="38" t="str"/>
      <x:c r="B27" s="38" t="str"/>
      <x:c r="C27" s="46"/>
      <x:c r="D27" s="39"/>
      <x:c r="E27" s="38" t="str"/>
      <x:c r="F27" s="38" t="str"/>
      <x:c r="G27" s="47" t="str">
        <x:f>IF(OR(C27="",F27="Pagado"),"",C27-TODAY())</x:f>
      </x:c>
    </x:row>
    <x:row r="28">
      <x:c r="A28" s="38" t="str"/>
      <x:c r="B28" s="38" t="str"/>
      <x:c r="C28" s="46"/>
      <x:c r="D28" s="39"/>
      <x:c r="E28" s="38" t="str"/>
      <x:c r="F28" s="38" t="str"/>
      <x:c r="G28" s="47" t="str">
        <x:f>IF(OR(C28="",F28="Pagado"),"",C28-TODAY())</x:f>
      </x:c>
    </x:row>
    <x:row r="29">
      <x:c r="A29" s="38" t="str"/>
      <x:c r="B29" s="38" t="str"/>
      <x:c r="C29" s="46"/>
      <x:c r="D29" s="39"/>
      <x:c r="E29" s="38" t="str"/>
      <x:c r="F29" s="38" t="str"/>
      <x:c r="G29" s="47" t="str">
        <x:f>IF(OR(C29="",F29="Pagado"),"",C29-TODAY())</x:f>
      </x:c>
    </x:row>
    <x:row r="30">
      <x:c r="A30" s="38" t="str"/>
      <x:c r="B30" s="38" t="str"/>
      <x:c r="C30" s="46"/>
      <x:c r="D30" s="39"/>
      <x:c r="E30" s="38" t="str"/>
      <x:c r="F30" s="38" t="str"/>
      <x:c r="G30" s="47" t="str">
        <x:f>IF(OR(C30="",F30="Pagado"),"",C30-TODAY())</x:f>
      </x:c>
    </x:row>
    <x:row r="31">
      <x:c r="A31" s="38" t="str"/>
      <x:c r="B31" s="38" t="str"/>
      <x:c r="C31" s="46"/>
      <x:c r="D31" s="39"/>
      <x:c r="E31" s="38" t="str"/>
      <x:c r="F31" s="38" t="str"/>
      <x:c r="G31" s="47" t="str">
        <x:f>IF(OR(C31="",F31="Pagado"),"",C31-TODAY())</x:f>
      </x:c>
    </x:row>
    <x:row r="32">
      <x:c r="A32" s="38" t="str"/>
      <x:c r="B32" s="38" t="str"/>
      <x:c r="C32" s="46"/>
      <x:c r="D32" s="39"/>
      <x:c r="E32" s="38" t="str"/>
      <x:c r="F32" s="38" t="str"/>
      <x:c r="G32" s="47" t="str">
        <x:f>IF(OR(C32="",F32="Pagado"),"",C32-TODAY())</x:f>
      </x:c>
    </x:row>
    <x:row r="33">
      <x:c r="A33" s="38" t="str"/>
      <x:c r="B33" s="38" t="str"/>
      <x:c r="C33" s="46"/>
      <x:c r="D33" s="39"/>
      <x:c r="E33" s="38" t="str"/>
      <x:c r="F33" s="38" t="str"/>
      <x:c r="G33" s="47" t="str">
        <x:f>IF(OR(C33="",F33="Pagado"),"",C33-TODAY())</x:f>
      </x:c>
    </x:row>
    <x:row r="34">
      <x:c r="A34" s="38" t="str"/>
      <x:c r="B34" s="38" t="str"/>
      <x:c r="C34" s="46"/>
      <x:c r="D34" s="39"/>
      <x:c r="E34" s="38" t="str"/>
      <x:c r="F34" s="38" t="str"/>
      <x:c r="G34" s="47" t="str">
        <x:f>IF(OR(C34="",F34="Pagado"),"",C34-TODAY())</x:f>
      </x:c>
    </x:row>
    <x:row r="35">
      <x:c r="A35" s="38" t="str"/>
      <x:c r="B35" s="38" t="str"/>
      <x:c r="C35" s="46"/>
      <x:c r="D35" s="39"/>
      <x:c r="E35" s="38" t="str"/>
      <x:c r="F35" s="38" t="str"/>
      <x:c r="G35" s="47" t="str">
        <x:f>IF(OR(C35="",F35="Pagado"),"",C35-TODAY())</x:f>
      </x:c>
    </x:row>
    <x:row r="36">
      <x:c r="A36" s="38" t="str"/>
      <x:c r="B36" s="38" t="str"/>
      <x:c r="C36" s="46"/>
      <x:c r="D36" s="39"/>
      <x:c r="E36" s="38" t="str"/>
      <x:c r="F36" s="38" t="str"/>
      <x:c r="G36" s="47" t="str">
        <x:f>IF(OR(C36="",F36="Pagado"),"",C36-TODAY())</x:f>
      </x:c>
    </x:row>
    <x:row r="37">
      <x:c r="A37" s="38" t="str"/>
      <x:c r="B37" s="38" t="str"/>
      <x:c r="C37" s="46"/>
      <x:c r="D37" s="39"/>
      <x:c r="E37" s="38" t="str"/>
      <x:c r="F37" s="38" t="str"/>
      <x:c r="G37" s="47" t="str">
        <x:f>IF(OR(C37="",F37="Pagado"),"",C37-TODAY())</x:f>
      </x:c>
    </x:row>
    <x:row r="38">
      <x:c r="A38" s="38" t="str"/>
      <x:c r="B38" s="38" t="str"/>
      <x:c r="C38" s="46"/>
      <x:c r="D38" s="39"/>
      <x:c r="E38" s="38" t="str"/>
      <x:c r="F38" s="38" t="str"/>
      <x:c r="G38" s="47" t="str">
        <x:f>IF(OR(C38="",F38="Pagado"),"",C38-TODAY())</x:f>
      </x:c>
    </x:row>
    <x:row r="39">
      <x:c r="A39" s="38" t="str"/>
      <x:c r="B39" s="38" t="str"/>
      <x:c r="C39" s="46"/>
      <x:c r="D39" s="39"/>
      <x:c r="E39" s="38" t="str"/>
      <x:c r="F39" s="38" t="str"/>
      <x:c r="G39" s="47" t="str">
        <x:f>IF(OR(C39="",F39="Pagado"),"",C39-TODAY())</x:f>
      </x:c>
    </x:row>
    <x:row r="40">
      <x:c r="A40" s="38" t="str"/>
      <x:c r="B40" s="38" t="str"/>
      <x:c r="C40" s="46"/>
      <x:c r="D40" s="39"/>
      <x:c r="E40" s="38" t="str"/>
      <x:c r="F40" s="38" t="str"/>
      <x:c r="G40" s="47" t="str">
        <x:f>IF(OR(C40="",F40="Pagado"),"",C40-TODAY())</x:f>
      </x:c>
    </x:row>
    <x:row r="41">
      <x:c r="A41" s="38" t="str"/>
      <x:c r="B41" s="38" t="str"/>
      <x:c r="C41" s="46"/>
      <x:c r="D41" s="39"/>
      <x:c r="E41" s="38" t="str"/>
      <x:c r="F41" s="38" t="str"/>
      <x:c r="G41" s="47" t="str">
        <x:f>IF(OR(C41="",F41="Pagado"),"",C41-TODAY())</x:f>
      </x:c>
    </x:row>
    <x:row r="42">
      <x:c r="A42" s="38" t="str"/>
      <x:c r="B42" s="38" t="str"/>
      <x:c r="C42" s="46"/>
      <x:c r="D42" s="39"/>
      <x:c r="E42" s="38" t="str"/>
      <x:c r="F42" s="38" t="str"/>
      <x:c r="G42" s="47" t="str">
        <x:f>IF(OR(C42="",F42="Pagado"),"",C42-TODAY())</x:f>
      </x:c>
    </x:row>
    <x:row r="43">
      <x:c r="A43" s="38" t="str"/>
      <x:c r="B43" s="38" t="str"/>
      <x:c r="C43" s="46"/>
      <x:c r="D43" s="39"/>
      <x:c r="E43" s="38" t="str"/>
      <x:c r="F43" s="38" t="str"/>
      <x:c r="G43" s="47" t="str">
        <x:f>IF(OR(C43="",F43="Pagado"),"",C43-TODAY())</x:f>
      </x:c>
    </x:row>
    <x:row r="44">
      <x:c r="A44" s="38" t="str"/>
      <x:c r="B44" s="38" t="str"/>
      <x:c r="C44" s="46"/>
      <x:c r="D44" s="39"/>
      <x:c r="E44" s="38" t="str"/>
      <x:c r="F44" s="38" t="str"/>
      <x:c r="G44" s="47" t="str">
        <x:f>IF(OR(C44="",F44="Pagado"),"",C44-TODAY())</x:f>
      </x:c>
    </x:row>
    <x:row r="45">
      <x:c r="A45" s="38" t="str"/>
      <x:c r="B45" s="38" t="str"/>
      <x:c r="C45" s="46"/>
      <x:c r="D45" s="39"/>
      <x:c r="E45" s="38" t="str"/>
      <x:c r="F45" s="38" t="str"/>
      <x:c r="G45" s="47" t="str">
        <x:f>IF(OR(C45="",F45="Pagado"),"",C45-TODAY())</x:f>
      </x:c>
    </x:row>
    <x:row r="46">
      <x:c r="A46" s="38" t="str"/>
      <x:c r="B46" s="38" t="str"/>
      <x:c r="C46" s="46"/>
      <x:c r="D46" s="39"/>
      <x:c r="E46" s="38" t="str"/>
      <x:c r="F46" s="38" t="str"/>
      <x:c r="G46" s="47" t="str">
        <x:f>IF(OR(C46="",F46="Pagado"),"",C46-TODAY())</x:f>
      </x:c>
    </x:row>
    <x:row r="47">
      <x:c r="A47" s="38" t="str"/>
      <x:c r="B47" s="38" t="str"/>
      <x:c r="C47" s="46"/>
      <x:c r="D47" s="39"/>
      <x:c r="E47" s="38" t="str"/>
      <x:c r="F47" s="38" t="str"/>
      <x:c r="G47" s="47" t="str">
        <x:f>IF(OR(C47="",F47="Pagado"),"",C47-TODAY())</x:f>
      </x:c>
    </x:row>
    <x:row r="48">
      <x:c r="A48" s="38" t="str"/>
      <x:c r="B48" s="38" t="str"/>
      <x:c r="C48" s="46"/>
      <x:c r="D48" s="39"/>
      <x:c r="E48" s="38" t="str"/>
      <x:c r="F48" s="38" t="str"/>
      <x:c r="G48" s="47" t="str">
        <x:f>IF(OR(C48="",F48="Pagado"),"",C48-TODAY())</x:f>
      </x:c>
    </x:row>
    <x:row r="49">
      <x:c r="A49" s="38" t="str"/>
      <x:c r="B49" s="38" t="str"/>
      <x:c r="C49" s="46"/>
      <x:c r="D49" s="39"/>
      <x:c r="E49" s="38" t="str"/>
      <x:c r="F49" s="38" t="str"/>
      <x:c r="G49" s="47" t="str">
        <x:f>IF(OR(C49="",F49="Pagado"),"",C49-TODAY())</x:f>
      </x:c>
    </x:row>
    <x:row r="50">
      <x:c r="A50" s="38" t="str"/>
      <x:c r="B50" s="38" t="str"/>
      <x:c r="C50" s="46"/>
      <x:c r="D50" s="39"/>
      <x:c r="E50" s="38" t="str"/>
      <x:c r="F50" s="38" t="str"/>
      <x:c r="G50" s="47" t="str">
        <x:f>IF(OR(C50="",F50="Pagado"),"",C50-TODAY())</x:f>
      </x:c>
    </x:row>
    <x:row r="51">
      <x:c r="A51" s="38" t="str"/>
      <x:c r="B51" s="38" t="str"/>
      <x:c r="C51" s="46"/>
      <x:c r="D51" s="39"/>
      <x:c r="E51" s="38" t="str"/>
      <x:c r="F51" s="38" t="str"/>
      <x:c r="G51" s="47" t="str">
        <x:f>IF(OR(C51="",F51="Pagado"),"",C51-TODAY())</x:f>
      </x:c>
    </x:row>
    <x:row r="52">
      <x:c r="A52" s="38" t="str"/>
      <x:c r="B52" s="38" t="str"/>
      <x:c r="C52" s="46"/>
      <x:c r="D52" s="39"/>
      <x:c r="E52" s="38" t="str"/>
      <x:c r="F52" s="38" t="str"/>
      <x:c r="G52" s="47" t="str">
        <x:f>IF(OR(C52="",F52="Pagado"),"",C52-TODAY())</x:f>
      </x:c>
    </x:row>
    <x:row r="53">
      <x:c r="A53" s="38" t="str"/>
      <x:c r="B53" s="38" t="str"/>
      <x:c r="C53" s="46"/>
      <x:c r="D53" s="39"/>
      <x:c r="E53" s="38" t="str"/>
      <x:c r="F53" s="38" t="str"/>
      <x:c r="G53" s="47" t="str">
        <x:f>IF(OR(C53="",F53="Pagado"),"",C53-TODAY())</x:f>
      </x:c>
    </x:row>
    <x:row r="54">
      <x:c r="A54" s="38" t="str"/>
      <x:c r="B54" s="38" t="str"/>
      <x:c r="C54" s="46"/>
      <x:c r="D54" s="39"/>
      <x:c r="E54" s="38" t="str"/>
      <x:c r="F54" s="38" t="str"/>
      <x:c r="G54" s="47" t="str">
        <x:f>IF(OR(C54="",F54="Pagado"),"",C54-TODAY())</x:f>
      </x:c>
    </x:row>
    <x:row r="55">
      <x:c r="A55" s="38" t="str"/>
      <x:c r="B55" s="38" t="str"/>
      <x:c r="C55" s="46"/>
      <x:c r="D55" s="39"/>
      <x:c r="E55" s="38" t="str"/>
      <x:c r="F55" s="38" t="str"/>
      <x:c r="G55" s="47" t="str">
        <x:f>IF(OR(C55="",F55="Pagado"),"",C55-TODAY())</x:f>
      </x:c>
    </x:row>
    <x:row r="56">
      <x:c r="A56" s="38" t="str"/>
      <x:c r="B56" s="38" t="str"/>
      <x:c r="C56" s="46"/>
      <x:c r="D56" s="39"/>
      <x:c r="E56" s="38" t="str"/>
      <x:c r="F56" s="38" t="str"/>
      <x:c r="G56" s="47" t="str">
        <x:f>IF(OR(C56="",F56="Pagado"),"",C56-TODAY())</x:f>
      </x:c>
    </x:row>
    <x:row r="57">
      <x:c r="A57" s="38" t="str"/>
      <x:c r="B57" s="38" t="str"/>
      <x:c r="C57" s="46"/>
      <x:c r="D57" s="39"/>
      <x:c r="E57" s="38" t="str"/>
      <x:c r="F57" s="38" t="str"/>
      <x:c r="G57" s="47" t="str">
        <x:f>IF(OR(C57="",F57="Pagado"),"",C57-TODAY())</x:f>
      </x:c>
    </x:row>
    <x:row r="58">
      <x:c r="A58" s="38" t="str"/>
      <x:c r="B58" s="38" t="str"/>
      <x:c r="C58" s="46"/>
      <x:c r="D58" s="39"/>
      <x:c r="E58" s="38" t="str"/>
      <x:c r="F58" s="38" t="str"/>
      <x:c r="G58" s="47" t="str">
        <x:f>IF(OR(C58="",F58="Pagado"),"",C58-TODAY())</x:f>
      </x:c>
    </x:row>
    <x:row r="59">
      <x:c r="A59" s="38" t="str"/>
      <x:c r="B59" s="38" t="str"/>
      <x:c r="C59" s="46"/>
      <x:c r="D59" s="39"/>
      <x:c r="E59" s="38" t="str"/>
      <x:c r="F59" s="38" t="str"/>
      <x:c r="G59" s="47" t="str">
        <x:f>IF(OR(C59="",F59="Pagado"),"",C59-TODAY())</x:f>
      </x:c>
    </x:row>
    <x:row r="60">
      <x:c r="A60" s="38" t="str"/>
      <x:c r="B60" s="38" t="str"/>
      <x:c r="C60" s="46"/>
      <x:c r="D60" s="39"/>
      <x:c r="E60" s="38" t="str"/>
      <x:c r="F60" s="38" t="str"/>
      <x:c r="G60" s="47" t="str">
        <x:f>IF(OR(C60="",F60="Pagado"),"",C60-TODAY())</x:f>
      </x:c>
    </x:row>
    <x:row r="61">
      <x:c r="A61" s="38" t="str"/>
      <x:c r="B61" s="38" t="str"/>
      <x:c r="C61" s="46"/>
      <x:c r="D61" s="39"/>
      <x:c r="E61" s="38" t="str"/>
      <x:c r="F61" s="38" t="str"/>
      <x:c r="G61" s="47" t="str">
        <x:f>IF(OR(C61="",F61="Pagado"),"",C61-TODAY())</x:f>
      </x:c>
    </x:row>
    <x:row r="62">
      <x:c r="A62" s="38" t="str"/>
      <x:c r="B62" s="38" t="str"/>
      <x:c r="C62" s="46"/>
      <x:c r="D62" s="39"/>
      <x:c r="E62" s="38" t="str"/>
      <x:c r="F62" s="38" t="str"/>
      <x:c r="G62" s="47" t="str">
        <x:f>IF(OR(C62="",F62="Pagado"),"",C62-TODAY())</x:f>
      </x:c>
    </x:row>
    <x:row r="63">
      <x:c r="A63" s="38" t="str"/>
      <x:c r="B63" s="38" t="str"/>
      <x:c r="C63" s="46"/>
      <x:c r="D63" s="39"/>
      <x:c r="E63" s="38" t="str"/>
      <x:c r="F63" s="38" t="str"/>
      <x:c r="G63" s="47" t="str">
        <x:f>IF(OR(C63="",F63="Pagado"),"",C63-TODAY())</x:f>
      </x:c>
    </x:row>
    <x:row r="64">
      <x:c r="A64" s="38" t="str"/>
      <x:c r="B64" s="38" t="str"/>
      <x:c r="C64" s="46"/>
      <x:c r="D64" s="39"/>
      <x:c r="E64" s="38" t="str"/>
      <x:c r="F64" s="38" t="str"/>
      <x:c r="G64" s="47" t="str">
        <x:f>IF(OR(C64="",F64="Pagado"),"",C64-TODAY())</x:f>
      </x:c>
    </x:row>
    <x:row r="65">
      <x:c r="A65" s="38" t="str"/>
      <x:c r="B65" s="38" t="str"/>
      <x:c r="C65" s="46"/>
      <x:c r="D65" s="39"/>
      <x:c r="E65" s="38" t="str"/>
      <x:c r="F65" s="38" t="str"/>
      <x:c r="G65" s="47" t="str">
        <x:f>IF(OR(C65="",F65="Pagado"),"",C65-TODAY())</x:f>
      </x:c>
    </x:row>
    <x:row r="66">
      <x:c r="A66" s="38" t="str"/>
      <x:c r="B66" s="38" t="str"/>
      <x:c r="C66" s="46"/>
      <x:c r="D66" s="39"/>
      <x:c r="E66" s="38" t="str"/>
      <x:c r="F66" s="38" t="str"/>
      <x:c r="G66" s="47" t="str">
        <x:f>IF(OR(C66="",F66="Pagado"),"",C66-TODAY())</x:f>
      </x:c>
    </x:row>
    <x:row r="67">
      <x:c r="A67" s="38" t="str"/>
      <x:c r="B67" s="38" t="str"/>
      <x:c r="C67" s="46"/>
      <x:c r="D67" s="39"/>
      <x:c r="E67" s="38" t="str"/>
      <x:c r="F67" s="38" t="str"/>
      <x:c r="G67" s="47" t="str">
        <x:f>IF(OR(C67="",F67="Pagado"),"",C67-TODAY())</x:f>
      </x:c>
    </x:row>
    <x:row r="68">
      <x:c r="A68" s="38" t="str"/>
      <x:c r="B68" s="38" t="str"/>
      <x:c r="C68" s="46"/>
      <x:c r="D68" s="39"/>
      <x:c r="E68" s="38" t="str"/>
      <x:c r="F68" s="38" t="str"/>
      <x:c r="G68" s="47" t="str">
        <x:f>IF(OR(C68="",F68="Pagado"),"",C68-TODAY())</x:f>
      </x:c>
    </x:row>
    <x:row r="69">
      <x:c r="A69" s="38" t="str"/>
      <x:c r="B69" s="38" t="str"/>
      <x:c r="C69" s="46"/>
      <x:c r="D69" s="39"/>
      <x:c r="E69" s="38" t="str"/>
      <x:c r="F69" s="38" t="str"/>
      <x:c r="G69" s="47" t="str">
        <x:f>IF(OR(C69="",F69="Pagado"),"",C69-TODAY())</x:f>
      </x:c>
    </x:row>
    <x:row r="70">
      <x:c r="A70" s="38" t="str"/>
      <x:c r="B70" s="38" t="str"/>
      <x:c r="C70" s="46"/>
      <x:c r="D70" s="39"/>
      <x:c r="E70" s="38" t="str"/>
      <x:c r="F70" s="38" t="str"/>
      <x:c r="G70" s="47" t="str">
        <x:f>IF(OR(C70="",F70="Pagado"),"",C70-TODAY())</x:f>
      </x:c>
    </x:row>
    <x:row r="71">
      <x:c r="A71" s="38" t="str"/>
      <x:c r="B71" s="38" t="str"/>
      <x:c r="C71" s="46"/>
      <x:c r="D71" s="39"/>
      <x:c r="E71" s="38" t="str"/>
      <x:c r="F71" s="38" t="str"/>
      <x:c r="G71" s="47" t="str">
        <x:f>IF(OR(C71="",F71="Pagado"),"",C71-TODAY())</x:f>
      </x:c>
    </x:row>
    <x:row r="72">
      <x:c r="A72" s="38" t="str"/>
      <x:c r="B72" s="38" t="str"/>
      <x:c r="C72" s="46"/>
      <x:c r="D72" s="39"/>
      <x:c r="E72" s="38" t="str"/>
      <x:c r="F72" s="38" t="str"/>
      <x:c r="G72" s="47" t="str">
        <x:f>IF(OR(C72="",F72="Pagado"),"",C72-TODAY())</x:f>
      </x:c>
    </x:row>
    <x:row r="73">
      <x:c r="A73" s="38" t="str"/>
      <x:c r="B73" s="38" t="str"/>
      <x:c r="C73" s="46"/>
      <x:c r="D73" s="39"/>
      <x:c r="E73" s="38" t="str"/>
      <x:c r="F73" s="38" t="str"/>
      <x:c r="G73" s="47" t="str">
        <x:f>IF(OR(C73="",F73="Pagado"),"",C73-TODAY())</x:f>
      </x:c>
    </x:row>
    <x:row r="74">
      <x:c r="A74" s="38" t="str"/>
      <x:c r="B74" s="38" t="str"/>
      <x:c r="C74" s="46"/>
      <x:c r="D74" s="39"/>
      <x:c r="E74" s="38" t="str"/>
      <x:c r="F74" s="38" t="str"/>
      <x:c r="G74" s="47" t="str">
        <x:f>IF(OR(C74="",F74="Pagado"),"",C74-TODAY())</x:f>
      </x:c>
    </x:row>
    <x:row r="75">
      <x:c r="A75" s="38" t="str"/>
      <x:c r="B75" s="38" t="str"/>
      <x:c r="C75" s="46"/>
      <x:c r="D75" s="39"/>
      <x:c r="E75" s="38" t="str"/>
      <x:c r="F75" s="38" t="str"/>
      <x:c r="G75" s="47" t="str">
        <x:f>IF(OR(C75="",F75="Pagado"),"",C75-TODAY())</x:f>
      </x:c>
    </x:row>
    <x:row r="76">
      <x:c r="A76" s="38" t="str"/>
      <x:c r="B76" s="38" t="str"/>
      <x:c r="C76" s="46"/>
      <x:c r="D76" s="39"/>
      <x:c r="E76" s="38" t="str"/>
      <x:c r="F76" s="38" t="str"/>
      <x:c r="G76" s="47" t="str">
        <x:f>IF(OR(C76="",F76="Pagado"),"",C76-TODAY())</x:f>
      </x:c>
    </x:row>
    <x:row r="77">
      <x:c r="A77" s="38" t="str"/>
      <x:c r="B77" s="38" t="str"/>
      <x:c r="C77" s="46"/>
      <x:c r="D77" s="39"/>
      <x:c r="E77" s="38" t="str"/>
      <x:c r="F77" s="38" t="str"/>
      <x:c r="G77" s="47" t="str">
        <x:f>IF(OR(C77="",F77="Pagado"),"",C77-TODAY())</x:f>
      </x:c>
    </x:row>
    <x:row r="78">
      <x:c r="A78" s="38" t="str"/>
      <x:c r="B78" s="38" t="str"/>
      <x:c r="C78" s="46"/>
      <x:c r="D78" s="39"/>
      <x:c r="E78" s="38" t="str"/>
      <x:c r="F78" s="38" t="str"/>
      <x:c r="G78" s="47" t="str">
        <x:f>IF(OR(C78="",F78="Pagado"),"",C78-TODAY())</x:f>
      </x:c>
    </x:row>
    <x:row r="79">
      <x:c r="A79" s="38" t="str"/>
      <x:c r="B79" s="38" t="str"/>
      <x:c r="C79" s="46"/>
      <x:c r="D79" s="39"/>
      <x:c r="E79" s="38" t="str"/>
      <x:c r="F79" s="38" t="str"/>
      <x:c r="G79" s="47" t="str">
        <x:f>IF(OR(C79="",F79="Pagado"),"",C79-TODAY())</x:f>
      </x:c>
    </x:row>
    <x:row r="80">
      <x:c r="A80" s="38" t="str"/>
      <x:c r="B80" s="38" t="str"/>
      <x:c r="C80" s="46"/>
      <x:c r="D80" s="39"/>
      <x:c r="E80" s="38" t="str"/>
      <x:c r="F80" s="38" t="str"/>
      <x:c r="G80" s="47" t="str">
        <x:f>IF(OR(C80="",F80="Pagado"),"",C80-TODAY())</x:f>
      </x:c>
    </x:row>
    <x:row r="81">
      <x:c r="A81" s="38" t="str"/>
      <x:c r="B81" s="38" t="str"/>
      <x:c r="C81" s="46"/>
      <x:c r="D81" s="39"/>
      <x:c r="E81" s="38" t="str"/>
      <x:c r="F81" s="38" t="str"/>
      <x:c r="G81" s="47" t="str">
        <x:f>IF(OR(C81="",F81="Pagado"),"",C81-TODAY())</x:f>
      </x:c>
    </x:row>
    <x:row r="82">
      <x:c r="A82" s="38" t="str"/>
      <x:c r="B82" s="38" t="str"/>
      <x:c r="C82" s="46"/>
      <x:c r="D82" s="39"/>
      <x:c r="E82" s="38" t="str"/>
      <x:c r="F82" s="38" t="str"/>
      <x:c r="G82" s="47" t="str">
        <x:f>IF(OR(C82="",F82="Pagado"),"",C82-TODAY())</x:f>
      </x:c>
    </x:row>
    <x:row r="83">
      <x:c r="A83" s="38" t="str"/>
      <x:c r="B83" s="38" t="str"/>
      <x:c r="C83" s="46"/>
      <x:c r="D83" s="39"/>
      <x:c r="E83" s="38" t="str"/>
      <x:c r="F83" s="38" t="str"/>
      <x:c r="G83" s="47" t="str">
        <x:f>IF(OR(C83="",F83="Pagado"),"",C83-TODAY())</x:f>
      </x:c>
    </x:row>
    <x:row r="84">
      <x:c r="A84" s="38" t="str"/>
      <x:c r="B84" s="38" t="str"/>
      <x:c r="C84" s="46"/>
      <x:c r="D84" s="39"/>
      <x:c r="E84" s="38" t="str"/>
      <x:c r="F84" s="38" t="str"/>
      <x:c r="G84" s="47" t="str">
        <x:f>IF(OR(C84="",F84="Pagado"),"",C84-TODAY())</x:f>
      </x:c>
    </x:row>
    <x:row r="85">
      <x:c r="A85" s="38" t="str"/>
      <x:c r="B85" s="38" t="str"/>
      <x:c r="C85" s="46"/>
      <x:c r="D85" s="39"/>
      <x:c r="E85" s="38" t="str"/>
      <x:c r="F85" s="38" t="str"/>
      <x:c r="G85" s="47" t="str">
        <x:f>IF(OR(C85="",F85="Pagado"),"",C85-TODAY())</x:f>
      </x:c>
    </x:row>
    <x:row r="86">
      <x:c r="A86" s="38" t="str"/>
      <x:c r="B86" s="38" t="str"/>
      <x:c r="C86" s="46"/>
      <x:c r="D86" s="39"/>
      <x:c r="E86" s="38" t="str"/>
      <x:c r="F86" s="38" t="str"/>
      <x:c r="G86" s="47" t="str">
        <x:f>IF(OR(C86="",F86="Pagado"),"",C86-TODAY())</x:f>
      </x:c>
    </x:row>
    <x:row r="87">
      <x:c r="A87" s="38" t="str"/>
      <x:c r="B87" s="38" t="str"/>
      <x:c r="C87" s="46"/>
      <x:c r="D87" s="39"/>
      <x:c r="E87" s="38" t="str"/>
      <x:c r="F87" s="38" t="str"/>
      <x:c r="G87" s="47" t="str">
        <x:f>IF(OR(C87="",F87="Pagado"),"",C87-TODAY())</x:f>
      </x:c>
    </x:row>
    <x:row r="88">
      <x:c r="A88" s="38" t="str"/>
      <x:c r="B88" s="38" t="str"/>
      <x:c r="C88" s="46"/>
      <x:c r="D88" s="39"/>
      <x:c r="E88" s="38" t="str"/>
      <x:c r="F88" s="38" t="str"/>
      <x:c r="G88" s="47" t="str">
        <x:f>IF(OR(C88="",F88="Pagado"),"",C88-TODAY())</x:f>
      </x:c>
    </x:row>
    <x:row r="89">
      <x:c r="A89" s="38" t="str"/>
      <x:c r="B89" s="38" t="str"/>
      <x:c r="C89" s="46"/>
      <x:c r="D89" s="39"/>
      <x:c r="E89" s="38" t="str"/>
      <x:c r="F89" s="38" t="str"/>
      <x:c r="G89" s="47" t="str">
        <x:f>IF(OR(C89="",F89="Pagado"),"",C89-TODAY())</x:f>
      </x:c>
    </x:row>
    <x:row r="90">
      <x:c r="A90" s="38" t="str"/>
      <x:c r="B90" s="38" t="str"/>
      <x:c r="C90" s="46"/>
      <x:c r="D90" s="39"/>
      <x:c r="E90" s="38" t="str"/>
      <x:c r="F90" s="38" t="str"/>
      <x:c r="G90" s="47" t="str">
        <x:f>IF(OR(C90="",F90="Pagado"),"",C90-TODAY())</x:f>
      </x:c>
    </x:row>
    <x:row r="91">
      <x:c r="A91" s="38" t="str"/>
      <x:c r="B91" s="38" t="str"/>
      <x:c r="C91" s="46"/>
      <x:c r="D91" s="39"/>
      <x:c r="E91" s="38" t="str"/>
      <x:c r="F91" s="38" t="str"/>
      <x:c r="G91" s="47" t="str">
        <x:f>IF(OR(C91="",F91="Pagado"),"",C91-TODAY())</x:f>
      </x:c>
    </x:row>
    <x:row r="92">
      <x:c r="A92" s="38" t="str"/>
      <x:c r="B92" s="38" t="str"/>
      <x:c r="C92" s="46"/>
      <x:c r="D92" s="39"/>
      <x:c r="E92" s="38" t="str"/>
      <x:c r="F92" s="38" t="str"/>
      <x:c r="G92" s="47" t="str">
        <x:f>IF(OR(C92="",F92="Pagado"),"",C92-TODAY())</x:f>
      </x:c>
    </x:row>
    <x:row r="93">
      <x:c r="A93" s="38" t="str"/>
      <x:c r="B93" s="38" t="str"/>
      <x:c r="C93" s="46"/>
      <x:c r="D93" s="39"/>
      <x:c r="E93" s="38" t="str"/>
      <x:c r="F93" s="38" t="str"/>
      <x:c r="G93" s="47" t="str">
        <x:f>IF(OR(C93="",F93="Pagado"),"",C93-TODAY())</x:f>
      </x:c>
    </x:row>
    <x:row r="94">
      <x:c r="A94" s="38" t="str"/>
      <x:c r="B94" s="38" t="str"/>
      <x:c r="C94" s="46"/>
      <x:c r="D94" s="39"/>
      <x:c r="E94" s="38" t="str"/>
      <x:c r="F94" s="38" t="str"/>
      <x:c r="G94" s="47" t="str">
        <x:f>IF(OR(C94="",F94="Pagado"),"",C94-TODAY())</x:f>
      </x:c>
    </x:row>
    <x:row r="95">
      <x:c r="A95" s="38" t="str"/>
      <x:c r="B95" s="38" t="str"/>
      <x:c r="C95" s="46"/>
      <x:c r="D95" s="39"/>
      <x:c r="E95" s="38" t="str"/>
      <x:c r="F95" s="38" t="str"/>
      <x:c r="G95" s="47" t="str">
        <x:f>IF(OR(C95="",F95="Pagado"),"",C95-TODAY())</x:f>
      </x:c>
    </x:row>
    <x:row r="96">
      <x:c r="A96" s="38" t="str"/>
      <x:c r="B96" s="38" t="str"/>
      <x:c r="C96" s="46"/>
      <x:c r="D96" s="39"/>
      <x:c r="E96" s="38" t="str"/>
      <x:c r="F96" s="38" t="str"/>
      <x:c r="G96" s="47" t="str">
        <x:f>IF(OR(C96="",F96="Pagado"),"",C96-TODAY())</x:f>
      </x:c>
    </x:row>
    <x:row r="97">
      <x:c r="A97" s="38" t="str"/>
      <x:c r="B97" s="38" t="str"/>
      <x:c r="C97" s="46"/>
      <x:c r="D97" s="39"/>
      <x:c r="E97" s="38" t="str"/>
      <x:c r="F97" s="38" t="str"/>
      <x:c r="G97" s="47" t="str">
        <x:f>IF(OR(C97="",F97="Pagado"),"",C97-TODAY())</x:f>
      </x:c>
    </x:row>
    <x:row r="98">
      <x:c r="A98" s="38" t="str"/>
      <x:c r="B98" s="38" t="str"/>
      <x:c r="C98" s="46"/>
      <x:c r="D98" s="39"/>
      <x:c r="E98" s="38" t="str"/>
      <x:c r="F98" s="38" t="str"/>
      <x:c r="G98" s="47" t="str">
        <x:f>IF(OR(C98="",F98="Pagado"),"",C98-TODAY())</x:f>
      </x:c>
    </x:row>
    <x:row r="99">
      <x:c r="A99" s="38" t="str"/>
      <x:c r="B99" s="38" t="str"/>
      <x:c r="C99" s="46"/>
      <x:c r="D99" s="39"/>
      <x:c r="E99" s="38" t="str"/>
      <x:c r="F99" s="38" t="str"/>
      <x:c r="G99" s="47" t="str">
        <x:f>IF(OR(C99="",F99="Pagado"),"",C99-TODAY())</x:f>
      </x:c>
    </x:row>
    <x:row r="100">
      <x:c r="A100" s="38" t="str"/>
      <x:c r="B100" s="38" t="str"/>
      <x:c r="C100" s="46"/>
      <x:c r="D100" s="39"/>
      <x:c r="E100" s="38" t="str"/>
      <x:c r="F100" s="38" t="str"/>
      <x:c r="G100" s="47" t="str">
        <x:f>IF(OR(C100="",F100="Pagado"),"",C100-TODAY())</x:f>
      </x:c>
    </x:row>
    <x:row r="101">
      <x:c r="A101" s="38" t="str"/>
      <x:c r="B101" s="38" t="str"/>
      <x:c r="C101" s="46"/>
      <x:c r="D101" s="39"/>
      <x:c r="E101" s="38" t="str"/>
      <x:c r="F101" s="38" t="str"/>
      <x:c r="G101" s="47" t="str">
        <x:f>IF(OR(C101="",F101="Pagado"),"",C101-TODAY())</x:f>
      </x:c>
    </x:row>
    <x:row r="102">
      <x:c r="A102" s="38" t="str"/>
      <x:c r="B102" s="38" t="str"/>
      <x:c r="C102" s="46"/>
      <x:c r="D102" s="39"/>
      <x:c r="E102" s="38" t="str"/>
      <x:c r="F102" s="38" t="str"/>
      <x:c r="G102" s="47" t="str">
        <x:f>IF(OR(C102="",F102="Pagado"),"",C102-TODAY())</x:f>
      </x:c>
    </x:row>
    <x:row r="103">
      <x:c r="A103" s="38" t="str"/>
      <x:c r="B103" s="38" t="str"/>
      <x:c r="C103" s="46"/>
      <x:c r="D103" s="39"/>
      <x:c r="E103" s="38" t="str"/>
      <x:c r="F103" s="38" t="str"/>
      <x:c r="G103" s="47" t="str">
        <x:f>IF(OR(C103="",F103="Pagado"),"",C103-TODAY())</x:f>
      </x:c>
    </x:row>
    <x:row r="104">
      <x:c r="A104" s="38" t="str"/>
      <x:c r="B104" s="38" t="str"/>
      <x:c r="C104" s="46"/>
      <x:c r="D104" s="39"/>
      <x:c r="E104" s="38" t="str"/>
      <x:c r="F104" s="38" t="str"/>
      <x:c r="G104" s="47" t="str">
        <x:f>IF(OR(C104="",F104="Pagado"),"",C104-TODAY())</x:f>
      </x:c>
    </x:row>
    <x:row r="105">
      <x:c r="A105" s="38" t="str"/>
      <x:c r="B105" s="38" t="str"/>
      <x:c r="C105" s="46"/>
      <x:c r="D105" s="39"/>
      <x:c r="E105" s="38" t="str"/>
      <x:c r="F105" s="38" t="str"/>
      <x:c r="G105" s="47" t="str">
        <x:f>IF(OR(C105="",F105="Pagado"),"",C105-TODAY())</x:f>
      </x:c>
    </x:row>
    <x:row r="106">
      <x:c r="A106" s="38" t="str"/>
      <x:c r="B106" s="38" t="str"/>
      <x:c r="C106" s="46"/>
      <x:c r="D106" s="39"/>
      <x:c r="E106" s="38" t="str"/>
      <x:c r="F106" s="38" t="str"/>
      <x:c r="G106" s="47" t="str">
        <x:f>IF(OR(C106="",F106="Pagado"),"",C106-TODAY())</x:f>
      </x:c>
    </x:row>
    <x:row r="107">
      <x:c r="A107" s="38" t="str"/>
      <x:c r="B107" s="38" t="str"/>
      <x:c r="C107" s="46"/>
      <x:c r="D107" s="39"/>
      <x:c r="E107" s="38" t="str"/>
      <x:c r="F107" s="38" t="str"/>
      <x:c r="G107" s="47" t="str">
        <x:f>IF(OR(C107="",F107="Pagado"),"",C107-TODAY())</x:f>
      </x:c>
    </x:row>
    <x:row r="108">
      <x:c r="A108" s="38" t="str"/>
      <x:c r="B108" s="38" t="str"/>
      <x:c r="C108" s="46"/>
      <x:c r="D108" s="39"/>
      <x:c r="E108" s="38" t="str"/>
      <x:c r="F108" s="38" t="str"/>
      <x:c r="G108" s="47" t="str">
        <x:f>IF(OR(C108="",F108="Pagado"),"",C108-TODAY())</x:f>
      </x:c>
    </x:row>
    <x:row r="109">
      <x:c r="A109" s="38" t="str"/>
      <x:c r="B109" s="38" t="str"/>
      <x:c r="C109" s="46"/>
      <x:c r="D109" s="39"/>
      <x:c r="E109" s="38" t="str"/>
      <x:c r="F109" s="38" t="str"/>
      <x:c r="G109" s="47" t="str">
        <x:f>IF(OR(C109="",F109="Pagado"),"",C109-TODAY())</x:f>
      </x:c>
    </x:row>
    <x:row r="110">
      <x:c r="A110" s="38" t="str"/>
      <x:c r="B110" s="38" t="str"/>
      <x:c r="C110" s="46"/>
      <x:c r="D110" s="39"/>
      <x:c r="E110" s="38" t="str"/>
      <x:c r="F110" s="38" t="str"/>
      <x:c r="G110" s="47" t="str">
        <x:f>IF(OR(C110="",F110="Pagado"),"",C110-TODAY())</x:f>
      </x:c>
    </x:row>
    <x:row r="111">
      <x:c r="A111" s="38" t="str"/>
      <x:c r="B111" s="38" t="str"/>
      <x:c r="C111" s="46"/>
      <x:c r="D111" s="39"/>
      <x:c r="E111" s="38" t="str"/>
      <x:c r="F111" s="38" t="str"/>
      <x:c r="G111" s="47" t="str">
        <x:f>IF(OR(C111="",F111="Pagado"),"",C111-TODAY())</x:f>
      </x:c>
    </x:row>
    <x:row r="112">
      <x:c r="A112" s="38" t="str"/>
      <x:c r="B112" s="38" t="str"/>
      <x:c r="C112" s="46"/>
      <x:c r="D112" s="39"/>
      <x:c r="E112" s="38" t="str"/>
      <x:c r="F112" s="38" t="str"/>
      <x:c r="G112" s="47" t="str">
        <x:f>IF(OR(C112="",F112="Pagado"),"",C112-TODAY())</x:f>
      </x:c>
    </x:row>
    <x:row r="113">
      <x:c r="A113" s="38" t="str"/>
      <x:c r="B113" s="38" t="str"/>
      <x:c r="C113" s="46"/>
      <x:c r="D113" s="39"/>
      <x:c r="E113" s="38" t="str"/>
      <x:c r="F113" s="38" t="str"/>
      <x:c r="G113" s="47" t="str">
        <x:f>IF(OR(C113="",F113="Pagado"),"",C113-TODAY())</x:f>
      </x:c>
    </x:row>
    <x:row r="114">
      <x:c r="A114" s="38" t="str"/>
      <x:c r="B114" s="38" t="str"/>
      <x:c r="C114" s="46"/>
      <x:c r="D114" s="39"/>
      <x:c r="E114" s="38" t="str"/>
      <x:c r="F114" s="38" t="str"/>
      <x:c r="G114" s="47" t="str">
        <x:f>IF(OR(C114="",F114="Pagado"),"",C114-TODAY())</x:f>
      </x:c>
    </x:row>
    <x:row r="115">
      <x:c r="A115" s="38" t="str"/>
      <x:c r="B115" s="38" t="str"/>
      <x:c r="C115" s="46"/>
      <x:c r="D115" s="39"/>
      <x:c r="E115" s="38" t="str"/>
      <x:c r="F115" s="38" t="str"/>
      <x:c r="G115" s="47" t="str">
        <x:f>IF(OR(C115="",F115="Pagado"),"",C115-TODAY())</x:f>
      </x:c>
    </x:row>
    <x:row r="116">
      <x:c r="A116" s="38" t="str"/>
      <x:c r="B116" s="38" t="str"/>
      <x:c r="C116" s="46"/>
      <x:c r="D116" s="39"/>
      <x:c r="E116" s="38" t="str"/>
      <x:c r="F116" s="38" t="str"/>
      <x:c r="G116" s="47" t="str">
        <x:f>IF(OR(C116="",F116="Pagado"),"",C116-TODAY())</x:f>
      </x:c>
    </x:row>
    <x:row r="117">
      <x:c r="A117" s="38" t="str"/>
      <x:c r="B117" s="38" t="str"/>
      <x:c r="C117" s="46"/>
      <x:c r="D117" s="39"/>
      <x:c r="E117" s="38" t="str"/>
      <x:c r="F117" s="38" t="str"/>
      <x:c r="G117" s="47" t="str">
        <x:f>IF(OR(C117="",F117="Pagado"),"",C117-TODAY())</x:f>
      </x:c>
    </x:row>
    <x:row r="118">
      <x:c r="A118" s="38" t="str"/>
      <x:c r="B118" s="38" t="str"/>
      <x:c r="C118" s="46"/>
      <x:c r="D118" s="39"/>
      <x:c r="E118" s="38" t="str"/>
      <x:c r="F118" s="38" t="str"/>
      <x:c r="G118" s="47" t="str">
        <x:f>IF(OR(C118="",F118="Pagado"),"",C118-TODAY())</x:f>
      </x:c>
    </x:row>
    <x:row r="119">
      <x:c r="A119" s="38" t="str"/>
      <x:c r="B119" s="38" t="str"/>
      <x:c r="C119" s="46"/>
      <x:c r="D119" s="39"/>
      <x:c r="E119" s="38" t="str"/>
      <x:c r="F119" s="38" t="str"/>
      <x:c r="G119" s="47" t="str">
        <x:f>IF(OR(C119="",F119="Pagado"),"",C119-TODAY())</x:f>
      </x:c>
    </x:row>
    <x:row r="120">
      <x:c r="A120" s="38" t="str"/>
      <x:c r="B120" s="38" t="str"/>
      <x:c r="C120" s="46"/>
      <x:c r="D120" s="39"/>
      <x:c r="E120" s="38" t="str"/>
      <x:c r="F120" s="38" t="str"/>
      <x:c r="G120" s="47" t="str">
        <x:f>IF(OR(C120="",F120="Pagado"),"",C120-TODAY())</x:f>
      </x:c>
    </x:row>
    <x:row r="121">
      <x:c r="A121" s="38" t="str"/>
      <x:c r="B121" s="38" t="str"/>
      <x:c r="C121" s="46"/>
      <x:c r="D121" s="39"/>
      <x:c r="E121" s="38" t="str"/>
      <x:c r="F121" s="38" t="str"/>
      <x:c r="G121" s="47" t="str">
        <x:f>IF(OR(C121="",F121="Pagado"),"",C121-TODAY())</x:f>
      </x:c>
    </x:row>
    <x:row r="122">
      <x:c r="A122" s="38" t="str"/>
      <x:c r="B122" s="38" t="str"/>
      <x:c r="C122" s="46"/>
      <x:c r="D122" s="39"/>
      <x:c r="E122" s="38" t="str"/>
      <x:c r="F122" s="38" t="str"/>
      <x:c r="G122" s="47" t="str">
        <x:f>IF(OR(C122="",F122="Pagado"),"",C122-TODAY())</x:f>
      </x:c>
    </x:row>
    <x:row r="123">
      <x:c r="A123" s="38" t="str"/>
      <x:c r="B123" s="38" t="str"/>
      <x:c r="C123" s="46"/>
      <x:c r="D123" s="39"/>
      <x:c r="E123" s="38" t="str"/>
      <x:c r="F123" s="38" t="str"/>
      <x:c r="G123" s="47" t="str">
        <x:f>IF(OR(C123="",F123="Pagado"),"",C123-TODAY())</x:f>
      </x:c>
    </x:row>
    <x:row r="124">
      <x:c r="A124" s="38" t="str"/>
      <x:c r="B124" s="38" t="str"/>
      <x:c r="C124" s="46"/>
      <x:c r="D124" s="39"/>
      <x:c r="E124" s="38" t="str"/>
      <x:c r="F124" s="38" t="str"/>
      <x:c r="G124" s="47" t="str">
        <x:f>IF(OR(C124="",F124="Pagado"),"",C124-TODAY())</x:f>
      </x:c>
    </x:row>
    <x:row r="125">
      <x:c r="A125" s="38" t="str"/>
      <x:c r="B125" s="38" t="str"/>
      <x:c r="C125" s="46"/>
      <x:c r="D125" s="39"/>
      <x:c r="E125" s="38" t="str"/>
      <x:c r="F125" s="38" t="str"/>
      <x:c r="G125" s="47" t="str">
        <x:f>IF(OR(C125="",F125="Pagado"),"",C125-TODAY())</x:f>
      </x:c>
    </x:row>
    <x:row r="126">
      <x:c r="A126" s="38" t="str"/>
      <x:c r="B126" s="38" t="str"/>
      <x:c r="C126" s="46"/>
      <x:c r="D126" s="39"/>
      <x:c r="E126" s="38" t="str"/>
      <x:c r="F126" s="38" t="str"/>
      <x:c r="G126" s="47" t="str">
        <x:f>IF(OR(C126="",F126="Pagado"),"",C126-TODAY())</x:f>
      </x:c>
    </x:row>
    <x:row r="127">
      <x:c r="A127" s="38" t="str"/>
      <x:c r="B127" s="38" t="str"/>
      <x:c r="C127" s="46"/>
      <x:c r="D127" s="39"/>
      <x:c r="E127" s="38" t="str"/>
      <x:c r="F127" s="38" t="str"/>
      <x:c r="G127" s="47" t="str">
        <x:f>IF(OR(C127="",F127="Pagado"),"",C127-TODAY())</x:f>
      </x:c>
    </x:row>
    <x:row r="128">
      <x:c r="A128" s="38" t="str"/>
      <x:c r="B128" s="38" t="str"/>
      <x:c r="C128" s="46"/>
      <x:c r="D128" s="39"/>
      <x:c r="E128" s="38" t="str"/>
      <x:c r="F128" s="38" t="str"/>
      <x:c r="G128" s="47" t="str">
        <x:f>IF(OR(C128="",F128="Pagado"),"",C128-TODAY())</x:f>
      </x:c>
    </x:row>
    <x:row r="129">
      <x:c r="A129" s="38" t="str"/>
      <x:c r="B129" s="38" t="str"/>
      <x:c r="C129" s="46"/>
      <x:c r="D129" s="39"/>
      <x:c r="E129" s="38" t="str"/>
      <x:c r="F129" s="38" t="str"/>
      <x:c r="G129" s="47" t="str">
        <x:f>IF(OR(C129="",F129="Pagado"),"",C129-TODAY())</x:f>
      </x:c>
    </x:row>
    <x:row r="130">
      <x:c r="A130" s="38" t="str"/>
      <x:c r="B130" s="38" t="str"/>
      <x:c r="C130" s="46"/>
      <x:c r="D130" s="39"/>
      <x:c r="E130" s="38" t="str"/>
      <x:c r="F130" s="38" t="str"/>
      <x:c r="G130" s="47" t="str">
        <x:f>IF(OR(C130="",F130="Pagado"),"",C130-TODAY())</x:f>
      </x:c>
    </x:row>
    <x:row r="131">
      <x:c r="A131" s="38" t="str"/>
      <x:c r="B131" s="38" t="str"/>
      <x:c r="C131" s="46"/>
      <x:c r="D131" s="39"/>
      <x:c r="E131" s="38" t="str"/>
      <x:c r="F131" s="38" t="str"/>
      <x:c r="G131" s="47" t="str">
        <x:f>IF(OR(C131="",F131="Pagado"),"",C131-TODAY())</x:f>
      </x:c>
    </x:row>
    <x:row r="132">
      <x:c r="A132" s="38" t="str"/>
      <x:c r="B132" s="38" t="str"/>
      <x:c r="C132" s="46"/>
      <x:c r="D132" s="39"/>
      <x:c r="E132" s="38" t="str"/>
      <x:c r="F132" s="38" t="str"/>
      <x:c r="G132" s="47" t="str">
        <x:f>IF(OR(C132="",F132="Pagado"),"",C132-TODAY())</x:f>
      </x:c>
    </x:row>
    <x:row r="133">
      <x:c r="A133" s="38" t="str"/>
      <x:c r="B133" s="38" t="str"/>
      <x:c r="C133" s="46"/>
      <x:c r="D133" s="39"/>
      <x:c r="E133" s="38" t="str"/>
      <x:c r="F133" s="38" t="str"/>
      <x:c r="G133" s="47" t="str">
        <x:f>IF(OR(C133="",F133="Pagado"),"",C133-TODAY())</x:f>
      </x:c>
    </x:row>
    <x:row r="134">
      <x:c r="A134" s="38" t="str"/>
      <x:c r="B134" s="38" t="str"/>
      <x:c r="C134" s="46"/>
      <x:c r="D134" s="39"/>
      <x:c r="E134" s="38" t="str"/>
      <x:c r="F134" s="38" t="str"/>
      <x:c r="G134" s="47" t="str">
        <x:f>IF(OR(C134="",F134="Pagado"),"",C134-TODAY())</x:f>
      </x:c>
    </x:row>
    <x:row r="135">
      <x:c r="A135" s="38" t="str"/>
      <x:c r="B135" s="38" t="str"/>
      <x:c r="C135" s="46"/>
      <x:c r="D135" s="39"/>
      <x:c r="E135" s="38" t="str"/>
      <x:c r="F135" s="38" t="str"/>
      <x:c r="G135" s="47" t="str">
        <x:f>IF(OR(C135="",F135="Pagado"),"",C135-TODAY())</x:f>
      </x:c>
    </x:row>
    <x:row r="136">
      <x:c r="A136" s="38" t="str"/>
      <x:c r="B136" s="38" t="str"/>
      <x:c r="C136" s="46"/>
      <x:c r="D136" s="39"/>
      <x:c r="E136" s="38" t="str"/>
      <x:c r="F136" s="38" t="str"/>
      <x:c r="G136" s="47" t="str">
        <x:f>IF(OR(C136="",F136="Pagado"),"",C136-TODAY())</x:f>
      </x:c>
    </x:row>
    <x:row r="137">
      <x:c r="A137" s="38" t="str"/>
      <x:c r="B137" s="38" t="str"/>
      <x:c r="C137" s="46"/>
      <x:c r="D137" s="39"/>
      <x:c r="E137" s="38" t="str"/>
      <x:c r="F137" s="38" t="str"/>
      <x:c r="G137" s="47" t="str">
        <x:f>IF(OR(C137="",F137="Pagado"),"",C137-TODAY())</x:f>
      </x:c>
    </x:row>
    <x:row r="138">
      <x:c r="A138" s="38" t="str"/>
      <x:c r="B138" s="38" t="str"/>
      <x:c r="C138" s="46"/>
      <x:c r="D138" s="39"/>
      <x:c r="E138" s="38" t="str"/>
      <x:c r="F138" s="38" t="str"/>
      <x:c r="G138" s="47" t="str">
        <x:f>IF(OR(C138="",F138="Pagado"),"",C138-TODAY())</x:f>
      </x:c>
    </x:row>
    <x:row r="139">
      <x:c r="A139" s="38" t="str"/>
      <x:c r="B139" s="38" t="str"/>
      <x:c r="C139" s="46"/>
      <x:c r="D139" s="39"/>
      <x:c r="E139" s="38" t="str"/>
      <x:c r="F139" s="38" t="str"/>
      <x:c r="G139" s="47" t="str">
        <x:f>IF(OR(C139="",F139="Pagado"),"",C139-TODAY())</x:f>
      </x:c>
    </x:row>
    <x:row r="140">
      <x:c r="A140" s="38" t="str"/>
      <x:c r="B140" s="38" t="str"/>
      <x:c r="C140" s="46"/>
      <x:c r="D140" s="39"/>
      <x:c r="E140" s="38" t="str"/>
      <x:c r="F140" s="38" t="str"/>
      <x:c r="G140" s="47" t="str">
        <x:f>IF(OR(C140="",F140="Pagado"),"",C140-TODAY())</x:f>
      </x:c>
    </x:row>
    <x:row r="141">
      <x:c r="A141" s="38" t="str"/>
      <x:c r="B141" s="38" t="str"/>
      <x:c r="C141" s="46"/>
      <x:c r="D141" s="39"/>
      <x:c r="E141" s="38" t="str"/>
      <x:c r="F141" s="38" t="str"/>
      <x:c r="G141" s="47" t="str">
        <x:f>IF(OR(C141="",F141="Pagado"),"",C141-TODAY())</x:f>
      </x:c>
    </x:row>
    <x:row r="142">
      <x:c r="A142" s="38" t="str"/>
      <x:c r="B142" s="38" t="str"/>
      <x:c r="C142" s="46"/>
      <x:c r="D142" s="39"/>
      <x:c r="E142" s="38" t="str"/>
      <x:c r="F142" s="38" t="str"/>
      <x:c r="G142" s="47" t="str">
        <x:f>IF(OR(C142="",F142="Pagado"),"",C142-TODAY())</x:f>
      </x:c>
    </x:row>
    <x:row r="143">
      <x:c r="A143" s="38" t="str"/>
      <x:c r="B143" s="38" t="str"/>
      <x:c r="C143" s="46"/>
      <x:c r="D143" s="39"/>
      <x:c r="E143" s="38" t="str"/>
      <x:c r="F143" s="38" t="str"/>
      <x:c r="G143" s="47" t="str">
        <x:f>IF(OR(C143="",F143="Pagado"),"",C143-TODAY())</x:f>
      </x:c>
    </x:row>
    <x:row r="144">
      <x:c r="A144" s="38" t="str"/>
      <x:c r="B144" s="38" t="str"/>
      <x:c r="C144" s="46"/>
      <x:c r="D144" s="39"/>
      <x:c r="E144" s="38" t="str"/>
      <x:c r="F144" s="38" t="str"/>
      <x:c r="G144" s="47" t="str">
        <x:f>IF(OR(C144="",F144="Pagado"),"",C144-TODAY())</x:f>
      </x:c>
    </x:row>
    <x:row r="145">
      <x:c r="A145" s="38" t="str"/>
      <x:c r="B145" s="38" t="str"/>
      <x:c r="C145" s="46"/>
      <x:c r="D145" s="39"/>
      <x:c r="E145" s="38" t="str"/>
      <x:c r="F145" s="38" t="str"/>
      <x:c r="G145" s="47" t="str">
        <x:f>IF(OR(C145="",F145="Pagado"),"",C145-TODAY())</x:f>
      </x:c>
    </x:row>
    <x:row r="146">
      <x:c r="A146" s="38" t="str"/>
      <x:c r="B146" s="38" t="str"/>
      <x:c r="C146" s="46"/>
      <x:c r="D146" s="39"/>
      <x:c r="E146" s="38" t="str"/>
      <x:c r="F146" s="38" t="str"/>
      <x:c r="G146" s="47" t="str">
        <x:f>IF(OR(C146="",F146="Pagado"),"",C146-TODAY())</x:f>
      </x:c>
    </x:row>
    <x:row r="147">
      <x:c r="A147" s="38" t="str"/>
      <x:c r="B147" s="38" t="str"/>
      <x:c r="C147" s="46"/>
      <x:c r="D147" s="39"/>
      <x:c r="E147" s="38" t="str"/>
      <x:c r="F147" s="38" t="str"/>
      <x:c r="G147" s="47" t="str">
        <x:f>IF(OR(C147="",F147="Pagado"),"",C147-TODAY())</x:f>
      </x:c>
    </x:row>
    <x:row r="148">
      <x:c r="A148" s="38" t="str"/>
      <x:c r="B148" s="38" t="str"/>
      <x:c r="C148" s="46"/>
      <x:c r="D148" s="39"/>
      <x:c r="E148" s="38" t="str"/>
      <x:c r="F148" s="38" t="str"/>
      <x:c r="G148" s="47" t="str">
        <x:f>IF(OR(C148="",F148="Pagado"),"",C148-TODAY())</x:f>
      </x:c>
    </x:row>
    <x:row r="149">
      <x:c r="A149" s="38" t="str"/>
      <x:c r="B149" s="38" t="str"/>
      <x:c r="C149" s="46"/>
      <x:c r="D149" s="39"/>
      <x:c r="E149" s="38" t="str"/>
      <x:c r="F149" s="38" t="str"/>
      <x:c r="G149" s="47" t="str">
        <x:f>IF(OR(C149="",F149="Pagado"),"",C149-TODAY())</x:f>
      </x:c>
    </x:row>
    <x:row r="150">
      <x:c r="A150" s="38" t="str"/>
      <x:c r="B150" s="38" t="str"/>
      <x:c r="C150" s="46"/>
      <x:c r="D150" s="39"/>
      <x:c r="E150" s="38" t="str"/>
      <x:c r="F150" s="38" t="str"/>
      <x:c r="G150" s="47" t="str">
        <x:f>IF(OR(C150="",F150="Pagado"),"",C150-TODAY())</x:f>
      </x:c>
    </x:row>
    <x:row r="151">
      <x:c r="A151" s="38" t="str"/>
      <x:c r="B151" s="38" t="str"/>
      <x:c r="C151" s="46"/>
      <x:c r="D151" s="39"/>
      <x:c r="E151" s="38" t="str"/>
      <x:c r="F151" s="38" t="str"/>
      <x:c r="G151" s="47" t="str">
        <x:f>IF(OR(C151="",F151="Pagado"),"",C151-TODAY())</x:f>
      </x:c>
    </x:row>
    <x:row r="152">
      <x:c r="A152" s="38" t="str"/>
      <x:c r="B152" s="38" t="str"/>
      <x:c r="C152" s="46"/>
      <x:c r="D152" s="39"/>
      <x:c r="E152" s="38" t="str"/>
      <x:c r="F152" s="38" t="str"/>
      <x:c r="G152" s="47" t="str">
        <x:f>IF(OR(C152="",F152="Pagado"),"",C152-TODAY())</x:f>
      </x:c>
    </x:row>
    <x:row r="153">
      <x:c r="A153" s="38" t="str"/>
      <x:c r="B153" s="38" t="str"/>
      <x:c r="C153" s="46"/>
      <x:c r="D153" s="39"/>
      <x:c r="E153" s="38" t="str"/>
      <x:c r="F153" s="38" t="str"/>
      <x:c r="G153" s="47" t="str">
        <x:f>IF(OR(C153="",F153="Pagado"),"",C153-TODAY())</x:f>
      </x:c>
    </x:row>
    <x:row r="154">
      <x:c r="A154" s="38" t="str"/>
      <x:c r="B154" s="38" t="str"/>
      <x:c r="C154" s="46"/>
      <x:c r="D154" s="39"/>
      <x:c r="E154" s="38" t="str"/>
      <x:c r="F154" s="38" t="str"/>
      <x:c r="G154" s="47" t="str">
        <x:f>IF(OR(C154="",F154="Pagado"),"",C154-TODAY())</x:f>
      </x:c>
    </x:row>
    <x:row r="155">
      <x:c r="A155" s="38" t="str"/>
      <x:c r="B155" s="38" t="str"/>
      <x:c r="C155" s="46"/>
      <x:c r="D155" s="39"/>
      <x:c r="E155" s="38" t="str"/>
      <x:c r="F155" s="38" t="str"/>
      <x:c r="G155" s="47" t="str">
        <x:f>IF(OR(C155="",F155="Pagado"),"",C155-TODAY())</x:f>
      </x:c>
    </x:row>
    <x:row r="156">
      <x:c r="A156" s="38" t="str"/>
      <x:c r="B156" s="38" t="str"/>
      <x:c r="C156" s="46"/>
      <x:c r="D156" s="39"/>
      <x:c r="E156" s="38" t="str"/>
      <x:c r="F156" s="38" t="str"/>
      <x:c r="G156" s="47" t="str">
        <x:f>IF(OR(C156="",F156="Pagado"),"",C156-TODAY())</x:f>
      </x:c>
    </x:row>
    <x:row r="157">
      <x:c r="A157" s="38" t="str"/>
      <x:c r="B157" s="38" t="str"/>
      <x:c r="C157" s="46"/>
      <x:c r="D157" s="39"/>
      <x:c r="E157" s="38" t="str"/>
      <x:c r="F157" s="38" t="str"/>
      <x:c r="G157" s="47" t="str">
        <x:f>IF(OR(C157="",F157="Pagado"),"",C157-TODAY())</x:f>
      </x:c>
    </x:row>
    <x:row r="158">
      <x:c r="A158" s="38" t="str"/>
      <x:c r="B158" s="38" t="str"/>
      <x:c r="C158" s="46"/>
      <x:c r="D158" s="39"/>
      <x:c r="E158" s="38" t="str"/>
      <x:c r="F158" s="38" t="str"/>
      <x:c r="G158" s="47" t="str">
        <x:f>IF(OR(C158="",F158="Pagado"),"",C158-TODAY())</x:f>
      </x:c>
    </x:row>
    <x:row r="159">
      <x:c r="A159" s="38" t="str"/>
      <x:c r="B159" s="38" t="str"/>
      <x:c r="C159" s="46"/>
      <x:c r="D159" s="39"/>
      <x:c r="E159" s="38" t="str"/>
      <x:c r="F159" s="38" t="str"/>
      <x:c r="G159" s="47" t="str">
        <x:f>IF(OR(C159="",F159="Pagado"),"",C159-TODAY())</x:f>
      </x:c>
    </x:row>
    <x:row r="160">
      <x:c r="A160" s="38" t="str"/>
      <x:c r="B160" s="38" t="str"/>
      <x:c r="C160" s="46"/>
      <x:c r="D160" s="39"/>
      <x:c r="E160" s="38" t="str"/>
      <x:c r="F160" s="38" t="str"/>
      <x:c r="G160" s="47" t="str">
        <x:f>IF(OR(C160="",F160="Pagado"),"",C160-TODAY())</x:f>
      </x:c>
    </x:row>
    <x:row r="161">
      <x:c r="A161" s="38" t="str"/>
      <x:c r="B161" s="38" t="str"/>
      <x:c r="C161" s="46"/>
      <x:c r="D161" s="39"/>
      <x:c r="E161" s="38" t="str"/>
      <x:c r="F161" s="38" t="str"/>
      <x:c r="G161" s="47" t="str">
        <x:f>IF(OR(C161="",F161="Pagado"),"",C161-TODAY())</x:f>
      </x:c>
    </x:row>
    <x:row r="162">
      <x:c r="A162" s="38" t="str"/>
      <x:c r="B162" s="38" t="str"/>
      <x:c r="C162" s="46"/>
      <x:c r="D162" s="39"/>
      <x:c r="E162" s="38" t="str"/>
      <x:c r="F162" s="38" t="str"/>
      <x:c r="G162" s="47" t="str">
        <x:f>IF(OR(C162="",F162="Pagado"),"",C162-TODAY())</x:f>
      </x:c>
    </x:row>
    <x:row r="163">
      <x:c r="A163" s="38" t="str"/>
      <x:c r="B163" s="38" t="str"/>
      <x:c r="C163" s="46"/>
      <x:c r="D163" s="39"/>
      <x:c r="E163" s="38" t="str"/>
      <x:c r="F163" s="38" t="str"/>
      <x:c r="G163" s="47" t="str">
        <x:f>IF(OR(C163="",F163="Pagado"),"",C163-TODAY())</x:f>
      </x:c>
    </x:row>
    <x:row r="164">
      <x:c r="A164" s="38" t="str"/>
      <x:c r="B164" s="38" t="str"/>
      <x:c r="C164" s="46"/>
      <x:c r="D164" s="39"/>
      <x:c r="E164" s="38" t="str"/>
      <x:c r="F164" s="38" t="str"/>
      <x:c r="G164" s="47" t="str">
        <x:f>IF(OR(C164="",F164="Pagado"),"",C164-TODAY())</x:f>
      </x:c>
    </x:row>
    <x:row r="165">
      <x:c r="A165" s="38" t="str"/>
      <x:c r="B165" s="38" t="str"/>
      <x:c r="C165" s="46"/>
      <x:c r="D165" s="39"/>
      <x:c r="E165" s="38" t="str"/>
      <x:c r="F165" s="38" t="str"/>
      <x:c r="G165" s="47" t="str">
        <x:f>IF(OR(C165="",F165="Pagado"),"",C165-TODAY())</x:f>
      </x:c>
    </x:row>
    <x:row r="166">
      <x:c r="A166" s="38" t="str"/>
      <x:c r="B166" s="38" t="str"/>
      <x:c r="C166" s="46"/>
      <x:c r="D166" s="39"/>
      <x:c r="E166" s="38" t="str"/>
      <x:c r="F166" s="38" t="str"/>
      <x:c r="G166" s="47" t="str">
        <x:f>IF(OR(C166="",F166="Pagado"),"",C166-TODAY())</x:f>
      </x:c>
    </x:row>
    <x:row r="167">
      <x:c r="A167" s="38" t="str"/>
      <x:c r="B167" s="38" t="str"/>
      <x:c r="C167" s="46"/>
      <x:c r="D167" s="39"/>
      <x:c r="E167" s="38" t="str"/>
      <x:c r="F167" s="38" t="str"/>
      <x:c r="G167" s="47" t="str">
        <x:f>IF(OR(C167="",F167="Pagado"),"",C167-TODAY())</x:f>
      </x:c>
    </x:row>
    <x:row r="168">
      <x:c r="A168" s="38" t="str"/>
      <x:c r="B168" s="38" t="str"/>
      <x:c r="C168" s="46"/>
      <x:c r="D168" s="39"/>
      <x:c r="E168" s="38" t="str"/>
      <x:c r="F168" s="38" t="str"/>
      <x:c r="G168" s="47" t="str">
        <x:f>IF(OR(C168="",F168="Pagado"),"",C168-TODAY())</x:f>
      </x:c>
    </x:row>
    <x:row r="169">
      <x:c r="A169" s="38" t="str"/>
      <x:c r="B169" s="38" t="str"/>
      <x:c r="C169" s="46"/>
      <x:c r="D169" s="39"/>
      <x:c r="E169" s="38" t="str"/>
      <x:c r="F169" s="38" t="str"/>
      <x:c r="G169" s="47" t="str">
        <x:f>IF(OR(C169="",F169="Pagado"),"",C169-TODAY())</x:f>
      </x:c>
    </x:row>
    <x:row r="170">
      <x:c r="A170" s="38" t="str"/>
      <x:c r="B170" s="38" t="str"/>
      <x:c r="C170" s="46"/>
      <x:c r="D170" s="39"/>
      <x:c r="E170" s="38" t="str"/>
      <x:c r="F170" s="38" t="str"/>
      <x:c r="G170" s="47" t="str">
        <x:f>IF(OR(C170="",F170="Pagado"),"",C170-TODAY())</x:f>
      </x:c>
    </x:row>
    <x:row r="171">
      <x:c r="A171" s="38" t="str"/>
      <x:c r="B171" s="38" t="str"/>
      <x:c r="C171" s="46"/>
      <x:c r="D171" s="39"/>
      <x:c r="E171" s="38" t="str"/>
      <x:c r="F171" s="38" t="str"/>
      <x:c r="G171" s="47" t="str">
        <x:f>IF(OR(C171="",F171="Pagado"),"",C171-TODAY())</x:f>
      </x:c>
    </x:row>
    <x:row r="172">
      <x:c r="A172" s="38" t="str"/>
      <x:c r="B172" s="38" t="str"/>
      <x:c r="C172" s="46"/>
      <x:c r="D172" s="39"/>
      <x:c r="E172" s="38" t="str"/>
      <x:c r="F172" s="38" t="str"/>
      <x:c r="G172" s="47" t="str">
        <x:f>IF(OR(C172="",F172="Pagado"),"",C172-TODAY())</x:f>
      </x:c>
    </x:row>
    <x:row r="173">
      <x:c r="A173" s="38" t="str"/>
      <x:c r="B173" s="38" t="str"/>
      <x:c r="C173" s="46"/>
      <x:c r="D173" s="39"/>
      <x:c r="E173" s="38" t="str"/>
      <x:c r="F173" s="38" t="str"/>
      <x:c r="G173" s="47" t="str">
        <x:f>IF(OR(C173="",F173="Pagado"),"",C173-TODAY())</x:f>
      </x:c>
    </x:row>
    <x:row r="174">
      <x:c r="A174" s="38" t="str"/>
      <x:c r="B174" s="38" t="str"/>
      <x:c r="C174" s="46"/>
      <x:c r="D174" s="39"/>
      <x:c r="E174" s="38" t="str"/>
      <x:c r="F174" s="38" t="str"/>
      <x:c r="G174" s="47" t="str">
        <x:f>IF(OR(C174="",F174="Pagado"),"",C174-TODAY())</x:f>
      </x:c>
    </x:row>
    <x:row r="175">
      <x:c r="A175" s="38" t="str"/>
      <x:c r="B175" s="38" t="str"/>
      <x:c r="C175" s="46"/>
      <x:c r="D175" s="39"/>
      <x:c r="E175" s="38" t="str"/>
      <x:c r="F175" s="38" t="str"/>
      <x:c r="G175" s="47" t="str">
        <x:f>IF(OR(C175="",F175="Pagado"),"",C175-TODAY())</x:f>
      </x:c>
    </x:row>
    <x:row r="176">
      <x:c r="A176" s="38" t="str"/>
      <x:c r="B176" s="38" t="str"/>
      <x:c r="C176" s="46"/>
      <x:c r="D176" s="39"/>
      <x:c r="E176" s="38" t="str"/>
      <x:c r="F176" s="38" t="str"/>
      <x:c r="G176" s="47" t="str">
        <x:f>IF(OR(C176="",F176="Pagado"),"",C176-TODAY())</x:f>
      </x:c>
    </x:row>
    <x:row r="177">
      <x:c r="A177" s="38" t="str"/>
      <x:c r="B177" s="38" t="str"/>
      <x:c r="C177" s="46"/>
      <x:c r="D177" s="39"/>
      <x:c r="E177" s="38" t="str"/>
      <x:c r="F177" s="38" t="str"/>
      <x:c r="G177" s="47" t="str">
        <x:f>IF(OR(C177="",F177="Pagado"),"",C177-TODAY())</x:f>
      </x:c>
    </x:row>
    <x:row r="178">
      <x:c r="A178" s="38" t="str"/>
      <x:c r="B178" s="38" t="str"/>
      <x:c r="C178" s="46"/>
      <x:c r="D178" s="39"/>
      <x:c r="E178" s="38" t="str"/>
      <x:c r="F178" s="38" t="str"/>
      <x:c r="G178" s="47" t="str">
        <x:f>IF(OR(C178="",F178="Pagado"),"",C178-TODAY())</x:f>
      </x:c>
    </x:row>
    <x:row r="179">
      <x:c r="A179" s="38" t="str"/>
      <x:c r="B179" s="38" t="str"/>
      <x:c r="C179" s="46"/>
      <x:c r="D179" s="39"/>
      <x:c r="E179" s="38" t="str"/>
      <x:c r="F179" s="38" t="str"/>
      <x:c r="G179" s="47" t="str">
        <x:f>IF(OR(C179="",F179="Pagado"),"",C179-TODAY())</x:f>
      </x:c>
    </x:row>
    <x:row r="180">
      <x:c r="A180" s="38" t="str"/>
      <x:c r="B180" s="38" t="str"/>
      <x:c r="C180" s="46"/>
      <x:c r="D180" s="39"/>
      <x:c r="E180" s="38" t="str"/>
      <x:c r="F180" s="38" t="str"/>
      <x:c r="G180" s="47" t="str">
        <x:f>IF(OR(C180="",F180="Pagado"),"",C180-TODAY())</x:f>
      </x:c>
    </x:row>
    <x:row r="181">
      <x:c r="A181" s="38" t="str"/>
      <x:c r="B181" s="38" t="str"/>
      <x:c r="C181" s="46"/>
      <x:c r="D181" s="39"/>
      <x:c r="E181" s="38" t="str"/>
      <x:c r="F181" s="38" t="str"/>
      <x:c r="G181" s="47" t="str">
        <x:f>IF(OR(C181="",F181="Pagado"),"",C181-TODAY())</x:f>
      </x:c>
    </x:row>
    <x:row r="182">
      <x:c r="A182" s="38" t="str"/>
      <x:c r="B182" s="38" t="str"/>
      <x:c r="C182" s="46"/>
      <x:c r="D182" s="39"/>
      <x:c r="E182" s="38" t="str"/>
      <x:c r="F182" s="38" t="str"/>
      <x:c r="G182" s="47" t="str">
        <x:f>IF(OR(C182="",F182="Pagado"),"",C182-TODAY())</x:f>
      </x:c>
    </x:row>
    <x:row r="183">
      <x:c r="A183" s="38" t="str"/>
      <x:c r="B183" s="38" t="str"/>
      <x:c r="C183" s="46"/>
      <x:c r="D183" s="39"/>
      <x:c r="E183" s="38" t="str"/>
      <x:c r="F183" s="38" t="str"/>
      <x:c r="G183" s="47" t="str">
        <x:f>IF(OR(C183="",F183="Pagado"),"",C183-TODAY())</x:f>
      </x:c>
    </x:row>
    <x:row r="184">
      <x:c r="A184" s="38" t="str"/>
      <x:c r="B184" s="38" t="str"/>
      <x:c r="C184" s="46"/>
      <x:c r="D184" s="39"/>
      <x:c r="E184" s="38" t="str"/>
      <x:c r="F184" s="38" t="str"/>
      <x:c r="G184" s="47" t="str">
        <x:f>IF(OR(C184="",F184="Pagado"),"",C184-TODAY())</x:f>
      </x:c>
    </x:row>
    <x:row r="185">
      <x:c r="A185" s="38" t="str"/>
      <x:c r="B185" s="38" t="str"/>
      <x:c r="C185" s="46"/>
      <x:c r="D185" s="39"/>
      <x:c r="E185" s="38" t="str"/>
      <x:c r="F185" s="38" t="str"/>
      <x:c r="G185" s="47" t="str">
        <x:f>IF(OR(C185="",F185="Pagado"),"",C185-TODAY())</x:f>
      </x:c>
    </x:row>
    <x:row r="186">
      <x:c r="A186" s="38" t="str"/>
      <x:c r="B186" s="38" t="str"/>
      <x:c r="C186" s="46"/>
      <x:c r="D186" s="39"/>
      <x:c r="E186" s="38" t="str"/>
      <x:c r="F186" s="38" t="str"/>
      <x:c r="G186" s="47" t="str">
        <x:f>IF(OR(C186="",F186="Pagado"),"",C186-TODAY())</x:f>
      </x:c>
    </x:row>
    <x:row r="187">
      <x:c r="A187" s="38" t="str"/>
      <x:c r="B187" s="38" t="str"/>
      <x:c r="C187" s="46"/>
      <x:c r="D187" s="39"/>
      <x:c r="E187" s="38" t="str"/>
      <x:c r="F187" s="38" t="str"/>
      <x:c r="G187" s="47" t="str">
        <x:f>IF(OR(C187="",F187="Pagado"),"",C187-TODAY())</x:f>
      </x:c>
    </x:row>
    <x:row r="188">
      <x:c r="A188" s="38" t="str"/>
      <x:c r="B188" s="38" t="str"/>
      <x:c r="C188" s="46"/>
      <x:c r="D188" s="39"/>
      <x:c r="E188" s="38" t="str"/>
      <x:c r="F188" s="38" t="str"/>
      <x:c r="G188" s="47" t="str">
        <x:f>IF(OR(C188="",F188="Pagado"),"",C188-TODAY())</x:f>
      </x:c>
    </x:row>
    <x:row r="189">
      <x:c r="A189" s="38" t="str"/>
      <x:c r="B189" s="38" t="str"/>
      <x:c r="C189" s="46"/>
      <x:c r="D189" s="39"/>
      <x:c r="E189" s="38" t="str"/>
      <x:c r="F189" s="38" t="str"/>
      <x:c r="G189" s="47" t="str">
        <x:f>IF(OR(C189="",F189="Pagado"),"",C189-TODAY())</x:f>
      </x:c>
    </x:row>
    <x:row r="190">
      <x:c r="A190" s="38" t="str"/>
      <x:c r="B190" s="38" t="str"/>
      <x:c r="C190" s="46"/>
      <x:c r="D190" s="39"/>
      <x:c r="E190" s="38" t="str"/>
      <x:c r="F190" s="38" t="str"/>
      <x:c r="G190" s="47" t="str">
        <x:f>IF(OR(C190="",F190="Pagado"),"",C190-TODAY())</x:f>
      </x:c>
    </x:row>
    <x:row r="191">
      <x:c r="A191" s="38" t="str"/>
      <x:c r="B191" s="38" t="str"/>
      <x:c r="C191" s="46"/>
      <x:c r="D191" s="39"/>
      <x:c r="E191" s="38" t="str"/>
      <x:c r="F191" s="38" t="str"/>
      <x:c r="G191" s="47" t="str">
        <x:f>IF(OR(C191="",F191="Pagado"),"",C191-TODAY())</x:f>
      </x:c>
    </x:row>
    <x:row r="192">
      <x:c r="A192" s="38" t="str"/>
      <x:c r="B192" s="38" t="str"/>
      <x:c r="C192" s="46"/>
      <x:c r="D192" s="39"/>
      <x:c r="E192" s="38" t="str"/>
      <x:c r="F192" s="38" t="str"/>
      <x:c r="G192" s="47" t="str">
        <x:f>IF(OR(C192="",F192="Pagado"),"",C192-TODAY())</x:f>
      </x:c>
    </x:row>
    <x:row r="193">
      <x:c r="A193" s="38" t="str"/>
      <x:c r="B193" s="38" t="str"/>
      <x:c r="C193" s="46"/>
      <x:c r="D193" s="39"/>
      <x:c r="E193" s="38" t="str"/>
      <x:c r="F193" s="38" t="str"/>
      <x:c r="G193" s="47" t="str">
        <x:f>IF(OR(C193="",F193="Pagado"),"",C193-TODAY())</x:f>
      </x:c>
    </x:row>
    <x:row r="194">
      <x:c r="A194" s="38" t="str"/>
      <x:c r="B194" s="38" t="str"/>
      <x:c r="C194" s="46"/>
      <x:c r="D194" s="39"/>
      <x:c r="E194" s="38" t="str"/>
      <x:c r="F194" s="38" t="str"/>
      <x:c r="G194" s="47" t="str">
        <x:f>IF(OR(C194="",F194="Pagado"),"",C194-TODAY())</x:f>
      </x:c>
    </x:row>
    <x:row r="195">
      <x:c r="A195" s="38" t="str"/>
      <x:c r="B195" s="38" t="str"/>
      <x:c r="C195" s="46"/>
      <x:c r="D195" s="39"/>
      <x:c r="E195" s="38" t="str"/>
      <x:c r="F195" s="38" t="str"/>
      <x:c r="G195" s="47" t="str">
        <x:f>IF(OR(C195="",F195="Pagado"),"",C195-TODAY())</x:f>
      </x:c>
    </x:row>
    <x:row r="196">
      <x:c r="A196" s="38" t="str"/>
      <x:c r="B196" s="38" t="str"/>
      <x:c r="C196" s="46"/>
      <x:c r="D196" s="39"/>
      <x:c r="E196" s="38" t="str"/>
      <x:c r="F196" s="38" t="str"/>
      <x:c r="G196" s="47" t="str">
        <x:f>IF(OR(C196="",F196="Pagado"),"",C196-TODAY())</x:f>
      </x:c>
    </x:row>
    <x:row r="197">
      <x:c r="A197" s="38" t="str"/>
      <x:c r="B197" s="38" t="str"/>
      <x:c r="C197" s="46"/>
      <x:c r="D197" s="39"/>
      <x:c r="E197" s="38" t="str"/>
      <x:c r="F197" s="38" t="str"/>
      <x:c r="G197" s="47" t="str">
        <x:f>IF(OR(C197="",F197="Pagado"),"",C197-TODAY())</x:f>
      </x:c>
    </x:row>
    <x:row r="198">
      <x:c r="A198" s="38" t="str"/>
      <x:c r="B198" s="38" t="str"/>
      <x:c r="C198" s="46"/>
      <x:c r="D198" s="39"/>
      <x:c r="E198" s="38" t="str"/>
      <x:c r="F198" s="38" t="str"/>
      <x:c r="G198" s="47" t="str">
        <x:f>IF(OR(C198="",F198="Pagado"),"",C198-TODAY())</x:f>
      </x:c>
    </x:row>
    <x:row r="199">
      <x:c r="A199" s="38" t="str"/>
      <x:c r="B199" s="38" t="str"/>
      <x:c r="C199" s="46"/>
      <x:c r="D199" s="39"/>
      <x:c r="E199" s="38" t="str"/>
      <x:c r="F199" s="38" t="str"/>
      <x:c r="G199" s="47" t="str">
        <x:f>IF(OR(C199="",F199="Pagado"),"",C199-TODAY())</x:f>
      </x:c>
    </x:row>
    <x:row r="200">
      <x:c r="A200" s="38" t="str"/>
      <x:c r="B200" s="38" t="str"/>
      <x:c r="C200" s="46"/>
      <x:c r="D200" s="39"/>
      <x:c r="E200" s="38" t="str"/>
      <x:c r="F200" s="38" t="str"/>
      <x:c r="G200" s="47" t="str">
        <x:f>IF(OR(C200="",F200="Pagado"),"",C200-TODAY())</x:f>
      </x:c>
    </x:row>
    <x:row r="201">
      <x:c r="A201" s="38" t="str"/>
      <x:c r="B201" s="38" t="str"/>
      <x:c r="C201" s="46"/>
      <x:c r="D201" s="39"/>
      <x:c r="E201" s="38" t="str"/>
      <x:c r="F201" s="38" t="str"/>
      <x:c r="G201" s="47" t="str">
        <x:f>IF(OR(C201="",F201="Pagado"),"",C201-TODAY())</x:f>
      </x:c>
    </x:row>
    <x:row r="202">
      <x:c r="A202" s="38" t="str"/>
      <x:c r="B202" s="38" t="str"/>
      <x:c r="C202" s="46"/>
      <x:c r="D202" s="39"/>
      <x:c r="E202" s="38" t="str"/>
      <x:c r="F202" s="38" t="str"/>
      <x:c r="G202" s="47" t="str">
        <x:f>IF(OR(C202="",F202="Pagado"),"",C202-TODAY())</x:f>
      </x:c>
    </x:row>
    <x:row r="203">
      <x:c r="A203" s="38" t="str"/>
      <x:c r="B203" s="38" t="str"/>
      <x:c r="C203" s="46"/>
      <x:c r="D203" s="39"/>
      <x:c r="E203" s="38" t="str"/>
      <x:c r="F203" s="38" t="str"/>
      <x:c r="G203" s="47" t="str">
        <x:f>IF(OR(C203="",F203="Pagado"),"",C203-TODAY())</x:f>
      </x:c>
    </x:row>
    <x:row r="204">
      <x:c r="A204" s="38" t="str"/>
      <x:c r="B204" s="38" t="str"/>
      <x:c r="C204" s="46"/>
      <x:c r="D204" s="39"/>
      <x:c r="E204" s="38" t="str"/>
      <x:c r="F204" s="38" t="str"/>
      <x:c r="G204" s="47" t="str">
        <x:f>IF(OR(C204="",F204="Pagado"),"",C204-TODAY())</x:f>
      </x:c>
    </x:row>
    <x:row r="205">
      <x:c r="A205" s="38" t="str"/>
      <x:c r="B205" s="38" t="str"/>
      <x:c r="C205" s="46"/>
      <x:c r="D205" s="39"/>
      <x:c r="E205" s="38" t="str"/>
      <x:c r="F205" s="38" t="str"/>
      <x:c r="G205" s="47" t="str">
        <x:f>IF(OR(C205="",F205="Pagado"),"",C205-TODAY())</x:f>
      </x:c>
    </x:row>
    <x:row r="206">
      <x:c r="A206" s="38" t="str"/>
      <x:c r="B206" s="38" t="str"/>
      <x:c r="C206" s="46"/>
      <x:c r="D206" s="39"/>
      <x:c r="E206" s="38" t="str"/>
      <x:c r="F206" s="38" t="str"/>
      <x:c r="G206" s="47" t="str">
        <x:f>IF(OR(C206="",F206="Pagado"),"",C206-TODAY())</x:f>
      </x:c>
    </x:row>
    <x:row r="207">
      <x:c r="A207" s="38" t="str"/>
      <x:c r="B207" s="38" t="str"/>
      <x:c r="C207" s="46"/>
      <x:c r="D207" s="39"/>
      <x:c r="E207" s="38" t="str"/>
      <x:c r="F207" s="38" t="str"/>
      <x:c r="G207" s="47" t="str">
        <x:f>IF(OR(C207="",F207="Pagado"),"",C207-TODAY())</x:f>
      </x:c>
    </x:row>
    <x:row r="208">
      <x:c r="A208" s="38" t="str"/>
      <x:c r="B208" s="38" t="str"/>
      <x:c r="C208" s="46"/>
      <x:c r="D208" s="39"/>
      <x:c r="E208" s="38" t="str"/>
      <x:c r="F208" s="38" t="str"/>
      <x:c r="G208" s="47" t="str">
        <x:f>IF(OR(C208="",F208="Pagado"),"",C208-TODAY())</x:f>
      </x:c>
    </x:row>
    <x:row r="209">
      <x:c r="A209" s="38" t="str"/>
      <x:c r="B209" s="38" t="str"/>
      <x:c r="C209" s="46"/>
      <x:c r="D209" s="39"/>
      <x:c r="E209" s="38" t="str"/>
      <x:c r="F209" s="38" t="str"/>
      <x:c r="G209" s="47" t="str">
        <x:f>IF(OR(C209="",F209="Pagado"),"",C209-TODAY())</x:f>
      </x:c>
    </x:row>
    <x:row r="210">
      <x:c r="A210" s="38" t="str"/>
      <x:c r="B210" s="38" t="str"/>
      <x:c r="C210" s="46"/>
      <x:c r="D210" s="39"/>
      <x:c r="E210" s="38" t="str"/>
      <x:c r="F210" s="38" t="str"/>
      <x:c r="G210" s="47" t="str">
        <x:f>IF(OR(C210="",F210="Pagado"),"",C210-TODAY())</x:f>
      </x:c>
    </x:row>
    <x:row r="211">
      <x:c r="A211" s="38" t="str"/>
      <x:c r="B211" s="38" t="str"/>
      <x:c r="C211" s="46"/>
      <x:c r="D211" s="39"/>
      <x:c r="E211" s="38" t="str"/>
      <x:c r="F211" s="38" t="str"/>
      <x:c r="G211" s="47" t="str">
        <x:f>IF(OR(C211="",F211="Pagado"),"",C211-TODAY())</x:f>
      </x:c>
    </x:row>
    <x:row r="212">
      <x:c r="A212" s="38" t="str"/>
      <x:c r="B212" s="38" t="str"/>
      <x:c r="C212" s="46"/>
      <x:c r="D212" s="39"/>
      <x:c r="E212" s="38" t="str"/>
      <x:c r="F212" s="38" t="str"/>
      <x:c r="G212" s="47" t="str">
        <x:f>IF(OR(C212="",F212="Pagado"),"",C212-TODAY())</x:f>
      </x:c>
    </x:row>
    <x:row r="213">
      <x:c r="A213" s="38" t="str"/>
      <x:c r="B213" s="38" t="str"/>
      <x:c r="C213" s="46"/>
      <x:c r="D213" s="39"/>
      <x:c r="E213" s="38" t="str"/>
      <x:c r="F213" s="38" t="str"/>
      <x:c r="G213" s="47" t="str">
        <x:f>IF(OR(C213="",F213="Pagado"),"",C213-TODAY())</x:f>
      </x:c>
    </x:row>
    <x:row r="214">
      <x:c r="A214" s="38" t="str"/>
      <x:c r="B214" s="38" t="str"/>
      <x:c r="C214" s="46"/>
      <x:c r="D214" s="39"/>
      <x:c r="E214" s="38" t="str"/>
      <x:c r="F214" s="38" t="str"/>
      <x:c r="G214" s="47" t="str">
        <x:f>IF(OR(C214="",F214="Pagado"),"",C214-TODAY())</x:f>
      </x:c>
    </x:row>
    <x:row r="215">
      <x:c r="A215" s="38" t="str"/>
      <x:c r="B215" s="38" t="str"/>
      <x:c r="C215" s="46"/>
      <x:c r="D215" s="39"/>
      <x:c r="E215" s="38" t="str"/>
      <x:c r="F215" s="38" t="str"/>
      <x:c r="G215" s="47" t="str">
        <x:f>IF(OR(C215="",F215="Pagado"),"",C215-TODAY())</x:f>
      </x:c>
    </x:row>
    <x:row r="216">
      <x:c r="A216" s="38" t="str"/>
      <x:c r="B216" s="38" t="str"/>
      <x:c r="C216" s="46"/>
      <x:c r="D216" s="39"/>
      <x:c r="E216" s="38" t="str"/>
      <x:c r="F216" s="38" t="str"/>
      <x:c r="G216" s="47" t="str">
        <x:f>IF(OR(C216="",F216="Pagado"),"",C216-TODAY())</x:f>
      </x:c>
    </x:row>
    <x:row r="217">
      <x:c r="A217" s="38" t="str"/>
      <x:c r="B217" s="38" t="str"/>
      <x:c r="C217" s="46"/>
      <x:c r="D217" s="39"/>
      <x:c r="E217" s="38" t="str"/>
      <x:c r="F217" s="38" t="str"/>
      <x:c r="G217" s="47" t="str">
        <x:f>IF(OR(C217="",F217="Pagado"),"",C217-TODAY())</x:f>
      </x:c>
    </x:row>
    <x:row r="218">
      <x:c r="A218" s="38" t="str"/>
      <x:c r="B218" s="38" t="str"/>
      <x:c r="C218" s="46"/>
      <x:c r="D218" s="39"/>
      <x:c r="E218" s="38" t="str"/>
      <x:c r="F218" s="38" t="str"/>
      <x:c r="G218" s="47" t="str">
        <x:f>IF(OR(C218="",F218="Pagado"),"",C218-TODAY())</x:f>
      </x:c>
    </x:row>
    <x:row r="219">
      <x:c r="A219" s="38" t="str"/>
      <x:c r="B219" s="38" t="str"/>
      <x:c r="C219" s="46"/>
      <x:c r="D219" s="39"/>
      <x:c r="E219" s="38" t="str"/>
      <x:c r="F219" s="38" t="str"/>
      <x:c r="G219" s="47" t="str">
        <x:f>IF(OR(C219="",F219="Pagado"),"",C219-TODAY())</x:f>
      </x:c>
    </x:row>
    <x:row r="220">
      <x:c r="A220" s="38" t="str"/>
      <x:c r="B220" s="38" t="str"/>
      <x:c r="C220" s="46"/>
      <x:c r="D220" s="39"/>
      <x:c r="E220" s="38" t="str"/>
      <x:c r="F220" s="38" t="str"/>
      <x:c r="G220" s="47" t="str">
        <x:f>IF(OR(C220="",F220="Pagado"),"",C220-TODAY())</x:f>
      </x:c>
    </x:row>
    <x:row r="221">
      <x:c r="A221" s="38" t="str"/>
      <x:c r="B221" s="38" t="str"/>
      <x:c r="C221" s="46"/>
      <x:c r="D221" s="39"/>
      <x:c r="E221" s="38" t="str"/>
      <x:c r="F221" s="38" t="str"/>
      <x:c r="G221" s="47" t="str">
        <x:f>IF(OR(C221="",F221="Pagado"),"",C221-TODAY())</x:f>
      </x:c>
    </x:row>
    <x:row r="222">
      <x:c r="A222" s="38" t="str"/>
      <x:c r="B222" s="38" t="str"/>
      <x:c r="C222" s="46"/>
      <x:c r="D222" s="39"/>
      <x:c r="E222" s="38" t="str"/>
      <x:c r="F222" s="38" t="str"/>
      <x:c r="G222" s="47" t="str">
        <x:f>IF(OR(C222="",F222="Pagado"),"",C222-TODAY())</x:f>
      </x:c>
    </x:row>
    <x:row r="223">
      <x:c r="A223" s="38" t="str"/>
      <x:c r="B223" s="38" t="str"/>
      <x:c r="C223" s="46"/>
      <x:c r="D223" s="39"/>
      <x:c r="E223" s="38" t="str"/>
      <x:c r="F223" s="38" t="str"/>
      <x:c r="G223" s="47" t="str">
        <x:f>IF(OR(C223="",F223="Pagado"),"",C223-TODAY())</x:f>
      </x:c>
    </x:row>
    <x:row r="224">
      <x:c r="A224" s="38" t="str"/>
      <x:c r="B224" s="38" t="str"/>
      <x:c r="C224" s="46"/>
      <x:c r="D224" s="39"/>
      <x:c r="E224" s="38" t="str"/>
      <x:c r="F224" s="38" t="str"/>
      <x:c r="G224" s="47" t="str">
        <x:f>IF(OR(C224="",F224="Pagado"),"",C224-TODAY())</x:f>
      </x:c>
    </x:row>
    <x:row r="225">
      <x:c r="A225" s="38" t="str"/>
      <x:c r="B225" s="38" t="str"/>
      <x:c r="C225" s="46"/>
      <x:c r="D225" s="39"/>
      <x:c r="E225" s="38" t="str"/>
      <x:c r="F225" s="38" t="str"/>
      <x:c r="G225" s="47" t="str">
        <x:f>IF(OR(C225="",F225="Pagado"),"",C225-TODAY())</x:f>
      </x:c>
    </x:row>
    <x:row r="226">
      <x:c r="A226" s="38" t="str"/>
      <x:c r="B226" s="38" t="str"/>
      <x:c r="C226" s="46"/>
      <x:c r="D226" s="39"/>
      <x:c r="E226" s="38" t="str"/>
      <x:c r="F226" s="38" t="str"/>
      <x:c r="G226" s="47" t="str">
        <x:f>IF(OR(C226="",F226="Pagado"),"",C226-TODAY())</x:f>
      </x:c>
    </x:row>
    <x:row r="227">
      <x:c r="A227" s="38" t="str"/>
      <x:c r="B227" s="38" t="str"/>
      <x:c r="C227" s="46"/>
      <x:c r="D227" s="39"/>
      <x:c r="E227" s="38" t="str"/>
      <x:c r="F227" s="38" t="str"/>
      <x:c r="G227" s="47" t="str">
        <x:f>IF(OR(C227="",F227="Pagado"),"",C227-TODAY())</x:f>
      </x:c>
    </x:row>
    <x:row r="228">
      <x:c r="A228" s="38" t="str"/>
      <x:c r="B228" s="38" t="str"/>
      <x:c r="C228" s="46"/>
      <x:c r="D228" s="39"/>
      <x:c r="E228" s="38" t="str"/>
      <x:c r="F228" s="38" t="str"/>
      <x:c r="G228" s="47" t="str">
        <x:f>IF(OR(C228="",F228="Pagado"),"",C228-TODAY())</x:f>
      </x:c>
    </x:row>
    <x:row r="229">
      <x:c r="A229" s="38" t="str"/>
      <x:c r="B229" s="38" t="str"/>
      <x:c r="C229" s="46"/>
      <x:c r="D229" s="39"/>
      <x:c r="E229" s="38" t="str"/>
      <x:c r="F229" s="38" t="str"/>
      <x:c r="G229" s="47" t="str">
        <x:f>IF(OR(C229="",F229="Pagado"),"",C229-TODAY())</x:f>
      </x:c>
    </x:row>
    <x:row r="230">
      <x:c r="A230" s="38" t="str"/>
      <x:c r="B230" s="38" t="str"/>
      <x:c r="C230" s="46"/>
      <x:c r="D230" s="39"/>
      <x:c r="E230" s="38" t="str"/>
      <x:c r="F230" s="38" t="str"/>
      <x:c r="G230" s="47" t="str">
        <x:f>IF(OR(C230="",F230="Pagado"),"",C230-TODAY())</x:f>
      </x:c>
    </x:row>
    <x:row r="231">
      <x:c r="A231" s="38" t="str"/>
      <x:c r="B231" s="38" t="str"/>
      <x:c r="C231" s="46"/>
      <x:c r="D231" s="39"/>
      <x:c r="E231" s="38" t="str"/>
      <x:c r="F231" s="38" t="str"/>
      <x:c r="G231" s="47" t="str">
        <x:f>IF(OR(C231="",F231="Pagado"),"",C231-TODAY())</x:f>
      </x:c>
    </x:row>
    <x:row r="232">
      <x:c r="A232" s="38" t="str"/>
      <x:c r="B232" s="38" t="str"/>
      <x:c r="C232" s="46"/>
      <x:c r="D232" s="39"/>
      <x:c r="E232" s="38" t="str"/>
      <x:c r="F232" s="38" t="str"/>
      <x:c r="G232" s="47" t="str">
        <x:f>IF(OR(C232="",F232="Pagado"),"",C232-TODAY())</x:f>
      </x:c>
    </x:row>
    <x:row r="233">
      <x:c r="A233" s="38" t="str"/>
      <x:c r="B233" s="38" t="str"/>
      <x:c r="C233" s="46"/>
      <x:c r="D233" s="39"/>
      <x:c r="E233" s="38" t="str"/>
      <x:c r="F233" s="38" t="str"/>
      <x:c r="G233" s="47" t="str">
        <x:f>IF(OR(C233="",F233="Pagado"),"",C233-TODAY())</x:f>
      </x:c>
    </x:row>
    <x:row r="234">
      <x:c r="A234" s="38" t="str"/>
      <x:c r="B234" s="38" t="str"/>
      <x:c r="C234" s="46"/>
      <x:c r="D234" s="39"/>
      <x:c r="E234" s="38" t="str"/>
      <x:c r="F234" s="38" t="str"/>
      <x:c r="G234" s="47" t="str">
        <x:f>IF(OR(C234="",F234="Pagado"),"",C234-TODAY())</x:f>
      </x:c>
    </x:row>
    <x:row r="235">
      <x:c r="A235" s="38" t="str"/>
      <x:c r="B235" s="38" t="str"/>
      <x:c r="C235" s="46"/>
      <x:c r="D235" s="39"/>
      <x:c r="E235" s="38" t="str"/>
      <x:c r="F235" s="38" t="str"/>
      <x:c r="G235" s="47" t="str">
        <x:f>IF(OR(C235="",F235="Pagado"),"",C235-TODAY())</x:f>
      </x:c>
    </x:row>
    <x:row r="236">
      <x:c r="A236" s="38" t="str"/>
      <x:c r="B236" s="38" t="str"/>
      <x:c r="C236" s="46"/>
      <x:c r="D236" s="39"/>
      <x:c r="E236" s="38" t="str"/>
      <x:c r="F236" s="38" t="str"/>
      <x:c r="G236" s="47" t="str">
        <x:f>IF(OR(C236="",F236="Pagado"),"",C236-TODAY())</x:f>
      </x:c>
    </x:row>
    <x:row r="237">
      <x:c r="A237" s="38" t="str"/>
      <x:c r="B237" s="38" t="str"/>
      <x:c r="C237" s="46"/>
      <x:c r="D237" s="39"/>
      <x:c r="E237" s="38" t="str"/>
      <x:c r="F237" s="38" t="str"/>
      <x:c r="G237" s="47" t="str">
        <x:f>IF(OR(C237="",F237="Pagado"),"",C237-TODAY())</x:f>
      </x:c>
    </x:row>
    <x:row r="238">
      <x:c r="A238" s="38" t="str"/>
      <x:c r="B238" s="38" t="str"/>
      <x:c r="C238" s="46"/>
      <x:c r="D238" s="39"/>
      <x:c r="E238" s="38" t="str"/>
      <x:c r="F238" s="38" t="str"/>
      <x:c r="G238" s="47" t="str">
        <x:f>IF(OR(C238="",F238="Pagado"),"",C238-TODAY())</x:f>
      </x:c>
    </x:row>
    <x:row r="239">
      <x:c r="A239" s="38" t="str"/>
      <x:c r="B239" s="38" t="str"/>
      <x:c r="C239" s="46"/>
      <x:c r="D239" s="39"/>
      <x:c r="E239" s="38" t="str"/>
      <x:c r="F239" s="38" t="str"/>
      <x:c r="G239" s="47" t="str">
        <x:f>IF(OR(C239="",F239="Pagado"),"",C239-TODAY())</x:f>
      </x:c>
    </x:row>
    <x:row r="240">
      <x:c r="A240" s="38" t="str"/>
      <x:c r="B240" s="38" t="str"/>
      <x:c r="C240" s="46"/>
      <x:c r="D240" s="39"/>
      <x:c r="E240" s="38" t="str"/>
      <x:c r="F240" s="38" t="str"/>
      <x:c r="G240" s="47" t="str">
        <x:f>IF(OR(C240="",F240="Pagado"),"",C240-TODAY())</x:f>
      </x:c>
    </x:row>
    <x:row r="241">
      <x:c r="A241" s="38" t="str"/>
      <x:c r="B241" s="38" t="str"/>
      <x:c r="C241" s="46"/>
      <x:c r="D241" s="39"/>
      <x:c r="E241" s="38" t="str"/>
      <x:c r="F241" s="38" t="str"/>
      <x:c r="G241" s="47" t="str">
        <x:f>IF(OR(C241="",F241="Pagado"),"",C241-TODAY())</x:f>
      </x:c>
    </x:row>
    <x:row r="242">
      <x:c r="A242" s="38" t="str"/>
      <x:c r="B242" s="38" t="str"/>
      <x:c r="C242" s="46"/>
      <x:c r="D242" s="39"/>
      <x:c r="E242" s="38" t="str"/>
      <x:c r="F242" s="38" t="str"/>
      <x:c r="G242" s="47" t="str">
        <x:f>IF(OR(C242="",F242="Pagado"),"",C242-TODAY())</x:f>
      </x:c>
    </x:row>
    <x:row r="243">
      <x:c r="A243" s="38" t="str"/>
      <x:c r="B243" s="38" t="str"/>
      <x:c r="C243" s="46"/>
      <x:c r="D243" s="39"/>
      <x:c r="E243" s="38" t="str"/>
      <x:c r="F243" s="38" t="str"/>
      <x:c r="G243" s="47" t="str">
        <x:f>IF(OR(C243="",F243="Pagado"),"",C243-TODAY())</x:f>
      </x:c>
    </x:row>
    <x:row r="244">
      <x:c r="A244" s="38" t="str"/>
      <x:c r="B244" s="38" t="str"/>
      <x:c r="C244" s="46"/>
      <x:c r="D244" s="39"/>
      <x:c r="E244" s="38" t="str"/>
      <x:c r="F244" s="38" t="str"/>
      <x:c r="G244" s="47" t="str">
        <x:f>IF(OR(C244="",F244="Pagado"),"",C244-TODAY())</x:f>
      </x:c>
    </x:row>
    <x:row r="245">
      <x:c r="A245" s="38" t="str"/>
      <x:c r="B245" s="38" t="str"/>
      <x:c r="C245" s="46"/>
      <x:c r="D245" s="39"/>
      <x:c r="E245" s="38" t="str"/>
      <x:c r="F245" s="38" t="str"/>
      <x:c r="G245" s="47" t="str">
        <x:f>IF(OR(C245="",F245="Pagado"),"",C245-TODAY())</x:f>
      </x:c>
    </x:row>
    <x:row r="246">
      <x:c r="A246" s="38" t="str"/>
      <x:c r="B246" s="38" t="str"/>
      <x:c r="C246" s="46"/>
      <x:c r="D246" s="39"/>
      <x:c r="E246" s="38" t="str"/>
      <x:c r="F246" s="38" t="str"/>
      <x:c r="G246" s="47" t="str">
        <x:f>IF(OR(C246="",F246="Pagado"),"",C246-TODAY())</x:f>
      </x:c>
    </x:row>
    <x:row r="247">
      <x:c r="A247" s="38" t="str"/>
      <x:c r="B247" s="38" t="str"/>
      <x:c r="C247" s="46"/>
      <x:c r="D247" s="39"/>
      <x:c r="E247" s="38" t="str"/>
      <x:c r="F247" s="38" t="str"/>
      <x:c r="G247" s="47" t="str">
        <x:f>IF(OR(C247="",F247="Pagado"),"",C247-TODAY())</x:f>
      </x:c>
    </x:row>
    <x:row r="248">
      <x:c r="A248" s="38" t="str"/>
      <x:c r="B248" s="38" t="str"/>
      <x:c r="C248" s="46"/>
      <x:c r="D248" s="39"/>
      <x:c r="E248" s="38" t="str"/>
      <x:c r="F248" s="38" t="str"/>
      <x:c r="G248" s="47" t="str">
        <x:f>IF(OR(C248="",F248="Pagado"),"",C248-TODAY())</x:f>
      </x:c>
    </x:row>
    <x:row r="249">
      <x:c r="A249" s="38" t="str"/>
      <x:c r="B249" s="38" t="str"/>
      <x:c r="C249" s="46"/>
      <x:c r="D249" s="39"/>
      <x:c r="E249" s="38" t="str"/>
      <x:c r="F249" s="38" t="str"/>
      <x:c r="G249" s="47" t="str">
        <x:f>IF(OR(C249="",F249="Pagado"),"",C249-TODAY())</x:f>
      </x:c>
    </x:row>
    <x:row r="250">
      <x:c r="A250" s="38" t="str"/>
      <x:c r="B250" s="38" t="str"/>
      <x:c r="C250" s="46"/>
      <x:c r="D250" s="39"/>
      <x:c r="E250" s="38" t="str"/>
      <x:c r="F250" s="38" t="str"/>
      <x:c r="G250" s="47" t="str">
        <x:f>IF(OR(C250="",F250="Pagado"),"",C250-TODAY())</x:f>
      </x:c>
    </x:row>
    <x:row r="251">
      <x:c r="A251" s="38" t="str"/>
      <x:c r="B251" s="38" t="str"/>
      <x:c r="C251" s="46"/>
      <x:c r="D251" s="39"/>
      <x:c r="E251" s="38" t="str"/>
      <x:c r="F251" s="38" t="str"/>
      <x:c r="G251" s="47" t="str">
        <x:f>IF(OR(C251="",F251="Pagado"),"",C251-TODAY())</x:f>
      </x:c>
    </x:row>
    <x:row r="252">
      <x:c r="A252" s="38" t="str"/>
      <x:c r="B252" s="38" t="str"/>
      <x:c r="C252" s="46"/>
      <x:c r="D252" s="39"/>
      <x:c r="E252" s="38" t="str"/>
      <x:c r="F252" s="38" t="str"/>
      <x:c r="G252" s="47" t="str">
        <x:f>IF(OR(C252="",F252="Pagado"),"",C252-TODAY())</x:f>
      </x:c>
    </x:row>
    <x:row r="253">
      <x:c r="A253" s="38" t="str"/>
      <x:c r="B253" s="38" t="str"/>
      <x:c r="C253" s="46"/>
      <x:c r="D253" s="39"/>
      <x:c r="E253" s="38" t="str"/>
      <x:c r="F253" s="38" t="str"/>
      <x:c r="G253" s="47" t="str">
        <x:f>IF(OR(C253="",F253="Pagado"),"",C253-TODAY())</x:f>
      </x:c>
    </x:row>
    <x:row r="254">
      <x:c r="A254" s="38" t="str"/>
      <x:c r="B254" s="38" t="str"/>
      <x:c r="C254" s="46"/>
      <x:c r="D254" s="39"/>
      <x:c r="E254" s="38" t="str"/>
      <x:c r="F254" s="38" t="str"/>
      <x:c r="G254" s="47" t="str">
        <x:f>IF(OR(C254="",F254="Pagado"),"",C254-TODAY())</x:f>
      </x:c>
    </x:row>
    <x:row r="255">
      <x:c r="A255" s="38" t="str"/>
      <x:c r="B255" s="38" t="str"/>
      <x:c r="C255" s="46"/>
      <x:c r="D255" s="39"/>
      <x:c r="E255" s="38" t="str"/>
      <x:c r="F255" s="38" t="str"/>
      <x:c r="G255" s="47" t="str">
        <x:f>IF(OR(C255="",F255="Pagado"),"",C255-TODAY())</x:f>
      </x:c>
    </x:row>
    <x:row r="256">
      <x:c r="A256" s="38" t="str"/>
      <x:c r="B256" s="38" t="str"/>
      <x:c r="C256" s="46"/>
      <x:c r="D256" s="39"/>
      <x:c r="E256" s="38" t="str"/>
      <x:c r="F256" s="38" t="str"/>
      <x:c r="G256" s="47" t="str">
        <x:f>IF(OR(C256="",F256="Pagado"),"",C256-TODAY())</x:f>
      </x:c>
    </x:row>
    <x:row r="257">
      <x:c r="A257" s="38" t="str"/>
      <x:c r="B257" s="38" t="str"/>
      <x:c r="C257" s="46"/>
      <x:c r="D257" s="39"/>
      <x:c r="E257" s="38" t="str"/>
      <x:c r="F257" s="38" t="str"/>
      <x:c r="G257" s="47" t="str">
        <x:f>IF(OR(C257="",F257="Pagado"),"",C257-TODAY())</x:f>
      </x:c>
    </x:row>
    <x:row r="258">
      <x:c r="A258" s="38" t="str"/>
      <x:c r="B258" s="38" t="str"/>
      <x:c r="C258" s="46"/>
      <x:c r="D258" s="39"/>
      <x:c r="E258" s="38" t="str"/>
      <x:c r="F258" s="38" t="str"/>
      <x:c r="G258" s="47" t="str">
        <x:f>IF(OR(C258="",F258="Pagado"),"",C258-TODAY())</x:f>
      </x:c>
    </x:row>
    <x:row r="259">
      <x:c r="A259" s="38" t="str"/>
      <x:c r="B259" s="38" t="str"/>
      <x:c r="C259" s="46"/>
      <x:c r="D259" s="39"/>
      <x:c r="E259" s="38" t="str"/>
      <x:c r="F259" s="38" t="str"/>
      <x:c r="G259" s="47" t="str">
        <x:f>IF(OR(C259="",F259="Pagado"),"",C259-TODAY())</x:f>
      </x:c>
    </x:row>
    <x:row r="260">
      <x:c r="A260" s="38" t="str"/>
      <x:c r="B260" s="38" t="str"/>
      <x:c r="C260" s="46"/>
      <x:c r="D260" s="39"/>
      <x:c r="E260" s="38" t="str"/>
      <x:c r="F260" s="38" t="str"/>
      <x:c r="G260" s="47" t="str">
        <x:f>IF(OR(C260="",F260="Pagado"),"",C260-TODAY())</x:f>
      </x:c>
    </x:row>
    <x:row r="261">
      <x:c r="A261" s="38" t="str"/>
      <x:c r="B261" s="38" t="str"/>
      <x:c r="C261" s="46"/>
      <x:c r="D261" s="39"/>
      <x:c r="E261" s="38" t="str"/>
      <x:c r="F261" s="38" t="str"/>
      <x:c r="G261" s="47" t="str">
        <x:f>IF(OR(C261="",F261="Pagado"),"",C261-TODAY())</x:f>
      </x:c>
    </x:row>
    <x:row r="262">
      <x:c r="A262" s="38" t="str"/>
      <x:c r="B262" s="38" t="str"/>
      <x:c r="C262" s="46"/>
      <x:c r="D262" s="39"/>
      <x:c r="E262" s="38" t="str"/>
      <x:c r="F262" s="38" t="str"/>
      <x:c r="G262" s="47" t="str">
        <x:f>IF(OR(C262="",F262="Pagado"),"",C262-TODAY())</x:f>
      </x:c>
    </x:row>
    <x:row r="263">
      <x:c r="A263" s="38" t="str"/>
      <x:c r="B263" s="38" t="str"/>
      <x:c r="C263" s="46"/>
      <x:c r="D263" s="39"/>
      <x:c r="E263" s="38" t="str"/>
      <x:c r="F263" s="38" t="str"/>
      <x:c r="G263" s="47" t="str">
        <x:f>IF(OR(C263="",F263="Pagado"),"",C263-TODAY())</x:f>
      </x:c>
    </x:row>
    <x:row r="264">
      <x:c r="A264" s="38" t="str"/>
      <x:c r="B264" s="38" t="str"/>
      <x:c r="C264" s="46"/>
      <x:c r="D264" s="39"/>
      <x:c r="E264" s="38" t="str"/>
      <x:c r="F264" s="38" t="str"/>
      <x:c r="G264" s="47" t="str">
        <x:f>IF(OR(C264="",F264="Pagado"),"",C264-TODAY())</x:f>
      </x:c>
    </x:row>
    <x:row r="265">
      <x:c r="A265" s="38" t="str"/>
      <x:c r="B265" s="38" t="str"/>
      <x:c r="C265" s="46"/>
      <x:c r="D265" s="39"/>
      <x:c r="E265" s="38" t="str"/>
      <x:c r="F265" s="38" t="str"/>
      <x:c r="G265" s="47" t="str">
        <x:f>IF(OR(C265="",F265="Pagado"),"",C265-TODAY())</x:f>
      </x:c>
    </x:row>
    <x:row r="266">
      <x:c r="A266" s="38" t="str"/>
      <x:c r="B266" s="38" t="str"/>
      <x:c r="C266" s="46"/>
      <x:c r="D266" s="39"/>
      <x:c r="E266" s="38" t="str"/>
      <x:c r="F266" s="38" t="str"/>
      <x:c r="G266" s="47" t="str">
        <x:f>IF(OR(C266="",F266="Pagado"),"",C266-TODAY())</x:f>
      </x:c>
    </x:row>
    <x:row r="267">
      <x:c r="A267" s="38" t="str"/>
      <x:c r="B267" s="38" t="str"/>
      <x:c r="C267" s="46"/>
      <x:c r="D267" s="39"/>
      <x:c r="E267" s="38" t="str"/>
      <x:c r="F267" s="38" t="str"/>
      <x:c r="G267" s="47" t="str">
        <x:f>IF(OR(C267="",F267="Pagado"),"",C267-TODAY())</x:f>
      </x:c>
    </x:row>
    <x:row r="268">
      <x:c r="A268" s="38" t="str"/>
      <x:c r="B268" s="38" t="str"/>
      <x:c r="C268" s="46"/>
      <x:c r="D268" s="39"/>
      <x:c r="E268" s="38" t="str"/>
      <x:c r="F268" s="38" t="str"/>
      <x:c r="G268" s="47" t="str">
        <x:f>IF(OR(C268="",F268="Pagado"),"",C268-TODAY())</x:f>
      </x:c>
    </x:row>
    <x:row r="269">
      <x:c r="A269" s="38" t="str"/>
      <x:c r="B269" s="38" t="str"/>
      <x:c r="C269" s="46"/>
      <x:c r="D269" s="39"/>
      <x:c r="E269" s="38" t="str"/>
      <x:c r="F269" s="38" t="str"/>
      <x:c r="G269" s="47" t="str">
        <x:f>IF(OR(C269="",F269="Pagado"),"",C269-TODAY())</x:f>
      </x:c>
    </x:row>
    <x:row r="270">
      <x:c r="A270" s="38" t="str"/>
      <x:c r="B270" s="38" t="str"/>
      <x:c r="C270" s="46"/>
      <x:c r="D270" s="39"/>
      <x:c r="E270" s="38" t="str"/>
      <x:c r="F270" s="38" t="str"/>
      <x:c r="G270" s="47" t="str">
        <x:f>IF(OR(C270="",F270="Pagado"),"",C270-TODAY())</x:f>
      </x:c>
    </x:row>
    <x:row r="271">
      <x:c r="A271" s="38" t="str"/>
      <x:c r="B271" s="38" t="str"/>
      <x:c r="C271" s="46"/>
      <x:c r="D271" s="39"/>
      <x:c r="E271" s="38" t="str"/>
      <x:c r="F271" s="38" t="str"/>
      <x:c r="G271" s="47" t="str">
        <x:f>IF(OR(C271="",F271="Pagado"),"",C271-TODAY())</x:f>
      </x:c>
    </x:row>
    <x:row r="272">
      <x:c r="A272" s="38" t="str"/>
      <x:c r="B272" s="38" t="str"/>
      <x:c r="C272" s="46"/>
      <x:c r="D272" s="39"/>
      <x:c r="E272" s="38" t="str"/>
      <x:c r="F272" s="38" t="str"/>
      <x:c r="G272" s="47" t="str">
        <x:f>IF(OR(C272="",F272="Pagado"),"",C272-TODAY())</x:f>
      </x:c>
    </x:row>
    <x:row r="273">
      <x:c r="A273" s="38" t="str"/>
      <x:c r="B273" s="38" t="str"/>
      <x:c r="C273" s="46"/>
      <x:c r="D273" s="39"/>
      <x:c r="E273" s="38" t="str"/>
      <x:c r="F273" s="38" t="str"/>
      <x:c r="G273" s="47" t="str">
        <x:f>IF(OR(C273="",F273="Pagado"),"",C273-TODAY())</x:f>
      </x:c>
    </x:row>
    <x:row r="274">
      <x:c r="A274" s="38" t="str"/>
      <x:c r="B274" s="38" t="str"/>
      <x:c r="C274" s="46"/>
      <x:c r="D274" s="39"/>
      <x:c r="E274" s="38" t="str"/>
      <x:c r="F274" s="38" t="str"/>
      <x:c r="G274" s="47" t="str">
        <x:f>IF(OR(C274="",F274="Pagado"),"",C274-TODAY())</x:f>
      </x:c>
    </x:row>
    <x:row r="275">
      <x:c r="A275" s="38" t="str"/>
      <x:c r="B275" s="38" t="str"/>
      <x:c r="C275" s="46"/>
      <x:c r="D275" s="39"/>
      <x:c r="E275" s="38" t="str"/>
      <x:c r="F275" s="38" t="str"/>
      <x:c r="G275" s="47" t="str">
        <x:f>IF(OR(C275="",F275="Pagado"),"",C275-TODAY())</x:f>
      </x:c>
    </x:row>
    <x:row r="276">
      <x:c r="A276" s="38" t="str"/>
      <x:c r="B276" s="38" t="str"/>
      <x:c r="C276" s="46"/>
      <x:c r="D276" s="39"/>
      <x:c r="E276" s="38" t="str"/>
      <x:c r="F276" s="38" t="str"/>
      <x:c r="G276" s="47" t="str">
        <x:f>IF(OR(C276="",F276="Pagado"),"",C276-TODAY())</x:f>
      </x:c>
    </x:row>
    <x:row r="277">
      <x:c r="A277" s="38" t="str"/>
      <x:c r="B277" s="38" t="str"/>
      <x:c r="C277" s="46"/>
      <x:c r="D277" s="39"/>
      <x:c r="E277" s="38" t="str"/>
      <x:c r="F277" s="38" t="str"/>
      <x:c r="G277" s="47" t="str">
        <x:f>IF(OR(C277="",F277="Pagado"),"",C277-TODAY())</x:f>
      </x:c>
    </x:row>
    <x:row r="278">
      <x:c r="A278" s="38" t="str"/>
      <x:c r="B278" s="38" t="str"/>
      <x:c r="C278" s="46"/>
      <x:c r="D278" s="39"/>
      <x:c r="E278" s="38" t="str"/>
      <x:c r="F278" s="38" t="str"/>
      <x:c r="G278" s="47" t="str">
        <x:f>IF(OR(C278="",F278="Pagado"),"",C278-TODAY())</x:f>
      </x:c>
    </x:row>
    <x:row r="279">
      <x:c r="A279" s="38" t="str"/>
      <x:c r="B279" s="38" t="str"/>
      <x:c r="C279" s="46"/>
      <x:c r="D279" s="39"/>
      <x:c r="E279" s="38" t="str"/>
      <x:c r="F279" s="38" t="str"/>
      <x:c r="G279" s="47" t="str">
        <x:f>IF(OR(C279="",F279="Pagado"),"",C279-TODAY())</x:f>
      </x:c>
    </x:row>
    <x:row r="280">
      <x:c r="A280" s="38" t="str"/>
      <x:c r="B280" s="38" t="str"/>
      <x:c r="C280" s="46"/>
      <x:c r="D280" s="39"/>
      <x:c r="E280" s="38" t="str"/>
      <x:c r="F280" s="38" t="str"/>
      <x:c r="G280" s="47" t="str">
        <x:f>IF(OR(C280="",F280="Pagado"),"",C280-TODAY())</x:f>
      </x:c>
    </x:row>
    <x:row r="281">
      <x:c r="A281" s="38" t="str"/>
      <x:c r="B281" s="38" t="str"/>
      <x:c r="C281" s="46"/>
      <x:c r="D281" s="39"/>
      <x:c r="E281" s="38" t="str"/>
      <x:c r="F281" s="38" t="str"/>
      <x:c r="G281" s="47" t="str">
        <x:f>IF(OR(C281="",F281="Pagado"),"",C281-TODAY())</x:f>
      </x:c>
    </x:row>
    <x:row r="282">
      <x:c r="A282" s="38" t="str"/>
      <x:c r="B282" s="38" t="str"/>
      <x:c r="C282" s="46"/>
      <x:c r="D282" s="39"/>
      <x:c r="E282" s="38" t="str"/>
      <x:c r="F282" s="38" t="str"/>
      <x:c r="G282" s="47" t="str">
        <x:f>IF(OR(C282="",F282="Pagado"),"",C282-TODAY())</x:f>
      </x:c>
    </x:row>
    <x:row r="283">
      <x:c r="A283" s="38" t="str"/>
      <x:c r="B283" s="38" t="str"/>
      <x:c r="C283" s="46"/>
      <x:c r="D283" s="39"/>
      <x:c r="E283" s="38" t="str"/>
      <x:c r="F283" s="38" t="str"/>
      <x:c r="G283" s="47" t="str">
        <x:f>IF(OR(C283="",F283="Pagado"),"",C283-TODAY())</x:f>
      </x:c>
    </x:row>
    <x:row r="284">
      <x:c r="A284" s="38" t="str"/>
      <x:c r="B284" s="38" t="str"/>
      <x:c r="C284" s="46"/>
      <x:c r="D284" s="39"/>
      <x:c r="E284" s="38" t="str"/>
      <x:c r="F284" s="38" t="str"/>
      <x:c r="G284" s="47" t="str">
        <x:f>IF(OR(C284="",F284="Pagado"),"",C284-TODAY())</x:f>
      </x:c>
    </x:row>
    <x:row r="285">
      <x:c r="A285" s="38" t="str"/>
      <x:c r="B285" s="38" t="str"/>
      <x:c r="C285" s="46"/>
      <x:c r="D285" s="39"/>
      <x:c r="E285" s="38" t="str"/>
      <x:c r="F285" s="38" t="str"/>
      <x:c r="G285" s="47" t="str">
        <x:f>IF(OR(C285="",F285="Pagado"),"",C285-TODAY())</x:f>
      </x:c>
    </x:row>
    <x:row r="286">
      <x:c r="A286" s="38" t="str"/>
      <x:c r="B286" s="38" t="str"/>
      <x:c r="C286" s="46"/>
      <x:c r="D286" s="39"/>
      <x:c r="E286" s="38" t="str"/>
      <x:c r="F286" s="38" t="str"/>
      <x:c r="G286" s="47" t="str">
        <x:f>IF(OR(C286="",F286="Pagado"),"",C286-TODAY())</x:f>
      </x:c>
    </x:row>
    <x:row r="287">
      <x:c r="A287" s="38" t="str"/>
      <x:c r="B287" s="38" t="str"/>
      <x:c r="C287" s="46"/>
      <x:c r="D287" s="39"/>
      <x:c r="E287" s="38" t="str"/>
      <x:c r="F287" s="38" t="str"/>
      <x:c r="G287" s="47" t="str">
        <x:f>IF(OR(C287="",F287="Pagado"),"",C287-TODAY())</x:f>
      </x:c>
    </x:row>
    <x:row r="288">
      <x:c r="A288" s="38" t="str"/>
      <x:c r="B288" s="38" t="str"/>
      <x:c r="C288" s="46"/>
      <x:c r="D288" s="39"/>
      <x:c r="E288" s="38" t="str"/>
      <x:c r="F288" s="38" t="str"/>
      <x:c r="G288" s="47" t="str">
        <x:f>IF(OR(C288="",F288="Pagado"),"",C288-TODAY())</x:f>
      </x:c>
    </x:row>
    <x:row r="289">
      <x:c r="A289" s="38" t="str"/>
      <x:c r="B289" s="38" t="str"/>
      <x:c r="C289" s="46"/>
      <x:c r="D289" s="39"/>
      <x:c r="E289" s="38" t="str"/>
      <x:c r="F289" s="38" t="str"/>
      <x:c r="G289" s="47" t="str">
        <x:f>IF(OR(C289="",F289="Pagado"),"",C289-TODAY())</x:f>
      </x:c>
    </x:row>
    <x:row r="290">
      <x:c r="A290" s="38" t="str"/>
      <x:c r="B290" s="38" t="str"/>
      <x:c r="C290" s="46"/>
      <x:c r="D290" s="39"/>
      <x:c r="E290" s="38" t="str"/>
      <x:c r="F290" s="38" t="str"/>
      <x:c r="G290" s="47" t="str">
        <x:f>IF(OR(C290="",F290="Pagado"),"",C290-TODAY())</x:f>
      </x:c>
    </x:row>
    <x:row r="291">
      <x:c r="A291" s="38" t="str"/>
      <x:c r="B291" s="38" t="str"/>
      <x:c r="C291" s="46"/>
      <x:c r="D291" s="39"/>
      <x:c r="E291" s="38" t="str"/>
      <x:c r="F291" s="38" t="str"/>
      <x:c r="G291" s="47" t="str">
        <x:f>IF(OR(C291="",F291="Pagado"),"",C291-TODAY())</x:f>
      </x:c>
    </x:row>
    <x:row r="292">
      <x:c r="A292" s="38" t="str"/>
      <x:c r="B292" s="38" t="str"/>
      <x:c r="C292" s="46"/>
      <x:c r="D292" s="39"/>
      <x:c r="E292" s="38" t="str"/>
      <x:c r="F292" s="38" t="str"/>
      <x:c r="G292" s="47" t="str">
        <x:f>IF(OR(C292="",F292="Pagado"),"",C292-TODAY())</x:f>
      </x:c>
    </x:row>
    <x:row r="293">
      <x:c r="A293" s="38" t="str"/>
      <x:c r="B293" s="38" t="str"/>
      <x:c r="C293" s="46"/>
      <x:c r="D293" s="39"/>
      <x:c r="E293" s="38" t="str"/>
      <x:c r="F293" s="38" t="str"/>
      <x:c r="G293" s="47" t="str">
        <x:f>IF(OR(C293="",F293="Pagado"),"",C293-TODAY())</x:f>
      </x:c>
    </x:row>
    <x:row r="294">
      <x:c r="A294" s="38" t="str"/>
      <x:c r="B294" s="38" t="str"/>
      <x:c r="C294" s="46"/>
      <x:c r="D294" s="39"/>
      <x:c r="E294" s="38" t="str"/>
      <x:c r="F294" s="38" t="str"/>
      <x:c r="G294" s="47" t="str">
        <x:f>IF(OR(C294="",F294="Pagado"),"",C294-TODAY())</x:f>
      </x:c>
    </x:row>
    <x:row r="295">
      <x:c r="A295" s="38" t="str"/>
      <x:c r="B295" s="38" t="str"/>
      <x:c r="C295" s="46"/>
      <x:c r="D295" s="39"/>
      <x:c r="E295" s="38" t="str"/>
      <x:c r="F295" s="38" t="str"/>
      <x:c r="G295" s="47" t="str">
        <x:f>IF(OR(C295="",F295="Pagado"),"",C295-TODAY())</x:f>
      </x:c>
    </x:row>
    <x:row r="296">
      <x:c r="A296" s="38" t="str"/>
      <x:c r="B296" s="38" t="str"/>
      <x:c r="C296" s="46"/>
      <x:c r="D296" s="39"/>
      <x:c r="E296" s="38" t="str"/>
      <x:c r="F296" s="38" t="str"/>
      <x:c r="G296" s="47" t="str">
        <x:f>IF(OR(C296="",F296="Pagado"),"",C296-TODAY())</x:f>
      </x:c>
    </x:row>
    <x:row r="297">
      <x:c r="A297" s="38" t="str"/>
      <x:c r="B297" s="38" t="str"/>
      <x:c r="C297" s="46"/>
      <x:c r="D297" s="39"/>
      <x:c r="E297" s="38" t="str"/>
      <x:c r="F297" s="38" t="str"/>
      <x:c r="G297" s="47" t="str">
        <x:f>IF(OR(C297="",F297="Pagado"),"",C297-TODAY())</x:f>
      </x:c>
    </x:row>
    <x:row r="298">
      <x:c r="A298" s="38" t="str"/>
      <x:c r="B298" s="38" t="str"/>
      <x:c r="C298" s="46"/>
      <x:c r="D298" s="39"/>
      <x:c r="E298" s="38" t="str"/>
      <x:c r="F298" s="38" t="str"/>
      <x:c r="G298" s="47" t="str">
        <x:f>IF(OR(C298="",F298="Pagado"),"",C298-TODAY())</x:f>
      </x:c>
    </x:row>
    <x:row r="299">
      <x:c r="A299" s="38" t="str"/>
      <x:c r="B299" s="38" t="str"/>
      <x:c r="C299" s="46"/>
      <x:c r="D299" s="39"/>
      <x:c r="E299" s="38" t="str"/>
      <x:c r="F299" s="38" t="str"/>
      <x:c r="G299" s="47" t="str">
        <x:f>IF(OR(C299="",F299="Pagado"),"",C299-TODAY())</x:f>
      </x:c>
    </x:row>
    <x:row r="300">
      <x:c r="A300" s="38" t="str"/>
      <x:c r="B300" s="38" t="str"/>
      <x:c r="C300" s="46"/>
      <x:c r="D300" s="39"/>
      <x:c r="E300" s="38" t="str"/>
      <x:c r="F300" s="38" t="str"/>
      <x:c r="G300" s="47" t="str">
        <x:f>IF(OR(C300="",F300="Pagado"),"",C300-TODAY())</x:f>
      </x:c>
    </x:row>
    <x:row r="301">
      <x:c r="A301" s="38" t="str"/>
      <x:c r="B301" s="38" t="str"/>
      <x:c r="C301" s="46"/>
      <x:c r="D301" s="39"/>
      <x:c r="E301" s="38" t="str"/>
      <x:c r="F301" s="38" t="str"/>
      <x:c r="G301" s="47" t="str">
        <x:f>IF(OR(C301="",F301="Pagado"),"",C301-TODAY())</x:f>
      </x:c>
    </x:row>
    <x:row r="302">
      <x:c r="A302" s="38" t="str"/>
      <x:c r="B302" s="38" t="str"/>
      <x:c r="C302" s="46"/>
      <x:c r="D302" s="39"/>
      <x:c r="E302" s="38" t="str"/>
      <x:c r="F302" s="38" t="str"/>
      <x:c r="G302" s="47" t="str">
        <x:f>IF(OR(C302="",F302="Pagado"),"",C302-TODAY())</x:f>
      </x:c>
    </x:row>
    <x:row r="303">
      <x:c r="A303" s="38" t="str"/>
      <x:c r="B303" s="38" t="str"/>
      <x:c r="C303" s="46"/>
      <x:c r="D303" s="39"/>
      <x:c r="E303" s="38" t="str"/>
      <x:c r="F303" s="38" t="str"/>
      <x:c r="G303" s="47" t="str">
        <x:f>IF(OR(C303="",F303="Pagado"),"",C303-TODAY())</x:f>
      </x:c>
    </x:row>
    <x:row r="304">
      <x:c r="A304" s="38" t="str"/>
      <x:c r="B304" s="38" t="str"/>
      <x:c r="C304" s="46"/>
      <x:c r="D304" s="39"/>
      <x:c r="E304" s="38" t="str"/>
      <x:c r="F304" s="38" t="str"/>
      <x:c r="G304" s="47" t="str">
        <x:f>IF(OR(C304="",F304="Pagado"),"",C304-TODAY())</x:f>
      </x:c>
    </x:row>
    <x:row r="305">
      <x:c r="A305" s="38" t="str"/>
      <x:c r="B305" s="38" t="str"/>
      <x:c r="C305" s="46"/>
      <x:c r="D305" s="39"/>
      <x:c r="E305" s="38" t="str"/>
      <x:c r="F305" s="38" t="str"/>
      <x:c r="G305" s="47" t="str">
        <x:f>IF(OR(C305="",F305="Pagado"),"",C305-TODAY())</x:f>
      </x:c>
    </x:row>
    <x:row r="306">
      <x:c r="A306" s="38" t="str"/>
      <x:c r="B306" s="38" t="str"/>
      <x:c r="C306" s="46"/>
      <x:c r="D306" s="39"/>
      <x:c r="E306" s="38" t="str"/>
      <x:c r="F306" s="38" t="str"/>
      <x:c r="G306" s="47" t="str">
        <x:f>IF(OR(C306="",F306="Pagado"),"",C306-TODAY())</x:f>
      </x:c>
    </x:row>
    <x:row r="307">
      <x:c r="A307" s="38" t="str"/>
      <x:c r="B307" s="38" t="str"/>
      <x:c r="C307" s="46"/>
      <x:c r="D307" s="39"/>
      <x:c r="E307" s="38" t="str"/>
      <x:c r="F307" s="38" t="str"/>
      <x:c r="G307" s="47" t="str">
        <x:f>IF(OR(C307="",F307="Pagado"),"",C307-TODAY())</x:f>
      </x:c>
    </x:row>
    <x:row r="308">
      <x:c r="A308" s="38" t="str"/>
      <x:c r="B308" s="38" t="str"/>
      <x:c r="C308" s="46"/>
      <x:c r="D308" s="39"/>
      <x:c r="E308" s="38" t="str"/>
      <x:c r="F308" s="38" t="str"/>
      <x:c r="G308" s="47" t="str">
        <x:f>IF(OR(C308="",F308="Pagado"),"",C308-TODAY())</x:f>
      </x:c>
    </x:row>
    <x:row r="309">
      <x:c r="A309" s="38" t="str"/>
      <x:c r="B309" s="38" t="str"/>
      <x:c r="C309" s="46"/>
      <x:c r="D309" s="39"/>
      <x:c r="E309" s="38" t="str"/>
      <x:c r="F309" s="38" t="str"/>
      <x:c r="G309" s="47" t="str">
        <x:f>IF(OR(C309="",F309="Pagado"),"",C309-TODAY())</x:f>
      </x:c>
    </x:row>
    <x:row r="310">
      <x:c r="A310" s="38" t="str"/>
      <x:c r="B310" s="38" t="str"/>
      <x:c r="C310" s="46"/>
      <x:c r="D310" s="39"/>
      <x:c r="E310" s="38" t="str"/>
      <x:c r="F310" s="38" t="str"/>
      <x:c r="G310" s="47" t="str">
        <x:f>IF(OR(C310="",F310="Pagado"),"",C310-TODAY())</x:f>
      </x:c>
    </x:row>
    <x:row r="311">
      <x:c r="A311" s="38" t="str"/>
      <x:c r="B311" s="38" t="str"/>
      <x:c r="C311" s="46"/>
      <x:c r="D311" s="39"/>
      <x:c r="E311" s="38" t="str"/>
      <x:c r="F311" s="38" t="str"/>
      <x:c r="G311" s="47" t="str">
        <x:f>IF(OR(C311="",F311="Pagado"),"",C311-TODAY())</x:f>
      </x:c>
    </x:row>
    <x:row r="312">
      <x:c r="A312" s="38" t="str"/>
      <x:c r="B312" s="38" t="str"/>
      <x:c r="C312" s="46"/>
      <x:c r="D312" s="39"/>
      <x:c r="E312" s="38" t="str"/>
      <x:c r="F312" s="38" t="str"/>
      <x:c r="G312" s="47" t="str">
        <x:f>IF(OR(C312="",F312="Pagado"),"",C312-TODAY())</x:f>
      </x:c>
    </x:row>
    <x:row r="313">
      <x:c r="A313" s="38" t="str"/>
      <x:c r="B313" s="38" t="str"/>
      <x:c r="C313" s="46"/>
      <x:c r="D313" s="39"/>
      <x:c r="E313" s="38" t="str"/>
      <x:c r="F313" s="38" t="str"/>
      <x:c r="G313" s="47" t="str">
        <x:f>IF(OR(C313="",F313="Pagado"),"",C313-TODAY())</x:f>
      </x:c>
    </x:row>
    <x:row r="314">
      <x:c r="A314" s="38" t="str"/>
      <x:c r="B314" s="38" t="str"/>
      <x:c r="C314" s="46"/>
      <x:c r="D314" s="39"/>
      <x:c r="E314" s="38" t="str"/>
      <x:c r="F314" s="38" t="str"/>
      <x:c r="G314" s="47" t="str">
        <x:f>IF(OR(C314="",F314="Pagado"),"",C314-TODAY())</x:f>
      </x:c>
    </x:row>
    <x:row r="315">
      <x:c r="A315" s="38" t="str"/>
      <x:c r="B315" s="38" t="str"/>
      <x:c r="C315" s="46"/>
      <x:c r="D315" s="39"/>
      <x:c r="E315" s="38" t="str"/>
      <x:c r="F315" s="38" t="str"/>
      <x:c r="G315" s="47" t="str">
        <x:f>IF(OR(C315="",F315="Pagado"),"",C315-TODAY())</x:f>
      </x:c>
    </x:row>
    <x:row r="316">
      <x:c r="A316" s="38" t="str"/>
      <x:c r="B316" s="38" t="str"/>
      <x:c r="C316" s="46"/>
      <x:c r="D316" s="39"/>
      <x:c r="E316" s="38" t="str"/>
      <x:c r="F316" s="38" t="str"/>
      <x:c r="G316" s="47" t="str">
        <x:f>IF(OR(C316="",F316="Pagado"),"",C316-TODAY())</x:f>
      </x:c>
    </x:row>
    <x:row r="317">
      <x:c r="A317" s="38" t="str"/>
      <x:c r="B317" s="38" t="str"/>
      <x:c r="C317" s="46"/>
      <x:c r="D317" s="39"/>
      <x:c r="E317" s="38" t="str"/>
      <x:c r="F317" s="38" t="str"/>
      <x:c r="G317" s="47" t="str">
        <x:f>IF(OR(C317="",F317="Pagado"),"",C317-TODAY())</x:f>
      </x:c>
    </x:row>
    <x:row r="318">
      <x:c r="A318" s="38" t="str"/>
      <x:c r="B318" s="38" t="str"/>
      <x:c r="C318" s="46"/>
      <x:c r="D318" s="39"/>
      <x:c r="E318" s="38" t="str"/>
      <x:c r="F318" s="38" t="str"/>
      <x:c r="G318" s="47" t="str">
        <x:f>IF(OR(C318="",F318="Pagado"),"",C318-TODAY())</x:f>
      </x:c>
    </x:row>
    <x:row r="319">
      <x:c r="A319" s="38" t="str"/>
      <x:c r="B319" s="38" t="str"/>
      <x:c r="C319" s="46"/>
      <x:c r="D319" s="39"/>
      <x:c r="E319" s="38" t="str"/>
      <x:c r="F319" s="38" t="str"/>
      <x:c r="G319" s="47" t="str">
        <x:f>IF(OR(C319="",F319="Pagado"),"",C319-TODAY())</x:f>
      </x:c>
    </x:row>
    <x:row r="320">
      <x:c r="A320" s="38" t="str"/>
      <x:c r="B320" s="38" t="str"/>
      <x:c r="C320" s="46"/>
      <x:c r="D320" s="39"/>
      <x:c r="E320" s="38" t="str"/>
      <x:c r="F320" s="38" t="str"/>
      <x:c r="G320" s="47" t="str">
        <x:f>IF(OR(C320="",F320="Pagado"),"",C320-TODAY())</x:f>
      </x:c>
    </x:row>
    <x:row r="321">
      <x:c r="A321" s="38" t="str"/>
      <x:c r="B321" s="38" t="str"/>
      <x:c r="C321" s="46"/>
      <x:c r="D321" s="39"/>
      <x:c r="E321" s="38" t="str"/>
      <x:c r="F321" s="38" t="str"/>
      <x:c r="G321" s="47" t="str">
        <x:f>IF(OR(C321="",F321="Pagado"),"",C321-TODAY())</x:f>
      </x:c>
    </x:row>
    <x:row r="322">
      <x:c r="A322" s="38" t="str"/>
      <x:c r="B322" s="38" t="str"/>
      <x:c r="C322" s="46"/>
      <x:c r="D322" s="39"/>
      <x:c r="E322" s="38" t="str"/>
      <x:c r="F322" s="38" t="str"/>
      <x:c r="G322" s="47" t="str">
        <x:f>IF(OR(C322="",F322="Pagado"),"",C322-TODAY())</x:f>
      </x:c>
    </x:row>
    <x:row r="323">
      <x:c r="A323" s="38" t="str"/>
      <x:c r="B323" s="38" t="str"/>
      <x:c r="C323" s="46"/>
      <x:c r="D323" s="39"/>
      <x:c r="E323" s="38" t="str"/>
      <x:c r="F323" s="38" t="str"/>
      <x:c r="G323" s="47" t="str">
        <x:f>IF(OR(C323="",F323="Pagado"),"",C323-TODAY())</x:f>
      </x:c>
    </x:row>
    <x:row r="324">
      <x:c r="A324" s="38" t="str"/>
      <x:c r="B324" s="38" t="str"/>
      <x:c r="C324" s="46"/>
      <x:c r="D324" s="39"/>
      <x:c r="E324" s="38" t="str"/>
      <x:c r="F324" s="38" t="str"/>
      <x:c r="G324" s="47" t="str">
        <x:f>IF(OR(C324="",F324="Pagado"),"",C324-TODAY())</x:f>
      </x:c>
    </x:row>
    <x:row r="325">
      <x:c r="A325" s="38" t="str"/>
      <x:c r="B325" s="38" t="str"/>
      <x:c r="C325" s="46"/>
      <x:c r="D325" s="39"/>
      <x:c r="E325" s="38" t="str"/>
      <x:c r="F325" s="38" t="str"/>
      <x:c r="G325" s="47" t="str">
        <x:f>IF(OR(C325="",F325="Pagado"),"",C325-TODAY())</x:f>
      </x:c>
    </x:row>
    <x:row r="326">
      <x:c r="A326" s="38" t="str"/>
      <x:c r="B326" s="38" t="str"/>
      <x:c r="C326" s="46"/>
      <x:c r="D326" s="39"/>
      <x:c r="E326" s="38" t="str"/>
      <x:c r="F326" s="38" t="str"/>
      <x:c r="G326" s="47" t="str">
        <x:f>IF(OR(C326="",F326="Pagado"),"",C326-TODAY())</x:f>
      </x:c>
    </x:row>
    <x:row r="327">
      <x:c r="A327" s="38" t="str"/>
      <x:c r="B327" s="38" t="str"/>
      <x:c r="C327" s="46"/>
      <x:c r="D327" s="39"/>
      <x:c r="E327" s="38" t="str"/>
      <x:c r="F327" s="38" t="str"/>
      <x:c r="G327" s="47" t="str">
        <x:f>IF(OR(C327="",F327="Pagado"),"",C327-TODAY())</x:f>
      </x:c>
    </x:row>
    <x:row r="328">
      <x:c r="A328" s="38" t="str"/>
      <x:c r="B328" s="38" t="str"/>
      <x:c r="C328" s="46"/>
      <x:c r="D328" s="39"/>
      <x:c r="E328" s="38" t="str"/>
      <x:c r="F328" s="38" t="str"/>
      <x:c r="G328" s="47" t="str">
        <x:f>IF(OR(C328="",F328="Pagado"),"",C328-TODAY())</x:f>
      </x:c>
    </x:row>
    <x:row r="329">
      <x:c r="A329" s="38" t="str"/>
      <x:c r="B329" s="38" t="str"/>
      <x:c r="C329" s="46"/>
      <x:c r="D329" s="39"/>
      <x:c r="E329" s="38" t="str"/>
      <x:c r="F329" s="38" t="str"/>
      <x:c r="G329" s="47" t="str">
        <x:f>IF(OR(C329="",F329="Pagado"),"",C329-TODAY())</x:f>
      </x:c>
    </x:row>
    <x:row r="330">
      <x:c r="A330" s="38" t="str"/>
      <x:c r="B330" s="38" t="str"/>
      <x:c r="C330" s="46"/>
      <x:c r="D330" s="39"/>
      <x:c r="E330" s="38" t="str"/>
      <x:c r="F330" s="38" t="str"/>
      <x:c r="G330" s="47" t="str">
        <x:f>IF(OR(C330="",F330="Pagado"),"",C330-TODAY())</x:f>
      </x:c>
    </x:row>
    <x:row r="331">
      <x:c r="A331" s="38" t="str"/>
      <x:c r="B331" s="38" t="str"/>
      <x:c r="C331" s="46"/>
      <x:c r="D331" s="39"/>
      <x:c r="E331" s="38" t="str"/>
      <x:c r="F331" s="38" t="str"/>
      <x:c r="G331" s="47" t="str">
        <x:f>IF(OR(C331="",F331="Pagado"),"",C331-TODAY())</x:f>
      </x:c>
    </x:row>
    <x:row r="332">
      <x:c r="A332" s="38" t="str"/>
      <x:c r="B332" s="38" t="str"/>
      <x:c r="C332" s="46"/>
      <x:c r="D332" s="39"/>
      <x:c r="E332" s="38" t="str"/>
      <x:c r="F332" s="38" t="str"/>
      <x:c r="G332" s="47" t="str">
        <x:f>IF(OR(C332="",F332="Pagado"),"",C332-TODAY())</x:f>
      </x:c>
    </x:row>
    <x:row r="333">
      <x:c r="A333" s="38" t="str"/>
      <x:c r="B333" s="38" t="str"/>
      <x:c r="C333" s="46"/>
      <x:c r="D333" s="39"/>
      <x:c r="E333" s="38" t="str"/>
      <x:c r="F333" s="38" t="str"/>
      <x:c r="G333" s="47" t="str">
        <x:f>IF(OR(C333="",F333="Pagado"),"",C333-TODAY())</x:f>
      </x:c>
    </x:row>
    <x:row r="334">
      <x:c r="A334" s="38" t="str"/>
      <x:c r="B334" s="38" t="str"/>
      <x:c r="C334" s="46"/>
      <x:c r="D334" s="39"/>
      <x:c r="E334" s="38" t="str"/>
      <x:c r="F334" s="38" t="str"/>
      <x:c r="G334" s="47" t="str">
        <x:f>IF(OR(C334="",F334="Pagado"),"",C334-TODAY())</x:f>
      </x:c>
    </x:row>
    <x:row r="335">
      <x:c r="A335" s="38" t="str"/>
      <x:c r="B335" s="38" t="str"/>
      <x:c r="C335" s="46"/>
      <x:c r="D335" s="39"/>
      <x:c r="E335" s="38" t="str"/>
      <x:c r="F335" s="38" t="str"/>
      <x:c r="G335" s="47" t="str">
        <x:f>IF(OR(C335="",F335="Pagado"),"",C335-TODAY())</x:f>
      </x:c>
    </x:row>
    <x:row r="336">
      <x:c r="A336" s="38" t="str"/>
      <x:c r="B336" s="38" t="str"/>
      <x:c r="C336" s="46"/>
      <x:c r="D336" s="39"/>
      <x:c r="E336" s="38" t="str"/>
      <x:c r="F336" s="38" t="str"/>
      <x:c r="G336" s="47" t="str">
        <x:f>IF(OR(C336="",F336="Pagado"),"",C336-TODAY())</x:f>
      </x:c>
    </x:row>
    <x:row r="337">
      <x:c r="A337" s="38" t="str"/>
      <x:c r="B337" s="38" t="str"/>
      <x:c r="C337" s="46"/>
      <x:c r="D337" s="39"/>
      <x:c r="E337" s="38" t="str"/>
      <x:c r="F337" s="38" t="str"/>
      <x:c r="G337" s="47" t="str">
        <x:f>IF(OR(C337="",F337="Pagado"),"",C337-TODAY())</x:f>
      </x:c>
    </x:row>
    <x:row r="338">
      <x:c r="A338" s="38" t="str"/>
      <x:c r="B338" s="38" t="str"/>
      <x:c r="C338" s="46"/>
      <x:c r="D338" s="39"/>
      <x:c r="E338" s="38" t="str"/>
      <x:c r="F338" s="38" t="str"/>
      <x:c r="G338" s="47" t="str">
        <x:f>IF(OR(C338="",F338="Pagado"),"",C338-TODAY())</x:f>
      </x:c>
    </x:row>
    <x:row r="339">
      <x:c r="A339" s="38" t="str"/>
      <x:c r="B339" s="38" t="str"/>
      <x:c r="C339" s="46"/>
      <x:c r="D339" s="39"/>
      <x:c r="E339" s="38" t="str"/>
      <x:c r="F339" s="38" t="str"/>
      <x:c r="G339" s="47" t="str">
        <x:f>IF(OR(C339="",F339="Pagado"),"",C339-TODAY())</x:f>
      </x:c>
    </x:row>
    <x:row r="340">
      <x:c r="A340" s="38" t="str"/>
      <x:c r="B340" s="38" t="str"/>
      <x:c r="C340" s="46"/>
      <x:c r="D340" s="39"/>
      <x:c r="E340" s="38" t="str"/>
      <x:c r="F340" s="38" t="str"/>
      <x:c r="G340" s="47" t="str">
        <x:f>IF(OR(C340="",F340="Pagado"),"",C340-TODAY())</x:f>
      </x:c>
    </x:row>
    <x:row r="341">
      <x:c r="A341" s="38" t="str"/>
      <x:c r="B341" s="38" t="str"/>
      <x:c r="C341" s="46"/>
      <x:c r="D341" s="39"/>
      <x:c r="E341" s="38" t="str"/>
      <x:c r="F341" s="38" t="str"/>
      <x:c r="G341" s="47" t="str">
        <x:f>IF(OR(C341="",F341="Pagado"),"",C341-TODAY())</x:f>
      </x:c>
    </x:row>
    <x:row r="342">
      <x:c r="A342" s="38" t="str"/>
      <x:c r="B342" s="38" t="str"/>
      <x:c r="C342" s="46"/>
      <x:c r="D342" s="39"/>
      <x:c r="E342" s="38" t="str"/>
      <x:c r="F342" s="38" t="str"/>
      <x:c r="G342" s="47" t="str">
        <x:f>IF(OR(C342="",F342="Pagado"),"",C342-TODAY())</x:f>
      </x:c>
    </x:row>
    <x:row r="343">
      <x:c r="A343" s="38" t="str"/>
      <x:c r="B343" s="38" t="str"/>
      <x:c r="C343" s="46"/>
      <x:c r="D343" s="39"/>
      <x:c r="E343" s="38" t="str"/>
      <x:c r="F343" s="38" t="str"/>
      <x:c r="G343" s="47" t="str">
        <x:f>IF(OR(C343="",F343="Pagado"),"",C343-TODAY())</x:f>
      </x:c>
    </x:row>
    <x:row r="344">
      <x:c r="A344" s="38" t="str"/>
      <x:c r="B344" s="38" t="str"/>
      <x:c r="C344" s="46"/>
      <x:c r="D344" s="39"/>
      <x:c r="E344" s="38" t="str"/>
      <x:c r="F344" s="38" t="str"/>
      <x:c r="G344" s="47" t="str">
        <x:f>IF(OR(C344="",F344="Pagado"),"",C344-TODAY())</x:f>
      </x:c>
    </x:row>
    <x:row r="345">
      <x:c r="A345" s="38" t="str"/>
      <x:c r="B345" s="38" t="str"/>
      <x:c r="C345" s="46"/>
      <x:c r="D345" s="39"/>
      <x:c r="E345" s="38" t="str"/>
      <x:c r="F345" s="38" t="str"/>
      <x:c r="G345" s="47" t="str">
        <x:f>IF(OR(C345="",F345="Pagado"),"",C345-TODAY())</x:f>
      </x:c>
    </x:row>
    <x:row r="346">
      <x:c r="A346" s="38" t="str"/>
      <x:c r="B346" s="38" t="str"/>
      <x:c r="C346" s="46"/>
      <x:c r="D346" s="39"/>
      <x:c r="E346" s="38" t="str"/>
      <x:c r="F346" s="38" t="str"/>
      <x:c r="G346" s="47" t="str">
        <x:f>IF(OR(C346="",F346="Pagado"),"",C346-TODAY())</x:f>
      </x:c>
    </x:row>
    <x:row r="347">
      <x:c r="A347" s="38" t="str"/>
      <x:c r="B347" s="38" t="str"/>
      <x:c r="C347" s="46"/>
      <x:c r="D347" s="39"/>
      <x:c r="E347" s="38" t="str"/>
      <x:c r="F347" s="38" t="str"/>
      <x:c r="G347" s="47" t="str">
        <x:f>IF(OR(C347="",F347="Pagado"),"",C347-TODAY())</x:f>
      </x:c>
    </x:row>
    <x:row r="348">
      <x:c r="A348" s="38" t="str"/>
      <x:c r="B348" s="38" t="str"/>
      <x:c r="C348" s="46"/>
      <x:c r="D348" s="39"/>
      <x:c r="E348" s="38" t="str"/>
      <x:c r="F348" s="38" t="str"/>
      <x:c r="G348" s="47" t="str">
        <x:f>IF(OR(C348="",F348="Pagado"),"",C348-TODAY())</x:f>
      </x:c>
    </x:row>
    <x:row r="349">
      <x:c r="A349" s="38" t="str"/>
      <x:c r="B349" s="38" t="str"/>
      <x:c r="C349" s="46"/>
      <x:c r="D349" s="39"/>
      <x:c r="E349" s="38" t="str"/>
      <x:c r="F349" s="38" t="str"/>
      <x:c r="G349" s="47" t="str">
        <x:f>IF(OR(C349="",F349="Pagado"),"",C349-TODAY())</x:f>
      </x:c>
    </x:row>
    <x:row r="350">
      <x:c r="A350" s="38" t="str"/>
      <x:c r="B350" s="38" t="str"/>
      <x:c r="C350" s="46"/>
      <x:c r="D350" s="39"/>
      <x:c r="E350" s="38" t="str"/>
      <x:c r="F350" s="38" t="str"/>
      <x:c r="G350" s="47" t="str">
        <x:f>IF(OR(C350="",F350="Pagado"),"",C350-TODAY())</x:f>
      </x:c>
    </x:row>
    <x:row r="351">
      <x:c r="A351" s="38" t="str"/>
      <x:c r="B351" s="38" t="str"/>
      <x:c r="C351" s="46"/>
      <x:c r="D351" s="39"/>
      <x:c r="E351" s="38" t="str"/>
      <x:c r="F351" s="38" t="str"/>
      <x:c r="G351" s="47" t="str">
        <x:f>IF(OR(C351="",F351="Pagado"),"",C351-TODAY())</x:f>
      </x:c>
    </x:row>
    <x:row r="352">
      <x:c r="A352" s="38" t="str"/>
      <x:c r="B352" s="38" t="str"/>
      <x:c r="C352" s="46"/>
      <x:c r="D352" s="39"/>
      <x:c r="E352" s="38" t="str"/>
      <x:c r="F352" s="38" t="str"/>
      <x:c r="G352" s="47" t="str">
        <x:f>IF(OR(C352="",F352="Pagado"),"",C352-TODAY())</x:f>
      </x:c>
    </x:row>
    <x:row r="353">
      <x:c r="A353" s="38" t="str"/>
      <x:c r="B353" s="38" t="str"/>
      <x:c r="C353" s="46"/>
      <x:c r="D353" s="39"/>
      <x:c r="E353" s="38" t="str"/>
      <x:c r="F353" s="38" t="str"/>
      <x:c r="G353" s="47" t="str">
        <x:f>IF(OR(C353="",F353="Pagado"),"",C353-TODAY())</x:f>
      </x:c>
    </x:row>
    <x:row r="354">
      <x:c r="A354" s="38" t="str"/>
      <x:c r="B354" s="38" t="str"/>
      <x:c r="C354" s="46"/>
      <x:c r="D354" s="39"/>
      <x:c r="E354" s="38" t="str"/>
      <x:c r="F354" s="38" t="str"/>
      <x:c r="G354" s="47" t="str">
        <x:f>IF(OR(C354="",F354="Pagado"),"",C354-TODAY())</x:f>
      </x:c>
    </x:row>
    <x:row r="355">
      <x:c r="A355" s="38" t="str"/>
      <x:c r="B355" s="38" t="str"/>
      <x:c r="C355" s="46"/>
      <x:c r="D355" s="39"/>
      <x:c r="E355" s="38" t="str"/>
      <x:c r="F355" s="38" t="str"/>
      <x:c r="G355" s="47" t="str">
        <x:f>IF(OR(C355="",F355="Pagado"),"",C355-TODAY())</x:f>
      </x:c>
    </x:row>
    <x:row r="356">
      <x:c r="A356" s="38" t="str"/>
      <x:c r="B356" s="38" t="str"/>
      <x:c r="C356" s="46"/>
      <x:c r="D356" s="39"/>
      <x:c r="E356" s="38" t="str"/>
      <x:c r="F356" s="38" t="str"/>
      <x:c r="G356" s="47" t="str">
        <x:f>IF(OR(C356="",F356="Pagado"),"",C356-TODAY())</x:f>
      </x:c>
    </x:row>
    <x:row r="357">
      <x:c r="A357" s="38" t="str"/>
      <x:c r="B357" s="38" t="str"/>
      <x:c r="C357" s="46"/>
      <x:c r="D357" s="39"/>
      <x:c r="E357" s="38" t="str"/>
      <x:c r="F357" s="38" t="str"/>
      <x:c r="G357" s="47" t="str">
        <x:f>IF(OR(C357="",F357="Pagado"),"",C357-TODAY())</x:f>
      </x:c>
    </x:row>
    <x:row r="358">
      <x:c r="A358" s="38" t="str"/>
      <x:c r="B358" s="38" t="str"/>
      <x:c r="C358" s="46"/>
      <x:c r="D358" s="39"/>
      <x:c r="E358" s="38" t="str"/>
      <x:c r="F358" s="38" t="str"/>
      <x:c r="G358" s="47" t="str">
        <x:f>IF(OR(C358="",F358="Pagado"),"",C358-TODAY())</x:f>
      </x:c>
    </x:row>
    <x:row r="359">
      <x:c r="A359" s="38" t="str"/>
      <x:c r="B359" s="38" t="str"/>
      <x:c r="C359" s="46"/>
      <x:c r="D359" s="39"/>
      <x:c r="E359" s="38" t="str"/>
      <x:c r="F359" s="38" t="str"/>
      <x:c r="G359" s="47" t="str">
        <x:f>IF(OR(C359="",F359="Pagado"),"",C359-TODAY())</x:f>
      </x:c>
    </x:row>
    <x:row r="360">
      <x:c r="A360" s="38" t="str"/>
      <x:c r="B360" s="38" t="str"/>
      <x:c r="C360" s="46"/>
      <x:c r="D360" s="39"/>
      <x:c r="E360" s="38" t="str"/>
      <x:c r="F360" s="38" t="str"/>
      <x:c r="G360" s="47" t="str">
        <x:f>IF(OR(C360="",F360="Pagado"),"",C360-TODAY())</x:f>
      </x:c>
    </x:row>
    <x:row r="361">
      <x:c r="A361" s="38" t="str"/>
      <x:c r="B361" s="38" t="str"/>
      <x:c r="C361" s="46"/>
      <x:c r="D361" s="39"/>
      <x:c r="E361" s="38" t="str"/>
      <x:c r="F361" s="38" t="str"/>
      <x:c r="G361" s="47" t="str">
        <x:f>IF(OR(C361="",F361="Pagado"),"",C361-TODAY())</x:f>
      </x:c>
    </x:row>
    <x:row r="362">
      <x:c r="A362" s="38" t="str"/>
      <x:c r="B362" s="38" t="str"/>
      <x:c r="C362" s="46"/>
      <x:c r="D362" s="39"/>
      <x:c r="E362" s="38" t="str"/>
      <x:c r="F362" s="38" t="str"/>
      <x:c r="G362" s="47" t="str">
        <x:f>IF(OR(C362="",F362="Pagado"),"",C362-TODAY())</x:f>
      </x:c>
    </x:row>
    <x:row r="363">
      <x:c r="A363" s="38" t="str"/>
      <x:c r="B363" s="38" t="str"/>
      <x:c r="C363" s="46"/>
      <x:c r="D363" s="39"/>
      <x:c r="E363" s="38" t="str"/>
      <x:c r="F363" s="38" t="str"/>
      <x:c r="G363" s="47" t="str">
        <x:f>IF(OR(C363="",F363="Pagado"),"",C363-TODAY())</x:f>
      </x:c>
    </x:row>
    <x:row r="364">
      <x:c r="A364" s="38" t="str"/>
      <x:c r="B364" s="38" t="str"/>
      <x:c r="C364" s="46"/>
      <x:c r="D364" s="39"/>
      <x:c r="E364" s="38" t="str"/>
      <x:c r="F364" s="38" t="str"/>
      <x:c r="G364" s="47" t="str">
        <x:f>IF(OR(C364="",F364="Pagado"),"",C364-TODAY())</x:f>
      </x:c>
    </x:row>
    <x:row r="365">
      <x:c r="A365" s="38" t="str"/>
      <x:c r="B365" s="38" t="str"/>
      <x:c r="C365" s="46"/>
      <x:c r="D365" s="39"/>
      <x:c r="E365" s="38" t="str"/>
      <x:c r="F365" s="38" t="str"/>
      <x:c r="G365" s="47" t="str">
        <x:f>IF(OR(C365="",F365="Pagado"),"",C365-TODAY())</x:f>
      </x:c>
    </x:row>
    <x:row r="366">
      <x:c r="A366" s="38" t="str"/>
      <x:c r="B366" s="38" t="str"/>
      <x:c r="C366" s="46"/>
      <x:c r="D366" s="39"/>
      <x:c r="E366" s="38" t="str"/>
      <x:c r="F366" s="38" t="str"/>
      <x:c r="G366" s="47" t="str">
        <x:f>IF(OR(C366="",F366="Pagado"),"",C366-TODAY())</x:f>
      </x:c>
    </x:row>
    <x:row r="367">
      <x:c r="A367" s="38" t="str"/>
      <x:c r="B367" s="38" t="str"/>
      <x:c r="C367" s="46"/>
      <x:c r="D367" s="39"/>
      <x:c r="E367" s="38" t="str"/>
      <x:c r="F367" s="38" t="str"/>
      <x:c r="G367" s="47" t="str">
        <x:f>IF(OR(C367="",F367="Pagado"),"",C367-TODAY())</x:f>
      </x:c>
    </x:row>
    <x:row r="368">
      <x:c r="A368" s="38" t="str"/>
      <x:c r="B368" s="38" t="str"/>
      <x:c r="C368" s="46"/>
      <x:c r="D368" s="39"/>
      <x:c r="E368" s="38" t="str"/>
      <x:c r="F368" s="38" t="str"/>
      <x:c r="G368" s="47" t="str">
        <x:f>IF(OR(C368="",F368="Pagado"),"",C368-TODAY())</x:f>
      </x:c>
    </x:row>
    <x:row r="369">
      <x:c r="A369" s="38" t="str"/>
      <x:c r="B369" s="38" t="str"/>
      <x:c r="C369" s="46"/>
      <x:c r="D369" s="39"/>
      <x:c r="E369" s="38" t="str"/>
      <x:c r="F369" s="38" t="str"/>
      <x:c r="G369" s="47" t="str">
        <x:f>IF(OR(C369="",F369="Pagado"),"",C369-TODAY())</x:f>
      </x:c>
    </x:row>
    <x:row r="370">
      <x:c r="A370" s="38" t="str"/>
      <x:c r="B370" s="38" t="str"/>
      <x:c r="C370" s="46"/>
      <x:c r="D370" s="39"/>
      <x:c r="E370" s="38" t="str"/>
      <x:c r="F370" s="38" t="str"/>
      <x:c r="G370" s="47" t="str">
        <x:f>IF(OR(C370="",F370="Pagado"),"",C370-TODAY())</x:f>
      </x:c>
    </x:row>
    <x:row r="371">
      <x:c r="A371" s="38" t="str"/>
      <x:c r="B371" s="38" t="str"/>
      <x:c r="C371" s="46"/>
      <x:c r="D371" s="39"/>
      <x:c r="E371" s="38" t="str"/>
      <x:c r="F371" s="38" t="str"/>
      <x:c r="G371" s="47" t="str">
        <x:f>IF(OR(C371="",F371="Pagado"),"",C371-TODAY())</x:f>
      </x:c>
    </x:row>
    <x:row r="372">
      <x:c r="A372" s="38" t="str"/>
      <x:c r="B372" s="38" t="str"/>
      <x:c r="C372" s="46"/>
      <x:c r="D372" s="39"/>
      <x:c r="E372" s="38" t="str"/>
      <x:c r="F372" s="38" t="str"/>
      <x:c r="G372" s="47" t="str">
        <x:f>IF(OR(C372="",F372="Pagado"),"",C372-TODAY())</x:f>
      </x:c>
    </x:row>
    <x:row r="373">
      <x:c r="A373" s="38" t="str"/>
      <x:c r="B373" s="38" t="str"/>
      <x:c r="C373" s="46"/>
      <x:c r="D373" s="39"/>
      <x:c r="E373" s="38" t="str"/>
      <x:c r="F373" s="38" t="str"/>
      <x:c r="G373" s="47" t="str">
        <x:f>IF(OR(C373="",F373="Pagado"),"",C373-TODAY())</x:f>
      </x:c>
    </x:row>
    <x:row r="374">
      <x:c r="A374" s="38" t="str"/>
      <x:c r="B374" s="38" t="str"/>
      <x:c r="C374" s="46"/>
      <x:c r="D374" s="39"/>
      <x:c r="E374" s="38" t="str"/>
      <x:c r="F374" s="38" t="str"/>
      <x:c r="G374" s="47" t="str">
        <x:f>IF(OR(C374="",F374="Pagado"),"",C374-TODAY())</x:f>
      </x:c>
    </x:row>
    <x:row r="375">
      <x:c r="A375" s="38" t="str"/>
      <x:c r="B375" s="38" t="str"/>
      <x:c r="C375" s="46"/>
      <x:c r="D375" s="39"/>
      <x:c r="E375" s="38" t="str"/>
      <x:c r="F375" s="38" t="str"/>
      <x:c r="G375" s="47" t="str">
        <x:f>IF(OR(C375="",F375="Pagado"),"",C375-TODAY())</x:f>
      </x:c>
    </x:row>
    <x:row r="376">
      <x:c r="A376" s="38" t="str"/>
      <x:c r="B376" s="38" t="str"/>
      <x:c r="C376" s="46"/>
      <x:c r="D376" s="39"/>
      <x:c r="E376" s="38" t="str"/>
      <x:c r="F376" s="38" t="str"/>
      <x:c r="G376" s="47" t="str">
        <x:f>IF(OR(C376="",F376="Pagado"),"",C376-TODAY())</x:f>
      </x:c>
    </x:row>
    <x:row r="377">
      <x:c r="A377" s="38" t="str"/>
      <x:c r="B377" s="38" t="str"/>
      <x:c r="C377" s="46"/>
      <x:c r="D377" s="39"/>
      <x:c r="E377" s="38" t="str"/>
      <x:c r="F377" s="38" t="str"/>
      <x:c r="G377" s="47" t="str">
        <x:f>IF(OR(C377="",F377="Pagado"),"",C377-TODAY())</x:f>
      </x:c>
    </x:row>
    <x:row r="378">
      <x:c r="A378" s="38" t="str"/>
      <x:c r="B378" s="38" t="str"/>
      <x:c r="C378" s="46"/>
      <x:c r="D378" s="39"/>
      <x:c r="E378" s="38" t="str"/>
      <x:c r="F378" s="38" t="str"/>
      <x:c r="G378" s="47" t="str">
        <x:f>IF(OR(C378="",F378="Pagado"),"",C378-TODAY())</x:f>
      </x:c>
    </x:row>
    <x:row r="379">
      <x:c r="A379" s="38" t="str"/>
      <x:c r="B379" s="38" t="str"/>
      <x:c r="C379" s="46"/>
      <x:c r="D379" s="39"/>
      <x:c r="E379" s="38" t="str"/>
      <x:c r="F379" s="38" t="str"/>
      <x:c r="G379" s="47" t="str">
        <x:f>IF(OR(C379="",F379="Pagado"),"",C379-TODAY())</x:f>
      </x:c>
    </x:row>
    <x:row r="380">
      <x:c r="A380" s="38" t="str"/>
      <x:c r="B380" s="38" t="str"/>
      <x:c r="C380" s="46"/>
      <x:c r="D380" s="39"/>
      <x:c r="E380" s="38" t="str"/>
      <x:c r="F380" s="38" t="str"/>
      <x:c r="G380" s="47" t="str">
        <x:f>IF(OR(C380="",F380="Pagado"),"",C380-TODAY())</x:f>
      </x:c>
    </x:row>
    <x:row r="381">
      <x:c r="A381" s="38" t="str"/>
      <x:c r="B381" s="38" t="str"/>
      <x:c r="C381" s="46"/>
      <x:c r="D381" s="39"/>
      <x:c r="E381" s="38" t="str"/>
      <x:c r="F381" s="38" t="str"/>
      <x:c r="G381" s="47" t="str">
        <x:f>IF(OR(C381="",F381="Pagado"),"",C381-TODAY())</x:f>
      </x:c>
    </x:row>
    <x:row r="382">
      <x:c r="A382" s="38" t="str"/>
      <x:c r="B382" s="38" t="str"/>
      <x:c r="C382" s="46"/>
      <x:c r="D382" s="39"/>
      <x:c r="E382" s="38" t="str"/>
      <x:c r="F382" s="38" t="str"/>
      <x:c r="G382" s="47" t="str">
        <x:f>IF(OR(C382="",F382="Pagado"),"",C382-TODAY())</x:f>
      </x:c>
    </x:row>
    <x:row r="383">
      <x:c r="A383" s="38" t="str"/>
      <x:c r="B383" s="38" t="str"/>
      <x:c r="C383" s="46"/>
      <x:c r="D383" s="39"/>
      <x:c r="E383" s="38" t="str"/>
      <x:c r="F383" s="38" t="str"/>
      <x:c r="G383" s="47" t="str">
        <x:f>IF(OR(C383="",F383="Pagado"),"",C383-TODAY())</x:f>
      </x:c>
    </x:row>
    <x:row r="384">
      <x:c r="A384" s="38" t="str"/>
      <x:c r="B384" s="38" t="str"/>
      <x:c r="C384" s="46"/>
      <x:c r="D384" s="39"/>
      <x:c r="E384" s="38" t="str"/>
      <x:c r="F384" s="38" t="str"/>
      <x:c r="G384" s="47" t="str">
        <x:f>IF(OR(C384="",F384="Pagado"),"",C384-TODAY())</x:f>
      </x:c>
    </x:row>
    <x:row r="385">
      <x:c r="A385" s="38" t="str"/>
      <x:c r="B385" s="38" t="str"/>
      <x:c r="C385" s="46"/>
      <x:c r="D385" s="39"/>
      <x:c r="E385" s="38" t="str"/>
      <x:c r="F385" s="38" t="str"/>
      <x:c r="G385" s="47" t="str">
        <x:f>IF(OR(C385="",F385="Pagado"),"",C385-TODAY())</x:f>
      </x:c>
    </x:row>
    <x:row r="386">
      <x:c r="A386" s="38" t="str"/>
      <x:c r="B386" s="38" t="str"/>
      <x:c r="C386" s="46"/>
      <x:c r="D386" s="39"/>
      <x:c r="E386" s="38" t="str"/>
      <x:c r="F386" s="38" t="str"/>
      <x:c r="G386" s="47" t="str">
        <x:f>IF(OR(C386="",F386="Pagado"),"",C386-TODAY())</x:f>
      </x:c>
    </x:row>
    <x:row r="387">
      <x:c r="A387" s="38" t="str"/>
      <x:c r="B387" s="38" t="str"/>
      <x:c r="C387" s="46"/>
      <x:c r="D387" s="39"/>
      <x:c r="E387" s="38" t="str"/>
      <x:c r="F387" s="38" t="str"/>
      <x:c r="G387" s="47" t="str">
        <x:f>IF(OR(C387="",F387="Pagado"),"",C387-TODAY())</x:f>
      </x:c>
    </x:row>
    <x:row r="388">
      <x:c r="A388" s="38" t="str"/>
      <x:c r="B388" s="38" t="str"/>
      <x:c r="C388" s="46"/>
      <x:c r="D388" s="39"/>
      <x:c r="E388" s="38" t="str"/>
      <x:c r="F388" s="38" t="str"/>
      <x:c r="G388" s="47" t="str">
        <x:f>IF(OR(C388="",F388="Pagado"),"",C388-TODAY())</x:f>
      </x:c>
    </x:row>
    <x:row r="389">
      <x:c r="A389" s="38" t="str"/>
      <x:c r="B389" s="38" t="str"/>
      <x:c r="C389" s="46"/>
      <x:c r="D389" s="39"/>
      <x:c r="E389" s="38" t="str"/>
      <x:c r="F389" s="38" t="str"/>
      <x:c r="G389" s="47" t="str">
        <x:f>IF(OR(C389="",F389="Pagado"),"",C389-TODAY())</x:f>
      </x:c>
    </x:row>
    <x:row r="390">
      <x:c r="A390" s="38" t="str"/>
      <x:c r="B390" s="38" t="str"/>
      <x:c r="C390" s="46"/>
      <x:c r="D390" s="39"/>
      <x:c r="E390" s="38" t="str"/>
      <x:c r="F390" s="38" t="str"/>
      <x:c r="G390" s="47" t="str">
        <x:f>IF(OR(C390="",F390="Pagado"),"",C390-TODAY())</x:f>
      </x:c>
    </x:row>
    <x:row r="391">
      <x:c r="A391" s="38" t="str"/>
      <x:c r="B391" s="38" t="str"/>
      <x:c r="C391" s="46"/>
      <x:c r="D391" s="39"/>
      <x:c r="E391" s="38" t="str"/>
      <x:c r="F391" s="38" t="str"/>
      <x:c r="G391" s="47" t="str">
        <x:f>IF(OR(C391="",F391="Pagado"),"",C391-TODAY())</x:f>
      </x:c>
    </x:row>
    <x:row r="392">
      <x:c r="A392" s="38" t="str"/>
      <x:c r="B392" s="38" t="str"/>
      <x:c r="C392" s="46"/>
      <x:c r="D392" s="39"/>
      <x:c r="E392" s="38" t="str"/>
      <x:c r="F392" s="38" t="str"/>
      <x:c r="G392" s="47" t="str">
        <x:f>IF(OR(C392="",F392="Pagado"),"",C392-TODAY())</x:f>
      </x:c>
    </x:row>
    <x:row r="393">
      <x:c r="A393" s="38" t="str"/>
      <x:c r="B393" s="38" t="str"/>
      <x:c r="C393" s="46"/>
      <x:c r="D393" s="39"/>
      <x:c r="E393" s="38" t="str"/>
      <x:c r="F393" s="38" t="str"/>
      <x:c r="G393" s="47" t="str">
        <x:f>IF(OR(C393="",F393="Pagado"),"",C393-TODAY())</x:f>
      </x:c>
    </x:row>
    <x:row r="394">
      <x:c r="A394" s="38" t="str"/>
      <x:c r="B394" s="38" t="str"/>
      <x:c r="C394" s="46"/>
      <x:c r="D394" s="39"/>
      <x:c r="E394" s="38" t="str"/>
      <x:c r="F394" s="38" t="str"/>
      <x:c r="G394" s="47" t="str">
        <x:f>IF(OR(C394="",F394="Pagado"),"",C394-TODAY())</x:f>
      </x:c>
    </x:row>
    <x:row r="395">
      <x:c r="A395" s="38" t="str"/>
      <x:c r="B395" s="38" t="str"/>
      <x:c r="C395" s="46"/>
      <x:c r="D395" s="39"/>
      <x:c r="E395" s="38" t="str"/>
      <x:c r="F395" s="38" t="str"/>
      <x:c r="G395" s="47" t="str">
        <x:f>IF(OR(C395="",F395="Pagado"),"",C395-TODAY())</x:f>
      </x:c>
    </x:row>
    <x:row r="396">
      <x:c r="A396" s="38" t="str"/>
      <x:c r="B396" s="38" t="str"/>
      <x:c r="C396" s="46"/>
      <x:c r="D396" s="39"/>
      <x:c r="E396" s="38" t="str"/>
      <x:c r="F396" s="38" t="str"/>
      <x:c r="G396" s="47" t="str">
        <x:f>IF(OR(C396="",F396="Pagado"),"",C396-TODAY())</x:f>
      </x:c>
    </x:row>
    <x:row r="397">
      <x:c r="A397" s="38" t="str"/>
      <x:c r="B397" s="38" t="str"/>
      <x:c r="C397" s="46"/>
      <x:c r="D397" s="39"/>
      <x:c r="E397" s="38" t="str"/>
      <x:c r="F397" s="38" t="str"/>
      <x:c r="G397" s="47" t="str">
        <x:f>IF(OR(C397="",F397="Pagado"),"",C397-TODAY())</x:f>
      </x:c>
    </x:row>
    <x:row r="398">
      <x:c r="A398" s="38" t="str"/>
      <x:c r="B398" s="38" t="str"/>
      <x:c r="C398" s="46"/>
      <x:c r="D398" s="39"/>
      <x:c r="E398" s="38" t="str"/>
      <x:c r="F398" s="38" t="str"/>
      <x:c r="G398" s="47" t="str">
        <x:f>IF(OR(C398="",F398="Pagado"),"",C398-TODAY())</x:f>
      </x:c>
    </x:row>
    <x:row r="399">
      <x:c r="A399" s="38" t="str"/>
      <x:c r="B399" s="38" t="str"/>
      <x:c r="C399" s="46"/>
      <x:c r="D399" s="39"/>
      <x:c r="E399" s="38" t="str"/>
      <x:c r="F399" s="38" t="str"/>
      <x:c r="G399" s="47" t="str">
        <x:f>IF(OR(C399="",F399="Pagado"),"",C399-TODAY())</x:f>
      </x:c>
    </x:row>
    <x:row r="400">
      <x:c r="A400" s="38" t="str"/>
      <x:c r="B400" s="38" t="str"/>
      <x:c r="C400" s="46"/>
      <x:c r="D400" s="39"/>
      <x:c r="E400" s="38" t="str"/>
      <x:c r="F400" s="38" t="str"/>
      <x:c r="G400" s="47" t="str">
        <x:f>IF(OR(C400="",F400="Pagado"),"",C400-TODAY())</x:f>
      </x:c>
    </x:row>
    <x:row r="401">
      <x:c r="A401" s="38" t="str"/>
      <x:c r="B401" s="38" t="str"/>
      <x:c r="C401" s="46"/>
      <x:c r="D401" s="39"/>
      <x:c r="E401" s="38" t="str"/>
      <x:c r="F401" s="38" t="str"/>
      <x:c r="G401" s="47" t="str">
        <x:f>IF(OR(C401="",F401="Pagado"),"",C401-TODAY())</x:f>
      </x:c>
    </x:row>
    <x:row r="402">
      <x:c r="A402" s="38" t="str"/>
      <x:c r="B402" s="38" t="str"/>
      <x:c r="C402" s="46"/>
      <x:c r="D402" s="39"/>
      <x:c r="E402" s="38" t="str"/>
      <x:c r="F402" s="38" t="str"/>
      <x:c r="G402" s="47" t="str">
        <x:f>IF(OR(C402="",F402="Pagado"),"",C402-TODAY())</x:f>
      </x:c>
    </x:row>
    <x:row r="403">
      <x:c r="A403" s="38" t="str"/>
      <x:c r="B403" s="38" t="str"/>
      <x:c r="C403" s="46"/>
      <x:c r="D403" s="39"/>
      <x:c r="E403" s="38" t="str"/>
      <x:c r="F403" s="38" t="str"/>
      <x:c r="G403" s="47" t="str">
        <x:f>IF(OR(C403="",F403="Pagado"),"",C403-TODAY())</x:f>
      </x:c>
    </x:row>
    <x:row r="404">
      <x:c r="A404" s="38" t="str"/>
      <x:c r="B404" s="38" t="str"/>
      <x:c r="C404" s="46"/>
      <x:c r="D404" s="39"/>
      <x:c r="E404" s="38" t="str"/>
      <x:c r="F404" s="38" t="str"/>
      <x:c r="G404" s="47" t="str">
        <x:f>IF(OR(C404="",F404="Pagado"),"",C404-TODAY())</x:f>
      </x:c>
    </x:row>
    <x:row r="405">
      <x:c r="A405" s="38" t="str"/>
      <x:c r="B405" s="38" t="str"/>
      <x:c r="C405" s="46"/>
      <x:c r="D405" s="39"/>
      <x:c r="E405" s="38" t="str"/>
      <x:c r="F405" s="38" t="str"/>
      <x:c r="G405" s="47" t="str">
        <x:f>IF(OR(C405="",F405="Pagado"),"",C405-TODAY())</x:f>
      </x:c>
    </x:row>
    <x:row r="406">
      <x:c r="A406" s="38" t="str"/>
      <x:c r="B406" s="38" t="str"/>
      <x:c r="C406" s="46"/>
      <x:c r="D406" s="39"/>
      <x:c r="E406" s="38" t="str"/>
      <x:c r="F406" s="38" t="str"/>
      <x:c r="G406" s="47" t="str">
        <x:f>IF(OR(C406="",F406="Pagado"),"",C406-TODAY())</x:f>
      </x:c>
    </x:row>
    <x:row r="407">
      <x:c r="A407" s="38" t="str"/>
      <x:c r="B407" s="38" t="str"/>
      <x:c r="C407" s="46"/>
      <x:c r="D407" s="39"/>
      <x:c r="E407" s="38" t="str"/>
      <x:c r="F407" s="38" t="str"/>
      <x:c r="G407" s="47" t="str">
        <x:f>IF(OR(C407="",F407="Pagado"),"",C407-TODAY())</x:f>
      </x:c>
    </x:row>
    <x:row r="408">
      <x:c r="A408" s="38" t="str"/>
      <x:c r="B408" s="38" t="str"/>
      <x:c r="C408" s="46"/>
      <x:c r="D408" s="39"/>
      <x:c r="E408" s="38" t="str"/>
      <x:c r="F408" s="38" t="str"/>
      <x:c r="G408" s="47" t="str">
        <x:f>IF(OR(C408="",F408="Pagado"),"",C408-TODAY())</x:f>
      </x:c>
    </x:row>
    <x:row r="409">
      <x:c r="A409" s="38" t="str"/>
      <x:c r="B409" s="38" t="str"/>
      <x:c r="C409" s="46"/>
      <x:c r="D409" s="39"/>
      <x:c r="E409" s="38" t="str"/>
      <x:c r="F409" s="38" t="str"/>
      <x:c r="G409" s="47" t="str">
        <x:f>IF(OR(C409="",F409="Pagado"),"",C409-TODAY())</x:f>
      </x:c>
    </x:row>
    <x:row r="410">
      <x:c r="A410" s="38" t="str"/>
      <x:c r="B410" s="38" t="str"/>
      <x:c r="C410" s="46"/>
      <x:c r="D410" s="39"/>
      <x:c r="E410" s="38" t="str"/>
      <x:c r="F410" s="38" t="str"/>
      <x:c r="G410" s="47" t="str">
        <x:f>IF(OR(C410="",F410="Pagado"),"",C410-TODAY())</x:f>
      </x:c>
    </x:row>
    <x:row r="411">
      <x:c r="A411" s="38" t="str"/>
      <x:c r="B411" s="38" t="str"/>
      <x:c r="C411" s="46"/>
      <x:c r="D411" s="39"/>
      <x:c r="E411" s="38" t="str"/>
      <x:c r="F411" s="38" t="str"/>
      <x:c r="G411" s="47" t="str">
        <x:f>IF(OR(C411="",F411="Pagado"),"",C411-TODAY())</x:f>
      </x:c>
    </x:row>
    <x:row r="412">
      <x:c r="A412" s="38" t="str"/>
      <x:c r="B412" s="38" t="str"/>
      <x:c r="C412" s="46"/>
      <x:c r="D412" s="39"/>
      <x:c r="E412" s="38" t="str"/>
      <x:c r="F412" s="38" t="str"/>
      <x:c r="G412" s="47" t="str">
        <x:f>IF(OR(C412="",F412="Pagado"),"",C412-TODAY())</x:f>
      </x:c>
    </x:row>
    <x:row r="413">
      <x:c r="A413" s="38" t="str"/>
      <x:c r="B413" s="38" t="str"/>
      <x:c r="C413" s="46"/>
      <x:c r="D413" s="39"/>
      <x:c r="E413" s="38" t="str"/>
      <x:c r="F413" s="38" t="str"/>
      <x:c r="G413" s="47" t="str">
        <x:f>IF(OR(C413="",F413="Pagado"),"",C413-TODAY())</x:f>
      </x:c>
    </x:row>
    <x:row r="414">
      <x:c r="A414" s="38" t="str"/>
      <x:c r="B414" s="38" t="str"/>
      <x:c r="C414" s="46"/>
      <x:c r="D414" s="39"/>
      <x:c r="E414" s="38" t="str"/>
      <x:c r="F414" s="38" t="str"/>
      <x:c r="G414" s="47" t="str">
        <x:f>IF(OR(C414="",F414="Pagado"),"",C414-TODAY())</x:f>
      </x:c>
    </x:row>
    <x:row r="415">
      <x:c r="A415" s="38" t="str"/>
      <x:c r="B415" s="38" t="str"/>
      <x:c r="C415" s="46"/>
      <x:c r="D415" s="39"/>
      <x:c r="E415" s="38" t="str"/>
      <x:c r="F415" s="38" t="str"/>
      <x:c r="G415" s="47" t="str">
        <x:f>IF(OR(C415="",F415="Pagado"),"",C415-TODAY())</x:f>
      </x:c>
    </x:row>
    <x:row r="416">
      <x:c r="A416" s="38" t="str"/>
      <x:c r="B416" s="38" t="str"/>
      <x:c r="C416" s="46"/>
      <x:c r="D416" s="39"/>
      <x:c r="E416" s="38" t="str"/>
      <x:c r="F416" s="38" t="str"/>
      <x:c r="G416" s="47" t="str">
        <x:f>IF(OR(C416="",F416="Pagado"),"",C416-TODAY())</x:f>
      </x:c>
    </x:row>
    <x:row r="417">
      <x:c r="A417" s="38" t="str"/>
      <x:c r="B417" s="38" t="str"/>
      <x:c r="C417" s="46"/>
      <x:c r="D417" s="39"/>
      <x:c r="E417" s="38" t="str"/>
      <x:c r="F417" s="38" t="str"/>
      <x:c r="G417" s="47" t="str">
        <x:f>IF(OR(C417="",F417="Pagado"),"",C417-TODAY())</x:f>
      </x:c>
    </x:row>
    <x:row r="418">
      <x:c r="A418" s="38" t="str"/>
      <x:c r="B418" s="38" t="str"/>
      <x:c r="C418" s="46"/>
      <x:c r="D418" s="39"/>
      <x:c r="E418" s="38" t="str"/>
      <x:c r="F418" s="38" t="str"/>
      <x:c r="G418" s="47" t="str">
        <x:f>IF(OR(C418="",F418="Pagado"),"",C418-TODAY())</x:f>
      </x:c>
    </x:row>
    <x:row r="419">
      <x:c r="A419" s="38" t="str"/>
      <x:c r="B419" s="38" t="str"/>
      <x:c r="C419" s="46"/>
      <x:c r="D419" s="39"/>
      <x:c r="E419" s="38" t="str"/>
      <x:c r="F419" s="38" t="str"/>
      <x:c r="G419" s="47" t="str">
        <x:f>IF(OR(C419="",F419="Pagado"),"",C419-TODAY())</x:f>
      </x:c>
    </x:row>
    <x:row r="420">
      <x:c r="A420" s="38" t="str"/>
      <x:c r="B420" s="38" t="str"/>
      <x:c r="C420" s="46"/>
      <x:c r="D420" s="39"/>
      <x:c r="E420" s="38" t="str"/>
      <x:c r="F420" s="38" t="str"/>
      <x:c r="G420" s="47" t="str">
        <x:f>IF(OR(C420="",F420="Pagado"),"",C420-TODAY())</x:f>
      </x:c>
    </x:row>
    <x:row r="421">
      <x:c r="A421" s="38" t="str"/>
      <x:c r="B421" s="38" t="str"/>
      <x:c r="C421" s="46"/>
      <x:c r="D421" s="39"/>
      <x:c r="E421" s="38" t="str"/>
      <x:c r="F421" s="38" t="str"/>
      <x:c r="G421" s="47" t="str">
        <x:f>IF(OR(C421="",F421="Pagado"),"",C421-TODAY())</x:f>
      </x:c>
    </x:row>
    <x:row r="422">
      <x:c r="A422" s="38" t="str"/>
      <x:c r="B422" s="38" t="str"/>
      <x:c r="C422" s="46"/>
      <x:c r="D422" s="39"/>
      <x:c r="E422" s="38" t="str"/>
      <x:c r="F422" s="38" t="str"/>
      <x:c r="G422" s="47" t="str">
        <x:f>IF(OR(C422="",F422="Pagado"),"",C422-TODAY())</x:f>
      </x:c>
    </x:row>
    <x:row r="423">
      <x:c r="A423" s="38" t="str"/>
      <x:c r="B423" s="38" t="str"/>
      <x:c r="C423" s="46"/>
      <x:c r="D423" s="39"/>
      <x:c r="E423" s="38" t="str"/>
      <x:c r="F423" s="38" t="str"/>
      <x:c r="G423" s="47" t="str">
        <x:f>IF(OR(C423="",F423="Pagado"),"",C423-TODAY())</x:f>
      </x:c>
    </x:row>
    <x:row r="424">
      <x:c r="A424" s="38" t="str"/>
      <x:c r="B424" s="38" t="str"/>
      <x:c r="C424" s="46"/>
      <x:c r="D424" s="39"/>
      <x:c r="E424" s="38" t="str"/>
      <x:c r="F424" s="38" t="str"/>
      <x:c r="G424" s="47" t="str">
        <x:f>IF(OR(C424="",F424="Pagado"),"",C424-TODAY())</x:f>
      </x:c>
    </x:row>
    <x:row r="425">
      <x:c r="A425" s="38" t="str"/>
      <x:c r="B425" s="38" t="str"/>
      <x:c r="C425" s="46"/>
      <x:c r="D425" s="39"/>
      <x:c r="E425" s="38" t="str"/>
      <x:c r="F425" s="38" t="str"/>
      <x:c r="G425" s="47" t="str">
        <x:f>IF(OR(C425="",F425="Pagado"),"",C425-TODAY())</x:f>
      </x:c>
    </x:row>
    <x:row r="426">
      <x:c r="A426" s="38" t="str"/>
      <x:c r="B426" s="38" t="str"/>
      <x:c r="C426" s="46"/>
      <x:c r="D426" s="39"/>
      <x:c r="E426" s="38" t="str"/>
      <x:c r="F426" s="38" t="str"/>
      <x:c r="G426" s="47" t="str">
        <x:f>IF(OR(C426="",F426="Pagado"),"",C426-TODAY())</x:f>
      </x:c>
    </x:row>
    <x:row r="427">
      <x:c r="A427" s="38" t="str"/>
      <x:c r="B427" s="38" t="str"/>
      <x:c r="C427" s="46"/>
      <x:c r="D427" s="39"/>
      <x:c r="E427" s="38" t="str"/>
      <x:c r="F427" s="38" t="str"/>
      <x:c r="G427" s="47" t="str">
        <x:f>IF(OR(C427="",F427="Pagado"),"",C427-TODAY())</x:f>
      </x:c>
    </x:row>
    <x:row r="428">
      <x:c r="A428" s="38" t="str"/>
      <x:c r="B428" s="38" t="str"/>
      <x:c r="C428" s="46"/>
      <x:c r="D428" s="39"/>
      <x:c r="E428" s="38" t="str"/>
      <x:c r="F428" s="38" t="str"/>
      <x:c r="G428" s="47" t="str">
        <x:f>IF(OR(C428="",F428="Pagado"),"",C428-TODAY())</x:f>
      </x:c>
    </x:row>
    <x:row r="429">
      <x:c r="A429" s="38" t="str"/>
      <x:c r="B429" s="38" t="str"/>
      <x:c r="C429" s="46"/>
      <x:c r="D429" s="39"/>
      <x:c r="E429" s="38" t="str"/>
      <x:c r="F429" s="38" t="str"/>
      <x:c r="G429" s="47" t="str">
        <x:f>IF(OR(C429="",F429="Pagado"),"",C429-TODAY())</x:f>
      </x:c>
    </x:row>
    <x:row r="430">
      <x:c r="A430" s="38" t="str"/>
      <x:c r="B430" s="38" t="str"/>
      <x:c r="C430" s="46"/>
      <x:c r="D430" s="39"/>
      <x:c r="E430" s="38" t="str"/>
      <x:c r="F430" s="38" t="str"/>
      <x:c r="G430" s="47" t="str">
        <x:f>IF(OR(C430="",F430="Pagado"),"",C430-TODAY())</x:f>
      </x:c>
    </x:row>
    <x:row r="431">
      <x:c r="A431" s="38" t="str"/>
      <x:c r="B431" s="38" t="str"/>
      <x:c r="C431" s="46"/>
      <x:c r="D431" s="39"/>
      <x:c r="E431" s="38" t="str"/>
      <x:c r="F431" s="38" t="str"/>
      <x:c r="G431" s="47" t="str">
        <x:f>IF(OR(C431="",F431="Pagado"),"",C431-TODAY())</x:f>
      </x:c>
    </x:row>
    <x:row r="432">
      <x:c r="A432" s="38" t="str"/>
      <x:c r="B432" s="38" t="str"/>
      <x:c r="C432" s="46"/>
      <x:c r="D432" s="39"/>
      <x:c r="E432" s="38" t="str"/>
      <x:c r="F432" s="38" t="str"/>
      <x:c r="G432" s="47" t="str">
        <x:f>IF(OR(C432="",F432="Pagado"),"",C432-TODAY())</x:f>
      </x:c>
    </x:row>
    <x:row r="433">
      <x:c r="A433" s="38" t="str"/>
      <x:c r="B433" s="38" t="str"/>
      <x:c r="C433" s="46"/>
      <x:c r="D433" s="39"/>
      <x:c r="E433" s="38" t="str"/>
      <x:c r="F433" s="38" t="str"/>
      <x:c r="G433" s="47" t="str">
        <x:f>IF(OR(C433="",F433="Pagado"),"",C433-TODAY())</x:f>
      </x:c>
    </x:row>
    <x:row r="434">
      <x:c r="A434" s="38" t="str"/>
      <x:c r="B434" s="38" t="str"/>
      <x:c r="C434" s="46"/>
      <x:c r="D434" s="39"/>
      <x:c r="E434" s="38" t="str"/>
      <x:c r="F434" s="38" t="str"/>
      <x:c r="G434" s="47" t="str">
        <x:f>IF(OR(C434="",F434="Pagado"),"",C434-TODAY())</x:f>
      </x:c>
    </x:row>
    <x:row r="435">
      <x:c r="A435" s="38" t="str"/>
      <x:c r="B435" s="38" t="str"/>
      <x:c r="C435" s="46"/>
      <x:c r="D435" s="39"/>
      <x:c r="E435" s="38" t="str"/>
      <x:c r="F435" s="38" t="str"/>
      <x:c r="G435" s="47" t="str">
        <x:f>IF(OR(C435="",F435="Pagado"),"",C435-TODAY())</x:f>
      </x:c>
    </x:row>
    <x:row r="436">
      <x:c r="A436" s="38" t="str"/>
      <x:c r="B436" s="38" t="str"/>
      <x:c r="C436" s="46"/>
      <x:c r="D436" s="39"/>
      <x:c r="E436" s="38" t="str"/>
      <x:c r="F436" s="38" t="str"/>
      <x:c r="G436" s="47" t="str">
        <x:f>IF(OR(C436="",F436="Pagado"),"",C436-TODAY())</x:f>
      </x:c>
    </x:row>
    <x:row r="437">
      <x:c r="A437" s="38" t="str"/>
      <x:c r="B437" s="38" t="str"/>
      <x:c r="C437" s="46"/>
      <x:c r="D437" s="39"/>
      <x:c r="E437" s="38" t="str"/>
      <x:c r="F437" s="38" t="str"/>
      <x:c r="G437" s="47" t="str">
        <x:f>IF(OR(C437="",F437="Pagado"),"",C437-TODAY())</x:f>
      </x:c>
    </x:row>
    <x:row r="438">
      <x:c r="A438" s="38" t="str"/>
      <x:c r="B438" s="38" t="str"/>
      <x:c r="C438" s="46"/>
      <x:c r="D438" s="39"/>
      <x:c r="E438" s="38" t="str"/>
      <x:c r="F438" s="38" t="str"/>
      <x:c r="G438" s="47" t="str">
        <x:f>IF(OR(C438="",F438="Pagado"),"",C438-TODAY())</x:f>
      </x:c>
    </x:row>
    <x:row r="439">
      <x:c r="A439" s="38" t="str"/>
      <x:c r="B439" s="38" t="str"/>
      <x:c r="C439" s="46"/>
      <x:c r="D439" s="39"/>
      <x:c r="E439" s="38" t="str"/>
      <x:c r="F439" s="38" t="str"/>
      <x:c r="G439" s="47" t="str">
        <x:f>IF(OR(C439="",F439="Pagado"),"",C439-TODAY())</x:f>
      </x:c>
    </x:row>
    <x:row r="440">
      <x:c r="A440" s="38" t="str"/>
      <x:c r="B440" s="38" t="str"/>
      <x:c r="C440" s="46"/>
      <x:c r="D440" s="39"/>
      <x:c r="E440" s="38" t="str"/>
      <x:c r="F440" s="38" t="str"/>
      <x:c r="G440" s="47" t="str">
        <x:f>IF(OR(C440="",F440="Pagado"),"",C440-TODAY())</x:f>
      </x:c>
    </x:row>
    <x:row r="441">
      <x:c r="A441" s="38" t="str"/>
      <x:c r="B441" s="38" t="str"/>
      <x:c r="C441" s="46"/>
      <x:c r="D441" s="39"/>
      <x:c r="E441" s="38" t="str"/>
      <x:c r="F441" s="38" t="str"/>
      <x:c r="G441" s="47" t="str">
        <x:f>IF(OR(C441="",F441="Pagado"),"",C441-TODAY())</x:f>
      </x:c>
    </x:row>
    <x:row r="442">
      <x:c r="A442" s="38" t="str"/>
      <x:c r="B442" s="38" t="str"/>
      <x:c r="C442" s="46"/>
      <x:c r="D442" s="39"/>
      <x:c r="E442" s="38" t="str"/>
      <x:c r="F442" s="38" t="str"/>
      <x:c r="G442" s="47" t="str">
        <x:f>IF(OR(C442="",F442="Pagado"),"",C442-TODAY())</x:f>
      </x:c>
    </x:row>
    <x:row r="443">
      <x:c r="A443" s="38" t="str"/>
      <x:c r="B443" s="38" t="str"/>
      <x:c r="C443" s="46"/>
      <x:c r="D443" s="39"/>
      <x:c r="E443" s="38" t="str"/>
      <x:c r="F443" s="38" t="str"/>
      <x:c r="G443" s="47" t="str">
        <x:f>IF(OR(C443="",F443="Pagado"),"",C443-TODAY())</x:f>
      </x:c>
    </x:row>
    <x:row r="444">
      <x:c r="A444" s="38" t="str"/>
      <x:c r="B444" s="38" t="str"/>
      <x:c r="C444" s="46"/>
      <x:c r="D444" s="39"/>
      <x:c r="E444" s="38" t="str"/>
      <x:c r="F444" s="38" t="str"/>
      <x:c r="G444" s="47" t="str">
        <x:f>IF(OR(C444="",F444="Pagado"),"",C444-TODAY())</x:f>
      </x:c>
    </x:row>
    <x:row r="445">
      <x:c r="A445" s="38" t="str"/>
      <x:c r="B445" s="38" t="str"/>
      <x:c r="C445" s="46"/>
      <x:c r="D445" s="39"/>
      <x:c r="E445" s="38" t="str"/>
      <x:c r="F445" s="38" t="str"/>
      <x:c r="G445" s="47" t="str">
        <x:f>IF(OR(C445="",F445="Pagado"),"",C445-TODAY())</x:f>
      </x:c>
    </x:row>
    <x:row r="446">
      <x:c r="A446" s="38" t="str"/>
      <x:c r="B446" s="38" t="str"/>
      <x:c r="C446" s="46"/>
      <x:c r="D446" s="39"/>
      <x:c r="E446" s="38" t="str"/>
      <x:c r="F446" s="38" t="str"/>
      <x:c r="G446" s="47" t="str">
        <x:f>IF(OR(C446="",F446="Pagado"),"",C446-TODAY())</x:f>
      </x:c>
    </x:row>
    <x:row r="447">
      <x:c r="A447" s="38" t="str"/>
      <x:c r="B447" s="38" t="str"/>
      <x:c r="C447" s="46"/>
      <x:c r="D447" s="39"/>
      <x:c r="E447" s="38" t="str"/>
      <x:c r="F447" s="38" t="str"/>
      <x:c r="G447" s="47" t="str">
        <x:f>IF(OR(C447="",F447="Pagado"),"",C447-TODAY())</x:f>
      </x:c>
    </x:row>
    <x:row r="448">
      <x:c r="A448" s="38" t="str"/>
      <x:c r="B448" s="38" t="str"/>
      <x:c r="C448" s="46"/>
      <x:c r="D448" s="39"/>
      <x:c r="E448" s="38" t="str"/>
      <x:c r="F448" s="38" t="str"/>
      <x:c r="G448" s="47" t="str">
        <x:f>IF(OR(C448="",F448="Pagado"),"",C448-TODAY())</x:f>
      </x:c>
    </x:row>
    <x:row r="449">
      <x:c r="A449" s="38" t="str"/>
      <x:c r="B449" s="38" t="str"/>
      <x:c r="C449" s="46"/>
      <x:c r="D449" s="39"/>
      <x:c r="E449" s="38" t="str"/>
      <x:c r="F449" s="38" t="str"/>
      <x:c r="G449" s="47" t="str">
        <x:f>IF(OR(C449="",F449="Pagado"),"",C449-TODAY())</x:f>
      </x:c>
    </x:row>
    <x:row r="450">
      <x:c r="A450" s="38" t="str"/>
      <x:c r="B450" s="38" t="str"/>
      <x:c r="C450" s="46"/>
      <x:c r="D450" s="39"/>
      <x:c r="E450" s="38" t="str"/>
      <x:c r="F450" s="38" t="str"/>
      <x:c r="G450" s="47" t="str">
        <x:f>IF(OR(C450="",F450="Pagado"),"",C450-TODAY())</x:f>
      </x:c>
    </x:row>
    <x:row r="451">
      <x:c r="A451" s="38" t="str"/>
      <x:c r="B451" s="38" t="str"/>
      <x:c r="C451" s="46"/>
      <x:c r="D451" s="39"/>
      <x:c r="E451" s="38" t="str"/>
      <x:c r="F451" s="38" t="str"/>
      <x:c r="G451" s="47" t="str">
        <x:f>IF(OR(C451="",F451="Pagado"),"",C451-TODAY())</x:f>
      </x:c>
    </x:row>
    <x:row r="452">
      <x:c r="A452" s="38" t="str"/>
      <x:c r="B452" s="38" t="str"/>
      <x:c r="C452" s="46"/>
      <x:c r="D452" s="39"/>
      <x:c r="E452" s="38" t="str"/>
      <x:c r="F452" s="38" t="str"/>
      <x:c r="G452" s="47" t="str">
        <x:f>IF(OR(C452="",F452="Pagado"),"",C452-TODAY())</x:f>
      </x:c>
    </x:row>
    <x:row r="453">
      <x:c r="A453" s="38" t="str"/>
      <x:c r="B453" s="38" t="str"/>
      <x:c r="C453" s="46"/>
      <x:c r="D453" s="39"/>
      <x:c r="E453" s="38" t="str"/>
      <x:c r="F453" s="38" t="str"/>
      <x:c r="G453" s="47" t="str">
        <x:f>IF(OR(C453="",F453="Pagado"),"",C453-TODAY())</x:f>
      </x:c>
    </x:row>
    <x:row r="454">
      <x:c r="A454" s="38" t="str"/>
      <x:c r="B454" s="38" t="str"/>
      <x:c r="C454" s="46"/>
      <x:c r="D454" s="39"/>
      <x:c r="E454" s="38" t="str"/>
      <x:c r="F454" s="38" t="str"/>
      <x:c r="G454" s="47" t="str">
        <x:f>IF(OR(C454="",F454="Pagado"),"",C454-TODAY())</x:f>
      </x:c>
    </x:row>
    <x:row r="455">
      <x:c r="A455" s="38" t="str"/>
      <x:c r="B455" s="38" t="str"/>
      <x:c r="C455" s="46"/>
      <x:c r="D455" s="39"/>
      <x:c r="E455" s="38" t="str"/>
      <x:c r="F455" s="38" t="str"/>
      <x:c r="G455" s="47" t="str">
        <x:f>IF(OR(C455="",F455="Pagado"),"",C455-TODAY())</x:f>
      </x:c>
    </x:row>
    <x:row r="456">
      <x:c r="A456" s="38" t="str"/>
      <x:c r="B456" s="38" t="str"/>
      <x:c r="C456" s="46"/>
      <x:c r="D456" s="39"/>
      <x:c r="E456" s="38" t="str"/>
      <x:c r="F456" s="38" t="str"/>
      <x:c r="G456" s="47" t="str">
        <x:f>IF(OR(C456="",F456="Pagado"),"",C456-TODAY())</x:f>
      </x:c>
    </x:row>
    <x:row r="457">
      <x:c r="A457" s="38" t="str"/>
      <x:c r="B457" s="38" t="str"/>
      <x:c r="C457" s="46"/>
      <x:c r="D457" s="39"/>
      <x:c r="E457" s="38" t="str"/>
      <x:c r="F457" s="38" t="str"/>
      <x:c r="G457" s="47" t="str">
        <x:f>IF(OR(C457="",F457="Pagado"),"",C457-TODAY())</x:f>
      </x:c>
    </x:row>
    <x:row r="458">
      <x:c r="A458" s="38" t="str"/>
      <x:c r="B458" s="38" t="str"/>
      <x:c r="C458" s="46"/>
      <x:c r="D458" s="39"/>
      <x:c r="E458" s="38" t="str"/>
      <x:c r="F458" s="38" t="str"/>
      <x:c r="G458" s="47" t="str">
        <x:f>IF(OR(C458="",F458="Pagado"),"",C458-TODAY())</x:f>
      </x:c>
    </x:row>
    <x:row r="459">
      <x:c r="A459" s="38" t="str"/>
      <x:c r="B459" s="38" t="str"/>
      <x:c r="C459" s="46"/>
      <x:c r="D459" s="39"/>
      <x:c r="E459" s="38" t="str"/>
      <x:c r="F459" s="38" t="str"/>
      <x:c r="G459" s="47" t="str">
        <x:f>IF(OR(C459="",F459="Pagado"),"",C459-TODAY())</x:f>
      </x:c>
    </x:row>
    <x:row r="460">
      <x:c r="A460" s="38" t="str"/>
      <x:c r="B460" s="38" t="str"/>
      <x:c r="C460" s="46"/>
      <x:c r="D460" s="39"/>
      <x:c r="E460" s="38" t="str"/>
      <x:c r="F460" s="38" t="str"/>
      <x:c r="G460" s="47" t="str">
        <x:f>IF(OR(C460="",F460="Pagado"),"",C460-TODAY())</x:f>
      </x:c>
    </x:row>
    <x:row r="461">
      <x:c r="A461" s="38" t="str"/>
      <x:c r="B461" s="38" t="str"/>
      <x:c r="C461" s="46"/>
      <x:c r="D461" s="39"/>
      <x:c r="E461" s="38" t="str"/>
      <x:c r="F461" s="38" t="str"/>
      <x:c r="G461" s="47" t="str">
        <x:f>IF(OR(C461="",F461="Pagado"),"",C461-TODAY())</x:f>
      </x:c>
    </x:row>
    <x:row r="462">
      <x:c r="A462" s="38" t="str"/>
      <x:c r="B462" s="38" t="str"/>
      <x:c r="C462" s="46"/>
      <x:c r="D462" s="39"/>
      <x:c r="E462" s="38" t="str"/>
      <x:c r="F462" s="38" t="str"/>
      <x:c r="G462" s="47" t="str">
        <x:f>IF(OR(C462="",F462="Pagado"),"",C462-TODAY())</x:f>
      </x:c>
    </x:row>
    <x:row r="463">
      <x:c r="A463" s="38" t="str"/>
      <x:c r="B463" s="38" t="str"/>
      <x:c r="C463" s="46"/>
      <x:c r="D463" s="39"/>
      <x:c r="E463" s="38" t="str"/>
      <x:c r="F463" s="38" t="str"/>
      <x:c r="G463" s="47" t="str">
        <x:f>IF(OR(C463="",F463="Pagado"),"",C463-TODAY())</x:f>
      </x:c>
    </x:row>
    <x:row r="464">
      <x:c r="A464" s="38" t="str"/>
      <x:c r="B464" s="38" t="str"/>
      <x:c r="C464" s="46"/>
      <x:c r="D464" s="39"/>
      <x:c r="E464" s="38" t="str"/>
      <x:c r="F464" s="38" t="str"/>
      <x:c r="G464" s="47" t="str">
        <x:f>IF(OR(C464="",F464="Pagado"),"",C464-TODAY())</x:f>
      </x:c>
    </x:row>
    <x:row r="465">
      <x:c r="A465" s="38" t="str"/>
      <x:c r="B465" s="38" t="str"/>
      <x:c r="C465" s="46"/>
      <x:c r="D465" s="39"/>
      <x:c r="E465" s="38" t="str"/>
      <x:c r="F465" s="38" t="str"/>
      <x:c r="G465" s="47" t="str">
        <x:f>IF(OR(C465="",F465="Pagado"),"",C465-TODAY())</x:f>
      </x:c>
    </x:row>
    <x:row r="466">
      <x:c r="A466" s="38" t="str"/>
      <x:c r="B466" s="38" t="str"/>
      <x:c r="C466" s="46"/>
      <x:c r="D466" s="39"/>
      <x:c r="E466" s="38" t="str"/>
      <x:c r="F466" s="38" t="str"/>
      <x:c r="G466" s="47" t="str">
        <x:f>IF(OR(C466="",F466="Pagado"),"",C466-TODAY())</x:f>
      </x:c>
    </x:row>
    <x:row r="467">
      <x:c r="A467" s="38" t="str"/>
      <x:c r="B467" s="38" t="str"/>
      <x:c r="C467" s="46"/>
      <x:c r="D467" s="39"/>
      <x:c r="E467" s="38" t="str"/>
      <x:c r="F467" s="38" t="str"/>
      <x:c r="G467" s="47" t="str">
        <x:f>IF(OR(C467="",F467="Pagado"),"",C467-TODAY())</x:f>
      </x:c>
    </x:row>
    <x:row r="468">
      <x:c r="A468" s="38" t="str"/>
      <x:c r="B468" s="38" t="str"/>
      <x:c r="C468" s="46"/>
      <x:c r="D468" s="39"/>
      <x:c r="E468" s="38" t="str"/>
      <x:c r="F468" s="38" t="str"/>
      <x:c r="G468" s="47" t="str">
        <x:f>IF(OR(C468="",F468="Pagado"),"",C468-TODAY())</x:f>
      </x:c>
    </x:row>
    <x:row r="469">
      <x:c r="A469" s="38" t="str"/>
      <x:c r="B469" s="38" t="str"/>
      <x:c r="C469" s="46"/>
      <x:c r="D469" s="39"/>
      <x:c r="E469" s="38" t="str"/>
      <x:c r="F469" s="38" t="str"/>
      <x:c r="G469" s="47" t="str">
        <x:f>IF(OR(C469="",F469="Pagado"),"",C469-TODAY())</x:f>
      </x:c>
    </x:row>
    <x:row r="470">
      <x:c r="A470" s="38" t="str"/>
      <x:c r="B470" s="38" t="str"/>
      <x:c r="C470" s="46"/>
      <x:c r="D470" s="39"/>
      <x:c r="E470" s="38" t="str"/>
      <x:c r="F470" s="38" t="str"/>
      <x:c r="G470" s="47" t="str">
        <x:f>IF(OR(C470="",F470="Pagado"),"",C470-TODAY())</x:f>
      </x:c>
    </x:row>
    <x:row r="471">
      <x:c r="A471" s="38" t="str"/>
      <x:c r="B471" s="38" t="str"/>
      <x:c r="C471" s="46"/>
      <x:c r="D471" s="39"/>
      <x:c r="E471" s="38" t="str"/>
      <x:c r="F471" s="38" t="str"/>
      <x:c r="G471" s="47" t="str">
        <x:f>IF(OR(C471="",F471="Pagado"),"",C471-TODAY())</x:f>
      </x:c>
    </x:row>
    <x:row r="472">
      <x:c r="A472" s="38" t="str"/>
      <x:c r="B472" s="38" t="str"/>
      <x:c r="C472" s="46"/>
      <x:c r="D472" s="39"/>
      <x:c r="E472" s="38" t="str"/>
      <x:c r="F472" s="38" t="str"/>
      <x:c r="G472" s="47" t="str">
        <x:f>IF(OR(C472="",F472="Pagado"),"",C472-TODAY())</x:f>
      </x:c>
    </x:row>
    <x:row r="473">
      <x:c r="A473" s="38" t="str"/>
      <x:c r="B473" s="38" t="str"/>
      <x:c r="C473" s="46"/>
      <x:c r="D473" s="39"/>
      <x:c r="E473" s="38" t="str"/>
      <x:c r="F473" s="38" t="str"/>
      <x:c r="G473" s="47" t="str">
        <x:f>IF(OR(C473="",F473="Pagado"),"",C473-TODAY())</x:f>
      </x:c>
    </x:row>
    <x:row r="474">
      <x:c r="A474" s="38" t="str"/>
      <x:c r="B474" s="38" t="str"/>
      <x:c r="C474" s="46"/>
      <x:c r="D474" s="39"/>
      <x:c r="E474" s="38" t="str"/>
      <x:c r="F474" s="38" t="str"/>
      <x:c r="G474" s="47" t="str">
        <x:f>IF(OR(C474="",F474="Pagado"),"",C474-TODAY())</x:f>
      </x:c>
    </x:row>
    <x:row r="475">
      <x:c r="A475" s="38" t="str"/>
      <x:c r="B475" s="38" t="str"/>
      <x:c r="C475" s="46"/>
      <x:c r="D475" s="39"/>
      <x:c r="E475" s="38" t="str"/>
      <x:c r="F475" s="38" t="str"/>
      <x:c r="G475" s="47" t="str">
        <x:f>IF(OR(C475="",F475="Pagado"),"",C475-TODAY())</x:f>
      </x:c>
    </x:row>
    <x:row r="476">
      <x:c r="A476" s="38" t="str"/>
      <x:c r="B476" s="38" t="str"/>
      <x:c r="C476" s="46"/>
      <x:c r="D476" s="39"/>
      <x:c r="E476" s="38" t="str"/>
      <x:c r="F476" s="38" t="str"/>
      <x:c r="G476" s="47" t="str">
        <x:f>IF(OR(C476="",F476="Pagado"),"",C476-TODAY())</x:f>
      </x:c>
    </x:row>
    <x:row r="477">
      <x:c r="A477" s="38" t="str"/>
      <x:c r="B477" s="38" t="str"/>
      <x:c r="C477" s="46"/>
      <x:c r="D477" s="39"/>
      <x:c r="E477" s="38" t="str"/>
      <x:c r="F477" s="38" t="str"/>
      <x:c r="G477" s="47" t="str">
        <x:f>IF(OR(C477="",F477="Pagado"),"",C477-TODAY())</x:f>
      </x:c>
    </x:row>
    <x:row r="478">
      <x:c r="A478" s="38" t="str"/>
      <x:c r="B478" s="38" t="str"/>
      <x:c r="C478" s="46"/>
      <x:c r="D478" s="39"/>
      <x:c r="E478" s="38" t="str"/>
      <x:c r="F478" s="38" t="str"/>
      <x:c r="G478" s="47" t="str">
        <x:f>IF(OR(C478="",F478="Pagado"),"",C478-TODAY())</x:f>
      </x:c>
    </x:row>
    <x:row r="479">
      <x:c r="A479" s="38" t="str"/>
      <x:c r="B479" s="38" t="str"/>
      <x:c r="C479" s="46"/>
      <x:c r="D479" s="39"/>
      <x:c r="E479" s="38" t="str"/>
      <x:c r="F479" s="38" t="str"/>
      <x:c r="G479" s="47" t="str">
        <x:f>IF(OR(C479="",F479="Pagado"),"",C479-TODAY())</x:f>
      </x:c>
    </x:row>
    <x:row r="480">
      <x:c r="A480" s="38" t="str"/>
      <x:c r="B480" s="38" t="str"/>
      <x:c r="C480" s="46"/>
      <x:c r="D480" s="39"/>
      <x:c r="E480" s="38" t="str"/>
      <x:c r="F480" s="38" t="str"/>
      <x:c r="G480" s="47" t="str">
        <x:f>IF(OR(C480="",F480="Pagado"),"",C480-TODAY())</x:f>
      </x:c>
    </x:row>
    <x:row r="481">
      <x:c r="A481" s="38" t="str"/>
      <x:c r="B481" s="38" t="str"/>
      <x:c r="C481" s="46"/>
      <x:c r="D481" s="39"/>
      <x:c r="E481" s="38" t="str"/>
      <x:c r="F481" s="38" t="str"/>
      <x:c r="G481" s="47" t="str">
        <x:f>IF(OR(C481="",F481="Pagado"),"",C481-TODAY())</x:f>
      </x:c>
    </x:row>
    <x:row r="482">
      <x:c r="A482" s="38" t="str"/>
      <x:c r="B482" s="38" t="str"/>
      <x:c r="C482" s="46"/>
      <x:c r="D482" s="39"/>
      <x:c r="E482" s="38" t="str"/>
      <x:c r="F482" s="38" t="str"/>
      <x:c r="G482" s="47" t="str">
        <x:f>IF(OR(C482="",F482="Pagado"),"",C482-TODAY())</x:f>
      </x:c>
    </x:row>
    <x:row r="483">
      <x:c r="A483" s="38" t="str"/>
      <x:c r="B483" s="38" t="str"/>
      <x:c r="C483" s="46"/>
      <x:c r="D483" s="39"/>
      <x:c r="E483" s="38" t="str"/>
      <x:c r="F483" s="38" t="str"/>
      <x:c r="G483" s="47" t="str">
        <x:f>IF(OR(C483="",F483="Pagado"),"",C483-TODAY())</x:f>
      </x:c>
    </x:row>
    <x:row r="484">
      <x:c r="A484" s="38" t="str"/>
      <x:c r="B484" s="38" t="str"/>
      <x:c r="C484" s="46"/>
      <x:c r="D484" s="39"/>
      <x:c r="E484" s="38" t="str"/>
      <x:c r="F484" s="38" t="str"/>
      <x:c r="G484" s="47" t="str">
        <x:f>IF(OR(C484="",F484="Pagado"),"",C484-TODAY())</x:f>
      </x:c>
    </x:row>
    <x:row r="485">
      <x:c r="A485" s="38" t="str"/>
      <x:c r="B485" s="38" t="str"/>
      <x:c r="C485" s="46"/>
      <x:c r="D485" s="39"/>
      <x:c r="E485" s="38" t="str"/>
      <x:c r="F485" s="38" t="str"/>
      <x:c r="G485" s="47" t="str">
        <x:f>IF(OR(C485="",F485="Pagado"),"",C485-TODAY())</x:f>
      </x:c>
    </x:row>
    <x:row r="486">
      <x:c r="A486" s="38" t="str"/>
      <x:c r="B486" s="38" t="str"/>
      <x:c r="C486" s="46"/>
      <x:c r="D486" s="39"/>
      <x:c r="E486" s="38" t="str"/>
      <x:c r="F486" s="38" t="str"/>
      <x:c r="G486" s="47" t="str">
        <x:f>IF(OR(C486="",F486="Pagado"),"",C486-TODAY())</x:f>
      </x:c>
    </x:row>
    <x:row r="487">
      <x:c r="A487" s="38" t="str"/>
      <x:c r="B487" s="38" t="str"/>
      <x:c r="C487" s="46"/>
      <x:c r="D487" s="39"/>
      <x:c r="E487" s="38" t="str"/>
      <x:c r="F487" s="38" t="str"/>
      <x:c r="G487" s="47" t="str">
        <x:f>IF(OR(C487="",F487="Pagado"),"",C487-TODAY())</x:f>
      </x:c>
    </x:row>
    <x:row r="488">
      <x:c r="A488" s="38" t="str"/>
      <x:c r="B488" s="38" t="str"/>
      <x:c r="C488" s="46"/>
      <x:c r="D488" s="39"/>
      <x:c r="E488" s="38" t="str"/>
      <x:c r="F488" s="38" t="str"/>
      <x:c r="G488" s="47" t="str">
        <x:f>IF(OR(C488="",F488="Pagado"),"",C488-TODAY())</x:f>
      </x:c>
    </x:row>
    <x:row r="489">
      <x:c r="A489" s="38" t="str"/>
      <x:c r="B489" s="38" t="str"/>
      <x:c r="C489" s="46"/>
      <x:c r="D489" s="39"/>
      <x:c r="E489" s="38" t="str"/>
      <x:c r="F489" s="38" t="str"/>
      <x:c r="G489" s="47" t="str">
        <x:f>IF(OR(C489="",F489="Pagado"),"",C489-TODAY())</x:f>
      </x:c>
    </x:row>
    <x:row r="490">
      <x:c r="A490" s="38" t="str"/>
      <x:c r="B490" s="38" t="str"/>
      <x:c r="C490" s="46"/>
      <x:c r="D490" s="39"/>
      <x:c r="E490" s="38" t="str"/>
      <x:c r="F490" s="38" t="str"/>
      <x:c r="G490" s="47" t="str">
        <x:f>IF(OR(C490="",F490="Pagado"),"",C490-TODAY())</x:f>
      </x:c>
    </x:row>
    <x:row r="491">
      <x:c r="A491" s="38" t="str"/>
      <x:c r="B491" s="38" t="str"/>
      <x:c r="C491" s="46"/>
      <x:c r="D491" s="39"/>
      <x:c r="E491" s="38" t="str"/>
      <x:c r="F491" s="38" t="str"/>
      <x:c r="G491" s="47" t="str">
        <x:f>IF(OR(C491="",F491="Pagado"),"",C491-TODAY())</x:f>
      </x:c>
    </x:row>
    <x:row r="492">
      <x:c r="A492" s="38" t="str"/>
      <x:c r="B492" s="38" t="str"/>
      <x:c r="C492" s="46"/>
      <x:c r="D492" s="39"/>
      <x:c r="E492" s="38" t="str"/>
      <x:c r="F492" s="38" t="str"/>
      <x:c r="G492" s="47" t="str">
        <x:f>IF(OR(C492="",F492="Pagado"),"",C492-TODAY())</x:f>
      </x:c>
    </x:row>
    <x:row r="493">
      <x:c r="A493" s="38" t="str"/>
      <x:c r="B493" s="38" t="str"/>
      <x:c r="C493" s="46"/>
      <x:c r="D493" s="39"/>
      <x:c r="E493" s="38" t="str"/>
      <x:c r="F493" s="38" t="str"/>
      <x:c r="G493" s="47" t="str">
        <x:f>IF(OR(C493="",F493="Pagado"),"",C493-TODAY())</x:f>
      </x:c>
    </x:row>
    <x:row r="494">
      <x:c r="A494" s="38" t="str"/>
      <x:c r="B494" s="38" t="str"/>
      <x:c r="C494" s="46"/>
      <x:c r="D494" s="39"/>
      <x:c r="E494" s="38" t="str"/>
      <x:c r="F494" s="38" t="str"/>
      <x:c r="G494" s="47" t="str">
        <x:f>IF(OR(C494="",F494="Pagado"),"",C494-TODAY())</x:f>
      </x:c>
    </x:row>
    <x:row r="495">
      <x:c r="A495" s="38" t="str"/>
      <x:c r="B495" s="38" t="str"/>
      <x:c r="C495" s="46"/>
      <x:c r="D495" s="39"/>
      <x:c r="E495" s="38" t="str"/>
      <x:c r="F495" s="38" t="str"/>
      <x:c r="G495" s="47" t="str">
        <x:f>IF(OR(C495="",F495="Pagado"),"",C495-TODAY())</x:f>
      </x:c>
    </x:row>
    <x:row r="496">
      <x:c r="A496" s="38" t="str"/>
      <x:c r="B496" s="38" t="str"/>
      <x:c r="C496" s="46"/>
      <x:c r="D496" s="39"/>
      <x:c r="E496" s="38" t="str"/>
      <x:c r="F496" s="38" t="str"/>
      <x:c r="G496" s="47" t="str">
        <x:f>IF(OR(C496="",F496="Pagado"),"",C496-TODAY())</x:f>
      </x:c>
    </x:row>
    <x:row r="497">
      <x:c r="A497" s="38" t="str"/>
      <x:c r="B497" s="38" t="str"/>
      <x:c r="C497" s="46"/>
      <x:c r="D497" s="39"/>
      <x:c r="E497" s="38" t="str"/>
      <x:c r="F497" s="38" t="str"/>
      <x:c r="G497" s="47" t="str">
        <x:f>IF(OR(C497="",F497="Pagado"),"",C497-TODAY())</x:f>
      </x:c>
    </x:row>
    <x:row r="498">
      <x:c r="A498" s="38" t="str"/>
      <x:c r="B498" s="38" t="str"/>
      <x:c r="C498" s="46"/>
      <x:c r="D498" s="39"/>
      <x:c r="E498" s="38" t="str"/>
      <x:c r="F498" s="38" t="str"/>
      <x:c r="G498" s="47" t="str">
        <x:f>IF(OR(C498="",F498="Pagado"),"",C498-TODAY())</x:f>
      </x:c>
    </x:row>
    <x:row r="499">
      <x:c r="A499" s="38" t="str"/>
      <x:c r="B499" s="38" t="str"/>
      <x:c r="C499" s="46"/>
      <x:c r="D499" s="39"/>
      <x:c r="E499" s="38" t="str"/>
      <x:c r="F499" s="38" t="str"/>
      <x:c r="G499" s="47" t="str">
        <x:f>IF(OR(C499="",F499="Pagado"),"",C499-TODAY())</x:f>
      </x:c>
    </x:row>
    <x:row r="500">
      <x:c r="A500" s="38" t="str"/>
      <x:c r="B500" s="38" t="str"/>
      <x:c r="C500" s="46"/>
      <x:c r="D500" s="39"/>
      <x:c r="E500" s="38" t="str"/>
      <x:c r="F500" s="38" t="str"/>
      <x:c r="G500" s="47" t="str">
        <x:f>IF(OR(C500="",F500="Pagado"),"",C500-TODAY())</x:f>
      </x:c>
    </x:row>
    <x:row r="501">
      <x:c r="A501" s="38" t="str"/>
      <x:c r="B501" s="38" t="str"/>
      <x:c r="C501" s="46"/>
      <x:c r="D501" s="39"/>
      <x:c r="E501" s="38" t="str"/>
      <x:c r="F501" s="38" t="str"/>
      <x:c r="G501" s="47" t="str">
        <x:f>IF(OR(C501="",F501="Pagado"),"",C501-TODAY())</x:f>
      </x:c>
    </x:row>
    <x:row r="502">
      <x:c r="A502" s="38" t="str"/>
      <x:c r="B502" s="38" t="str"/>
      <x:c r="C502" s="46"/>
      <x:c r="D502" s="39"/>
      <x:c r="E502" s="38" t="str"/>
      <x:c r="F502" s="38" t="str"/>
      <x:c r="G502" s="47" t="str">
        <x:f>IF(OR(C502="",F502="Pagado"),"",C502-TODAY())</x:f>
      </x:c>
    </x:row>
    <x:row r="503">
      <x:c r="A503" s="38" t="str"/>
      <x:c r="B503" s="38" t="str"/>
      <x:c r="C503" s="46"/>
      <x:c r="D503" s="39"/>
      <x:c r="E503" s="38" t="str"/>
      <x:c r="F503" s="38" t="str"/>
      <x:c r="G503" s="47" t="str">
        <x:f>IF(OR(C503="",F503="Pagado"),"",C503-TODAY())</x:f>
      </x:c>
    </x:row>
    <x:row r="504">
      <x:c r="A504" s="38" t="str"/>
      <x:c r="B504" s="38" t="str"/>
      <x:c r="C504" s="46"/>
      <x:c r="D504" s="39"/>
      <x:c r="E504" s="38" t="str"/>
      <x:c r="F504" s="38" t="str"/>
      <x:c r="G504" s="47" t="str">
        <x:f>IF(OR(C504="",F504="Pagado"),"",C504-TODAY())</x:f>
      </x:c>
    </x:row>
    <x:row r="505">
      <x:c r="A505" s="38" t="str"/>
      <x:c r="B505" s="38" t="str"/>
      <x:c r="C505" s="46"/>
      <x:c r="D505" s="39"/>
      <x:c r="E505" s="38" t="str"/>
      <x:c r="F505" s="38" t="str"/>
      <x:c r="G505" s="47" t="str">
        <x:f>IF(OR(C505="",F505="Pagado"),"",C505-TODAY())</x:f>
      </x:c>
    </x:row>
  </x:sheetData>
  <x:mergeCells>
    <x:mergeCell ref="A1:G1"/>
    <x:mergeCell ref="A2:G2"/>
  </x:mergeCells>
  <x:conditionalFormatting sqref="A6:G505">
    <x:cfRule type="expression" dxfId="2" priority="1">
      <x:formula>AND($F6&lt;&gt;"Pagado",$C6&lt;TODAY(),$C6&lt;&gt;"")</x:formula>
    </x:cfRule>
    <x:cfRule type="expression" dxfId="3" priority="2">
      <x:formula>AND($F6&lt;&gt;"Pagado",$C6&gt;=TODAY(),$C6&lt;=TODAY()+30)</x:formula>
    </x:cfRule>
    <x:cfRule type="expression" dxfId="4" priority="3">
      <x:formula>$F6="Pagado"</x:formula>
    </x:cfRule>
  </x:conditionalFormatting>
  <x:dataValidations count="3">
    <x:dataValidation type="list" sqref="B6:B505">
      <x:formula1>'Configuración'!$B$5:$B$30</x:formula1>
    </x:dataValidation>
    <x:dataValidation type="list" sqref="E6:E505">
      <x:formula1>'Configuración'!$G$5:$G$15</x:formula1>
    </x:dataValidation>
    <x:dataValidation type="list" sqref="F6:F505">
      <x:formula1>'Configuración'!$F$5:$F$10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ca25cd68854d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630000114440918" hidden="0" customWidth="1"/>
    <x:col min="3" max="3" width="15" hidden="0" customWidth="1"/>
    <x:col min="4" max="4" width="15" hidden="0" customWidth="1"/>
    <x:col min="5" max="5" width="15.630000114440918" hidden="0" customWidth="1"/>
    <x:col min="6" max="6" width="14.380000114440918" hidden="0" customWidth="1"/>
    <x:col min="7" max="7" width="14.380000114440918" hidden="0" customWidth="1"/>
    <x:col min="8" max="8" width="13.75" hidden="0" customWidth="1"/>
    <x:col min="9" max="9" width="15.630000114440918" hidden="0" customWidth="1"/>
    <x:col min="10" max="10" width="13.75" hidden="0" customWidth="1"/>
    <x:col min="11" max="11" width="12.5" hidden="0" customWidth="1"/>
  </x:cols>
  <x:sheetData>
    <x:row r="1" ht="28.5" customHeight="1">
      <x:c r="A1" s="34" t="str">
        <x:v>Control de Tarjetas de Crédito</x:v>
      </x:c>
      <x:c r="B1" s="34" t="str">
        <x:v>Control de Tarjetas de Crédito</x:v>
      </x:c>
      <x:c r="C1" s="34" t="str">
        <x:v>Control de Tarjetas de Crédito</x:v>
      </x:c>
      <x:c r="D1" s="34" t="str">
        <x:v>Control de Tarjetas de Crédito</x:v>
      </x:c>
      <x:c r="E1" s="34" t="str">
        <x:v>Control de Tarjetas de Crédito</x:v>
      </x:c>
      <x:c r="F1" s="34" t="str">
        <x:v>Control de Tarjetas de Crédito</x:v>
      </x:c>
      <x:c r="G1" s="34" t="str">
        <x:v>Control de Tarjetas de Crédito</x:v>
      </x:c>
      <x:c r="H1" s="34" t="str">
        <x:v>Control de Tarjetas de Crédito</x:v>
      </x:c>
      <x:c r="I1" s="34" t="str">
        <x:v>Control de Tarjetas de Crédito</x:v>
      </x:c>
      <x:c r="J1" s="34" t="str">
        <x:v>Control de Tarjetas de Crédito</x:v>
      </x:c>
      <x:c r="K1" s="34" t="str">
        <x:v>Control de Tarjetas de Crédito</x:v>
      </x:c>
    </x:row>
    <x:row r="2" ht="19.5" customHeight="1">
      <x:c r="A2" s="36" t="str">
        <x:v>Seguimiento de límite, utilización, pagos y alertas.</x:v>
      </x:c>
      <x:c r="B2" s="36" t="str">
        <x:v>Seguimiento de límite, utilización, pagos y alertas.</x:v>
      </x:c>
      <x:c r="C2" s="36" t="str">
        <x:v>Seguimiento de límite, utilización, pagos y alertas.</x:v>
      </x:c>
      <x:c r="D2" s="36" t="str">
        <x:v>Seguimiento de límite, utilización, pagos y alertas.</x:v>
      </x:c>
      <x:c r="E2" s="36" t="str">
        <x:v>Seguimiento de límite, utilización, pagos y alertas.</x:v>
      </x:c>
      <x:c r="F2" s="36" t="str">
        <x:v>Seguimiento de límite, utilización, pagos y alertas.</x:v>
      </x:c>
      <x:c r="G2" s="36" t="str">
        <x:v>Seguimiento de límite, utilización, pagos y alertas.</x:v>
      </x:c>
      <x:c r="H2" s="36" t="str">
        <x:v>Seguimiento de límite, utilización, pagos y alertas.</x:v>
      </x:c>
      <x:c r="I2" s="36" t="str">
        <x:v>Seguimiento de límite, utilización, pagos y alertas.</x:v>
      </x:c>
      <x:c r="J2" s="36" t="str">
        <x:v>Seguimiento de límite, utilización, pagos y alertas.</x:v>
      </x:c>
      <x:c r="K2" s="36" t="str">
        <x:v>Seguimiento de límite, utilización, pagos y alertas.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</x:row>
    <x:row r="5">
      <x:c r="A5" s="37" t="str">
        <x:v>Banco</x:v>
      </x:c>
      <x:c r="B5" s="37" t="str">
        <x:v>Tarjeta</x:v>
      </x:c>
      <x:c r="C5" s="37" t="str">
        <x:v>Límite de crédito</x:v>
      </x:c>
      <x:c r="D5" s="37" t="str">
        <x:v>Saldo utilizado</x:v>
      </x:c>
      <x:c r="E5" s="37" t="str">
        <x:v>Crédito disponible</x:v>
      </x:c>
      <x:c r="F5" s="37" t="str">
        <x:v>Fecha de corte</x:v>
      </x:c>
      <x:c r="G5" s="37" t="str">
        <x:v>Fecha de pago</x:v>
      </x:c>
      <x:c r="H5" s="37" t="str">
        <x:v>Pago mínimo</x:v>
      </x:c>
      <x:c r="I5" s="37" t="str">
        <x:v>Pago recomendado</x:v>
      </x:c>
      <x:c r="J5" s="37" t="str">
        <x:v>Tasa de interés</x:v>
      </x:c>
      <x:c r="K5" s="37" t="str">
        <x:v>% utilizado</x:v>
      </x:c>
    </x:row>
    <x:row r="6">
      <x:c r="A6" s="38" t="str">
        <x:v>Banco A</x:v>
      </x:c>
      <x:c r="B6" s="38" t="str">
        <x:v>Visa</x:v>
      </x:c>
      <x:c r="C6" s="39" t="n">
        <x:v>6000</x:v>
      </x:c>
      <x:c r="D6" s="39" t="n">
        <x:v>1820</x:v>
      </x:c>
      <x:c r="E6" s="39" t="n">
        <x:f>IF(C6="","",C6-D6)</x:f>
        <x:v>4180</x:v>
      </x:c>
      <x:c r="F6" s="46" t="n">
        <x:v>46195</x:v>
      </x:c>
      <x:c r="G6" s="46" t="n">
        <x:v>46202</x:v>
      </x:c>
      <x:c r="H6" s="39" t="n">
        <x:v>95</x:v>
      </x:c>
      <x:c r="I6" s="39" t="n">
        <x:v>450</x:v>
      </x:c>
      <x:c r="J6" s="40" t="n">
        <x:v>0.249</x:v>
      </x:c>
      <x:c r="K6" s="40" t="n">
        <x:f>IFERROR(D6/C6,"")</x:f>
        <x:v>0.30333333333333334</x:v>
      </x:c>
    </x:row>
    <x:row r="7">
      <x:c r="A7" s="38" t="str">
        <x:v>Banco B</x:v>
      </x:c>
      <x:c r="B7" s="38" t="str">
        <x:v>Mastercard</x:v>
      </x:c>
      <x:c r="C7" s="39" t="n">
        <x:v>3500</x:v>
      </x:c>
      <x:c r="D7" s="39" t="n">
        <x:v>980</x:v>
      </x:c>
      <x:c r="E7" s="39" t="n">
        <x:f>IF(C7="","",C7-D7)</x:f>
        <x:v>2520</x:v>
      </x:c>
      <x:c r="F7" s="46" t="n">
        <x:v>46191</x:v>
      </x:c>
      <x:c r="G7" s="46" t="n">
        <x:v>46198</x:v>
      </x:c>
      <x:c r="H7" s="39" t="n">
        <x:v>60</x:v>
      </x:c>
      <x:c r="I7" s="39" t="n">
        <x:v>250</x:v>
      </x:c>
      <x:c r="J7" s="40" t="n">
        <x:v>0.285</x:v>
      </x:c>
      <x:c r="K7" s="40" t="n">
        <x:f>IFERROR(D7/C7,"")</x:f>
        <x:v>0.28</x:v>
      </x:c>
    </x:row>
    <x:row r="8">
      <x:c r="A8" s="38" t="str"/>
      <x:c r="B8" s="38" t="str"/>
      <x:c r="C8" s="39"/>
      <x:c r="D8" s="39"/>
      <x:c r="E8" s="39" t="str">
        <x:f>IF(C8="","",C8-D8)</x:f>
      </x:c>
      <x:c r="F8" s="46"/>
      <x:c r="G8" s="46"/>
      <x:c r="H8" s="39"/>
      <x:c r="I8" s="39"/>
      <x:c r="J8" s="40"/>
      <x:c r="K8" s="40" t="str">
        <x:f>IFERROR(D8/C8,"")</x:f>
      </x:c>
    </x:row>
    <x:row r="9">
      <x:c r="A9" s="38" t="str"/>
      <x:c r="B9" s="38" t="str"/>
      <x:c r="C9" s="39"/>
      <x:c r="D9" s="39"/>
      <x:c r="E9" s="39" t="str">
        <x:f>IF(C9="","",C9-D9)</x:f>
      </x:c>
      <x:c r="F9" s="46"/>
      <x:c r="G9" s="46"/>
      <x:c r="H9" s="39"/>
      <x:c r="I9" s="39"/>
      <x:c r="J9" s="40"/>
      <x:c r="K9" s="40" t="str">
        <x:f>IFERROR(D9/C9,"")</x:f>
      </x:c>
    </x:row>
    <x:row r="10">
      <x:c r="A10" s="38" t="str"/>
      <x:c r="B10" s="38" t="str"/>
      <x:c r="C10" s="39"/>
      <x:c r="D10" s="39"/>
      <x:c r="E10" s="39" t="str">
        <x:f>IF(C10="","",C10-D10)</x:f>
      </x:c>
      <x:c r="F10" s="46"/>
      <x:c r="G10" s="46"/>
      <x:c r="H10" s="39"/>
      <x:c r="I10" s="39"/>
      <x:c r="J10" s="40"/>
      <x:c r="K10" s="40" t="str">
        <x:f>IFERROR(D10/C10,"")</x:f>
      </x:c>
    </x:row>
    <x:row r="11">
      <x:c r="A11" s="38" t="str"/>
      <x:c r="B11" s="38" t="str"/>
      <x:c r="C11" s="39"/>
      <x:c r="D11" s="39"/>
      <x:c r="E11" s="39" t="str">
        <x:f>IF(C11="","",C11-D11)</x:f>
      </x:c>
      <x:c r="F11" s="46"/>
      <x:c r="G11" s="46"/>
      <x:c r="H11" s="39"/>
      <x:c r="I11" s="39"/>
      <x:c r="J11" s="40"/>
      <x:c r="K11" s="40" t="str">
        <x:f>IFERROR(D11/C11,"")</x:f>
      </x:c>
    </x:row>
    <x:row r="12">
      <x:c r="A12" s="38" t="str"/>
      <x:c r="B12" s="38" t="str"/>
      <x:c r="C12" s="39"/>
      <x:c r="D12" s="39"/>
      <x:c r="E12" s="39" t="str">
        <x:f>IF(C12="","",C12-D12)</x:f>
      </x:c>
      <x:c r="F12" s="46"/>
      <x:c r="G12" s="46"/>
      <x:c r="H12" s="39"/>
      <x:c r="I12" s="39"/>
      <x:c r="J12" s="40"/>
      <x:c r="K12" s="40" t="str">
        <x:f>IFERROR(D12/C12,"")</x:f>
      </x:c>
    </x:row>
    <x:row r="13">
      <x:c r="A13" s="38" t="str"/>
      <x:c r="B13" s="38" t="str"/>
      <x:c r="C13" s="39"/>
      <x:c r="D13" s="39"/>
      <x:c r="E13" s="39" t="str">
        <x:f>IF(C13="","",C13-D13)</x:f>
      </x:c>
      <x:c r="F13" s="46"/>
      <x:c r="G13" s="46"/>
      <x:c r="H13" s="39"/>
      <x:c r="I13" s="39"/>
      <x:c r="J13" s="40"/>
      <x:c r="K13" s="40" t="str">
        <x:f>IFERROR(D13/C13,"")</x:f>
      </x:c>
    </x:row>
    <x:row r="14">
      <x:c r="A14" s="38" t="str"/>
      <x:c r="B14" s="38" t="str"/>
      <x:c r="C14" s="39"/>
      <x:c r="D14" s="39"/>
      <x:c r="E14" s="39" t="str">
        <x:f>IF(C14="","",C14-D14)</x:f>
      </x:c>
      <x:c r="F14" s="46"/>
      <x:c r="G14" s="46"/>
      <x:c r="H14" s="39"/>
      <x:c r="I14" s="39"/>
      <x:c r="J14" s="40"/>
      <x:c r="K14" s="40" t="str">
        <x:f>IFERROR(D14/C14,"")</x:f>
      </x:c>
    </x:row>
    <x:row r="15">
      <x:c r="A15" s="38" t="str"/>
      <x:c r="B15" s="38" t="str"/>
      <x:c r="C15" s="39"/>
      <x:c r="D15" s="39"/>
      <x:c r="E15" s="39" t="str">
        <x:f>IF(C15="","",C15-D15)</x:f>
      </x:c>
      <x:c r="F15" s="46"/>
      <x:c r="G15" s="46"/>
      <x:c r="H15" s="39"/>
      <x:c r="I15" s="39"/>
      <x:c r="J15" s="40"/>
      <x:c r="K15" s="40" t="str">
        <x:f>IFERROR(D15/C15,"")</x:f>
      </x:c>
    </x:row>
    <x:row r="16">
      <x:c r="A16" s="38" t="str"/>
      <x:c r="B16" s="38" t="str"/>
      <x:c r="C16" s="39"/>
      <x:c r="D16" s="39"/>
      <x:c r="E16" s="39" t="str">
        <x:f>IF(C16="","",C16-D16)</x:f>
      </x:c>
      <x:c r="F16" s="46"/>
      <x:c r="G16" s="46"/>
      <x:c r="H16" s="39"/>
      <x:c r="I16" s="39"/>
      <x:c r="J16" s="40"/>
      <x:c r="K16" s="40" t="str">
        <x:f>IFERROR(D16/C16,"")</x:f>
      </x:c>
    </x:row>
    <x:row r="17">
      <x:c r="A17" s="38" t="str"/>
      <x:c r="B17" s="38" t="str"/>
      <x:c r="C17" s="39"/>
      <x:c r="D17" s="39"/>
      <x:c r="E17" s="39" t="str">
        <x:f>IF(C17="","",C17-D17)</x:f>
      </x:c>
      <x:c r="F17" s="46"/>
      <x:c r="G17" s="46"/>
      <x:c r="H17" s="39"/>
      <x:c r="I17" s="39"/>
      <x:c r="J17" s="40"/>
      <x:c r="K17" s="40" t="str">
        <x:f>IFERROR(D17/C17,"")</x:f>
      </x:c>
    </x:row>
    <x:row r="18">
      <x:c r="A18" s="38" t="str"/>
      <x:c r="B18" s="38" t="str"/>
      <x:c r="C18" s="39"/>
      <x:c r="D18" s="39"/>
      <x:c r="E18" s="39" t="str">
        <x:f>IF(C18="","",C18-D18)</x:f>
      </x:c>
      <x:c r="F18" s="46"/>
      <x:c r="G18" s="46"/>
      <x:c r="H18" s="39"/>
      <x:c r="I18" s="39"/>
      <x:c r="J18" s="40"/>
      <x:c r="K18" s="40" t="str">
        <x:f>IFERROR(D18/C18,"")</x:f>
      </x:c>
    </x:row>
    <x:row r="19">
      <x:c r="A19" s="38" t="str"/>
      <x:c r="B19" s="38" t="str"/>
      <x:c r="C19" s="39"/>
      <x:c r="D19" s="39"/>
      <x:c r="E19" s="39" t="str">
        <x:f>IF(C19="","",C19-D19)</x:f>
      </x:c>
      <x:c r="F19" s="46"/>
      <x:c r="G19" s="46"/>
      <x:c r="H19" s="39"/>
      <x:c r="I19" s="39"/>
      <x:c r="J19" s="40"/>
      <x:c r="K19" s="40" t="str">
        <x:f>IFERROR(D19/C19,"")</x:f>
      </x:c>
    </x:row>
    <x:row r="20">
      <x:c r="A20" s="38" t="str"/>
      <x:c r="B20" s="38" t="str"/>
      <x:c r="C20" s="39"/>
      <x:c r="D20" s="39"/>
      <x:c r="E20" s="39" t="str">
        <x:f>IF(C20="","",C20-D20)</x:f>
      </x:c>
      <x:c r="F20" s="46"/>
      <x:c r="G20" s="46"/>
      <x:c r="H20" s="39"/>
      <x:c r="I20" s="39"/>
      <x:c r="J20" s="40"/>
      <x:c r="K20" s="40" t="str">
        <x:f>IFERROR(D20/C20,"")</x:f>
      </x:c>
    </x:row>
    <x:row r="21">
      <x:c r="A21" s="38" t="str"/>
      <x:c r="B21" s="38" t="str"/>
      <x:c r="C21" s="39"/>
      <x:c r="D21" s="39"/>
      <x:c r="E21" s="39" t="str">
        <x:f>IF(C21="","",C21-D21)</x:f>
      </x:c>
      <x:c r="F21" s="46"/>
      <x:c r="G21" s="46"/>
      <x:c r="H21" s="39"/>
      <x:c r="I21" s="39"/>
      <x:c r="J21" s="40"/>
      <x:c r="K21" s="40" t="str">
        <x:f>IFERROR(D21/C21,"")</x:f>
      </x:c>
    </x:row>
    <x:row r="22">
      <x:c r="A22" s="38" t="str"/>
      <x:c r="B22" s="38" t="str"/>
      <x:c r="C22" s="39"/>
      <x:c r="D22" s="39"/>
      <x:c r="E22" s="39" t="str">
        <x:f>IF(C22="","",C22-D22)</x:f>
      </x:c>
      <x:c r="F22" s="46"/>
      <x:c r="G22" s="46"/>
      <x:c r="H22" s="39"/>
      <x:c r="I22" s="39"/>
      <x:c r="J22" s="40"/>
      <x:c r="K22" s="40" t="str">
        <x:f>IFERROR(D22/C22,"")</x:f>
      </x:c>
    </x:row>
    <x:row r="23">
      <x:c r="A23" s="38" t="str"/>
      <x:c r="B23" s="38" t="str"/>
      <x:c r="C23" s="39"/>
      <x:c r="D23" s="39"/>
      <x:c r="E23" s="39" t="str">
        <x:f>IF(C23="","",C23-D23)</x:f>
      </x:c>
      <x:c r="F23" s="46"/>
      <x:c r="G23" s="46"/>
      <x:c r="H23" s="39"/>
      <x:c r="I23" s="39"/>
      <x:c r="J23" s="40"/>
      <x:c r="K23" s="40" t="str">
        <x:f>IFERROR(D23/C23,"")</x:f>
      </x:c>
    </x:row>
    <x:row r="24">
      <x:c r="A24" s="38" t="str"/>
      <x:c r="B24" s="38" t="str"/>
      <x:c r="C24" s="39"/>
      <x:c r="D24" s="39"/>
      <x:c r="E24" s="39" t="str">
        <x:f>IF(C24="","",C24-D24)</x:f>
      </x:c>
      <x:c r="F24" s="46"/>
      <x:c r="G24" s="46"/>
      <x:c r="H24" s="39"/>
      <x:c r="I24" s="39"/>
      <x:c r="J24" s="40"/>
      <x:c r="K24" s="40" t="str">
        <x:f>IFERROR(D24/C24,"")</x:f>
      </x:c>
    </x:row>
    <x:row r="25">
      <x:c r="A25" s="38" t="str"/>
      <x:c r="B25" s="38" t="str"/>
      <x:c r="C25" s="39"/>
      <x:c r="D25" s="39"/>
      <x:c r="E25" s="39" t="str">
        <x:f>IF(C25="","",C25-D25)</x:f>
      </x:c>
      <x:c r="F25" s="46"/>
      <x:c r="G25" s="46"/>
      <x:c r="H25" s="39"/>
      <x:c r="I25" s="39"/>
      <x:c r="J25" s="40"/>
      <x:c r="K25" s="40" t="str">
        <x:f>IFERROR(D25/C25,"")</x:f>
      </x:c>
    </x:row>
    <x:row r="26">
      <x:c r="A26" s="38" t="str"/>
      <x:c r="B26" s="38" t="str"/>
      <x:c r="C26" s="39"/>
      <x:c r="D26" s="39"/>
      <x:c r="E26" s="39" t="str">
        <x:f>IF(C26="","",C26-D26)</x:f>
      </x:c>
      <x:c r="F26" s="46"/>
      <x:c r="G26" s="46"/>
      <x:c r="H26" s="39"/>
      <x:c r="I26" s="39"/>
      <x:c r="J26" s="40"/>
      <x:c r="K26" s="40" t="str">
        <x:f>IFERROR(D26/C26,"")</x:f>
      </x:c>
    </x:row>
    <x:row r="27">
      <x:c r="A27" s="38" t="str"/>
      <x:c r="B27" s="38" t="str"/>
      <x:c r="C27" s="39"/>
      <x:c r="D27" s="39"/>
      <x:c r="E27" s="39" t="str">
        <x:f>IF(C27="","",C27-D27)</x:f>
      </x:c>
      <x:c r="F27" s="46"/>
      <x:c r="G27" s="46"/>
      <x:c r="H27" s="39"/>
      <x:c r="I27" s="39"/>
      <x:c r="J27" s="40"/>
      <x:c r="K27" s="40" t="str">
        <x:f>IFERROR(D27/C27,"")</x:f>
      </x:c>
    </x:row>
    <x:row r="28">
      <x:c r="A28" s="38" t="str"/>
      <x:c r="B28" s="38" t="str"/>
      <x:c r="C28" s="39"/>
      <x:c r="D28" s="39"/>
      <x:c r="E28" s="39" t="str">
        <x:f>IF(C28="","",C28-D28)</x:f>
      </x:c>
      <x:c r="F28" s="46"/>
      <x:c r="G28" s="46"/>
      <x:c r="H28" s="39"/>
      <x:c r="I28" s="39"/>
      <x:c r="J28" s="40"/>
      <x:c r="K28" s="40" t="str">
        <x:f>IFERROR(D28/C28,"")</x:f>
      </x:c>
    </x:row>
    <x:row r="29">
      <x:c r="A29" s="38" t="str"/>
      <x:c r="B29" s="38" t="str"/>
      <x:c r="C29" s="39"/>
      <x:c r="D29" s="39"/>
      <x:c r="E29" s="39" t="str">
        <x:f>IF(C29="","",C29-D29)</x:f>
      </x:c>
      <x:c r="F29" s="46"/>
      <x:c r="G29" s="46"/>
      <x:c r="H29" s="39"/>
      <x:c r="I29" s="39"/>
      <x:c r="J29" s="40"/>
      <x:c r="K29" s="40" t="str">
        <x:f>IFERROR(D29/C29,"")</x:f>
      </x:c>
    </x:row>
    <x:row r="30">
      <x:c r="A30" s="38" t="str"/>
      <x:c r="B30" s="38" t="str"/>
      <x:c r="C30" s="39"/>
      <x:c r="D30" s="39"/>
      <x:c r="E30" s="39" t="str">
        <x:f>IF(C30="","",C30-D30)</x:f>
      </x:c>
      <x:c r="F30" s="46"/>
      <x:c r="G30" s="46"/>
      <x:c r="H30" s="39"/>
      <x:c r="I30" s="39"/>
      <x:c r="J30" s="40"/>
      <x:c r="K30" s="40" t="str">
        <x:f>IFERROR(D30/C30,"")</x:f>
      </x:c>
    </x:row>
    <x:row r="31">
      <x:c r="A31" s="38" t="str"/>
      <x:c r="B31" s="38" t="str"/>
      <x:c r="C31" s="39"/>
      <x:c r="D31" s="39"/>
      <x:c r="E31" s="39" t="str">
        <x:f>IF(C31="","",C31-D31)</x:f>
      </x:c>
      <x:c r="F31" s="46"/>
      <x:c r="G31" s="46"/>
      <x:c r="H31" s="39"/>
      <x:c r="I31" s="39"/>
      <x:c r="J31" s="40"/>
      <x:c r="K31" s="40" t="str">
        <x:f>IFERROR(D31/C31,"")</x:f>
      </x:c>
    </x:row>
    <x:row r="32">
      <x:c r="A32" s="38" t="str"/>
      <x:c r="B32" s="38" t="str"/>
      <x:c r="C32" s="39"/>
      <x:c r="D32" s="39"/>
      <x:c r="E32" s="39" t="str">
        <x:f>IF(C32="","",C32-D32)</x:f>
      </x:c>
      <x:c r="F32" s="46"/>
      <x:c r="G32" s="46"/>
      <x:c r="H32" s="39"/>
      <x:c r="I32" s="39"/>
      <x:c r="J32" s="40"/>
      <x:c r="K32" s="40" t="str">
        <x:f>IFERROR(D32/C32,"")</x:f>
      </x:c>
    </x:row>
    <x:row r="33">
      <x:c r="A33" s="38" t="str"/>
      <x:c r="B33" s="38" t="str"/>
      <x:c r="C33" s="39"/>
      <x:c r="D33" s="39"/>
      <x:c r="E33" s="39" t="str">
        <x:f>IF(C33="","",C33-D33)</x:f>
      </x:c>
      <x:c r="F33" s="46"/>
      <x:c r="G33" s="46"/>
      <x:c r="H33" s="39"/>
      <x:c r="I33" s="39"/>
      <x:c r="J33" s="40"/>
      <x:c r="K33" s="40" t="str">
        <x:f>IFERROR(D33/C33,"")</x:f>
      </x:c>
    </x:row>
    <x:row r="34">
      <x:c r="A34" s="38" t="str"/>
      <x:c r="B34" s="38" t="str"/>
      <x:c r="C34" s="39"/>
      <x:c r="D34" s="39"/>
      <x:c r="E34" s="39" t="str">
        <x:f>IF(C34="","",C34-D34)</x:f>
      </x:c>
      <x:c r="F34" s="46"/>
      <x:c r="G34" s="46"/>
      <x:c r="H34" s="39"/>
      <x:c r="I34" s="39"/>
      <x:c r="J34" s="40"/>
      <x:c r="K34" s="40" t="str">
        <x:f>IFERROR(D34/C34,"")</x:f>
      </x:c>
    </x:row>
    <x:row r="35">
      <x:c r="A35" s="38" t="str"/>
      <x:c r="B35" s="38" t="str"/>
      <x:c r="C35" s="39"/>
      <x:c r="D35" s="39"/>
      <x:c r="E35" s="39" t="str">
        <x:f>IF(C35="","",C35-D35)</x:f>
      </x:c>
      <x:c r="F35" s="46"/>
      <x:c r="G35" s="46"/>
      <x:c r="H35" s="39"/>
      <x:c r="I35" s="39"/>
      <x:c r="J35" s="40"/>
      <x:c r="K35" s="40" t="str">
        <x:f>IFERROR(D35/C35,"")</x:f>
      </x:c>
    </x:row>
    <x:row r="36">
      <x:c r="A36" s="38" t="str"/>
      <x:c r="B36" s="38" t="str"/>
      <x:c r="C36" s="39"/>
      <x:c r="D36" s="39"/>
      <x:c r="E36" s="39" t="str">
        <x:f>IF(C36="","",C36-D36)</x:f>
      </x:c>
      <x:c r="F36" s="46"/>
      <x:c r="G36" s="46"/>
      <x:c r="H36" s="39"/>
      <x:c r="I36" s="39"/>
      <x:c r="J36" s="40"/>
      <x:c r="K36" s="40" t="str">
        <x:f>IFERROR(D36/C36,"")</x:f>
      </x:c>
    </x:row>
    <x:row r="37">
      <x:c r="A37" s="38" t="str"/>
      <x:c r="B37" s="38" t="str"/>
      <x:c r="C37" s="39"/>
      <x:c r="D37" s="39"/>
      <x:c r="E37" s="39" t="str">
        <x:f>IF(C37="","",C37-D37)</x:f>
      </x:c>
      <x:c r="F37" s="46"/>
      <x:c r="G37" s="46"/>
      <x:c r="H37" s="39"/>
      <x:c r="I37" s="39"/>
      <x:c r="J37" s="40"/>
      <x:c r="K37" s="40" t="str">
        <x:f>IFERROR(D37/C37,"")</x:f>
      </x:c>
    </x:row>
    <x:row r="38">
      <x:c r="A38" s="38" t="str"/>
      <x:c r="B38" s="38" t="str"/>
      <x:c r="C38" s="39"/>
      <x:c r="D38" s="39"/>
      <x:c r="E38" s="39" t="str">
        <x:f>IF(C38="","",C38-D38)</x:f>
      </x:c>
      <x:c r="F38" s="46"/>
      <x:c r="G38" s="46"/>
      <x:c r="H38" s="39"/>
      <x:c r="I38" s="39"/>
      <x:c r="J38" s="40"/>
      <x:c r="K38" s="40" t="str">
        <x:f>IFERROR(D38/C38,"")</x:f>
      </x:c>
    </x:row>
    <x:row r="39">
      <x:c r="A39" s="38" t="str"/>
      <x:c r="B39" s="38" t="str"/>
      <x:c r="C39" s="39"/>
      <x:c r="D39" s="39"/>
      <x:c r="E39" s="39" t="str">
        <x:f>IF(C39="","",C39-D39)</x:f>
      </x:c>
      <x:c r="F39" s="46"/>
      <x:c r="G39" s="46"/>
      <x:c r="H39" s="39"/>
      <x:c r="I39" s="39"/>
      <x:c r="J39" s="40"/>
      <x:c r="K39" s="40" t="str">
        <x:f>IFERROR(D39/C39,"")</x:f>
      </x:c>
    </x:row>
    <x:row r="40">
      <x:c r="A40" s="38" t="str"/>
      <x:c r="B40" s="38" t="str"/>
      <x:c r="C40" s="39"/>
      <x:c r="D40" s="39"/>
      <x:c r="E40" s="39" t="str">
        <x:f>IF(C40="","",C40-D40)</x:f>
      </x:c>
      <x:c r="F40" s="46"/>
      <x:c r="G40" s="46"/>
      <x:c r="H40" s="39"/>
      <x:c r="I40" s="39"/>
      <x:c r="J40" s="40"/>
      <x:c r="K40" s="40" t="str">
        <x:f>IFERROR(D40/C40,"")</x:f>
      </x:c>
    </x:row>
    <x:row r="41">
      <x:c r="A41" s="38" t="str"/>
      <x:c r="B41" s="38" t="str"/>
      <x:c r="C41" s="39"/>
      <x:c r="D41" s="39"/>
      <x:c r="E41" s="39" t="str">
        <x:f>IF(C41="","",C41-D41)</x:f>
      </x:c>
      <x:c r="F41" s="46"/>
      <x:c r="G41" s="46"/>
      <x:c r="H41" s="39"/>
      <x:c r="I41" s="39"/>
      <x:c r="J41" s="40"/>
      <x:c r="K41" s="40" t="str">
        <x:f>IFERROR(D41/C41,"")</x:f>
      </x:c>
    </x:row>
    <x:row r="42">
      <x:c r="A42" s="38" t="str"/>
      <x:c r="B42" s="38" t="str"/>
      <x:c r="C42" s="39"/>
      <x:c r="D42" s="39"/>
      <x:c r="E42" s="39" t="str">
        <x:f>IF(C42="","",C42-D42)</x:f>
      </x:c>
      <x:c r="F42" s="46"/>
      <x:c r="G42" s="46"/>
      <x:c r="H42" s="39"/>
      <x:c r="I42" s="39"/>
      <x:c r="J42" s="40"/>
      <x:c r="K42" s="40" t="str">
        <x:f>IFERROR(D42/C42,"")</x:f>
      </x:c>
    </x:row>
    <x:row r="43">
      <x:c r="A43" s="38" t="str"/>
      <x:c r="B43" s="38" t="str"/>
      <x:c r="C43" s="39"/>
      <x:c r="D43" s="39"/>
      <x:c r="E43" s="39" t="str">
        <x:f>IF(C43="","",C43-D43)</x:f>
      </x:c>
      <x:c r="F43" s="46"/>
      <x:c r="G43" s="46"/>
      <x:c r="H43" s="39"/>
      <x:c r="I43" s="39"/>
      <x:c r="J43" s="40"/>
      <x:c r="K43" s="40" t="str">
        <x:f>IFERROR(D43/C43,"")</x:f>
      </x:c>
    </x:row>
    <x:row r="44">
      <x:c r="A44" s="38" t="str"/>
      <x:c r="B44" s="38" t="str"/>
      <x:c r="C44" s="39"/>
      <x:c r="D44" s="39"/>
      <x:c r="E44" s="39" t="str">
        <x:f>IF(C44="","",C44-D44)</x:f>
      </x:c>
      <x:c r="F44" s="46"/>
      <x:c r="G44" s="46"/>
      <x:c r="H44" s="39"/>
      <x:c r="I44" s="39"/>
      <x:c r="J44" s="40"/>
      <x:c r="K44" s="40" t="str">
        <x:f>IFERROR(D44/C44,"")</x:f>
      </x:c>
    </x:row>
    <x:row r="45">
      <x:c r="A45" s="38" t="str"/>
      <x:c r="B45" s="38" t="str"/>
      <x:c r="C45" s="39"/>
      <x:c r="D45" s="39"/>
      <x:c r="E45" s="39" t="str">
        <x:f>IF(C45="","",C45-D45)</x:f>
      </x:c>
      <x:c r="F45" s="46"/>
      <x:c r="G45" s="46"/>
      <x:c r="H45" s="39"/>
      <x:c r="I45" s="39"/>
      <x:c r="J45" s="40"/>
      <x:c r="K45" s="40" t="str">
        <x:f>IFERROR(D45/C45,"")</x:f>
      </x:c>
    </x:row>
    <x:row r="46">
      <x:c r="A46" s="38" t="str"/>
      <x:c r="B46" s="38" t="str"/>
      <x:c r="C46" s="39"/>
      <x:c r="D46" s="39"/>
      <x:c r="E46" s="39" t="str">
        <x:f>IF(C46="","",C46-D46)</x:f>
      </x:c>
      <x:c r="F46" s="46"/>
      <x:c r="G46" s="46"/>
      <x:c r="H46" s="39"/>
      <x:c r="I46" s="39"/>
      <x:c r="J46" s="40"/>
      <x:c r="K46" s="40" t="str">
        <x:f>IFERROR(D46/C46,"")</x:f>
      </x:c>
    </x:row>
    <x:row r="47">
      <x:c r="A47" s="38" t="str"/>
      <x:c r="B47" s="38" t="str"/>
      <x:c r="C47" s="39"/>
      <x:c r="D47" s="39"/>
      <x:c r="E47" s="39" t="str">
        <x:f>IF(C47="","",C47-D47)</x:f>
      </x:c>
      <x:c r="F47" s="46"/>
      <x:c r="G47" s="46"/>
      <x:c r="H47" s="39"/>
      <x:c r="I47" s="39"/>
      <x:c r="J47" s="40"/>
      <x:c r="K47" s="40" t="str">
        <x:f>IFERROR(D47/C47,"")</x:f>
      </x:c>
    </x:row>
    <x:row r="48">
      <x:c r="A48" s="38" t="str"/>
      <x:c r="B48" s="38" t="str"/>
      <x:c r="C48" s="39"/>
      <x:c r="D48" s="39"/>
      <x:c r="E48" s="39" t="str">
        <x:f>IF(C48="","",C48-D48)</x:f>
      </x:c>
      <x:c r="F48" s="46"/>
      <x:c r="G48" s="46"/>
      <x:c r="H48" s="39"/>
      <x:c r="I48" s="39"/>
      <x:c r="J48" s="40"/>
      <x:c r="K48" s="40" t="str">
        <x:f>IFERROR(D48/C48,"")</x:f>
      </x:c>
    </x:row>
    <x:row r="49">
      <x:c r="A49" s="38" t="str"/>
      <x:c r="B49" s="38" t="str"/>
      <x:c r="C49" s="39"/>
      <x:c r="D49" s="39"/>
      <x:c r="E49" s="39" t="str">
        <x:f>IF(C49="","",C49-D49)</x:f>
      </x:c>
      <x:c r="F49" s="46"/>
      <x:c r="G49" s="46"/>
      <x:c r="H49" s="39"/>
      <x:c r="I49" s="39"/>
      <x:c r="J49" s="40"/>
      <x:c r="K49" s="40" t="str">
        <x:f>IFERROR(D49/C49,"")</x:f>
      </x:c>
    </x:row>
    <x:row r="50">
      <x:c r="A50" s="38" t="str"/>
      <x:c r="B50" s="38" t="str"/>
      <x:c r="C50" s="39"/>
      <x:c r="D50" s="39"/>
      <x:c r="E50" s="39" t="str">
        <x:f>IF(C50="","",C50-D50)</x:f>
      </x:c>
      <x:c r="F50" s="46"/>
      <x:c r="G50" s="46"/>
      <x:c r="H50" s="39"/>
      <x:c r="I50" s="39"/>
      <x:c r="J50" s="40"/>
      <x:c r="K50" s="40" t="str">
        <x:f>IFERROR(D50/C50,"")</x:f>
      </x:c>
    </x:row>
    <x:row r="51">
      <x:c r="A51" s="38" t="str"/>
      <x:c r="B51" s="38" t="str"/>
      <x:c r="C51" s="39"/>
      <x:c r="D51" s="39"/>
      <x:c r="E51" s="39" t="str">
        <x:f>IF(C51="","",C51-D51)</x:f>
      </x:c>
      <x:c r="F51" s="46"/>
      <x:c r="G51" s="46"/>
      <x:c r="H51" s="39"/>
      <x:c r="I51" s="39"/>
      <x:c r="J51" s="40"/>
      <x:c r="K51" s="40" t="str">
        <x:f>IFERROR(D51/C51,"")</x:f>
      </x:c>
    </x:row>
    <x:row r="52">
      <x:c r="A52" s="38" t="str"/>
      <x:c r="B52" s="38" t="str"/>
      <x:c r="C52" s="39"/>
      <x:c r="D52" s="39"/>
      <x:c r="E52" s="39" t="str">
        <x:f>IF(C52="","",C52-D52)</x:f>
      </x:c>
      <x:c r="F52" s="46"/>
      <x:c r="G52" s="46"/>
      <x:c r="H52" s="39"/>
      <x:c r="I52" s="39"/>
      <x:c r="J52" s="40"/>
      <x:c r="K52" s="40" t="str">
        <x:f>IFERROR(D52/C52,"")</x:f>
      </x:c>
    </x:row>
    <x:row r="53">
      <x:c r="A53" s="38" t="str"/>
      <x:c r="B53" s="38" t="str"/>
      <x:c r="C53" s="39"/>
      <x:c r="D53" s="39"/>
      <x:c r="E53" s="39" t="str">
        <x:f>IF(C53="","",C53-D53)</x:f>
      </x:c>
      <x:c r="F53" s="46"/>
      <x:c r="G53" s="46"/>
      <x:c r="H53" s="39"/>
      <x:c r="I53" s="39"/>
      <x:c r="J53" s="40"/>
      <x:c r="K53" s="40" t="str">
        <x:f>IFERROR(D53/C53,"")</x:f>
      </x:c>
    </x:row>
    <x:row r="54">
      <x:c r="A54" s="38" t="str"/>
      <x:c r="B54" s="38" t="str"/>
      <x:c r="C54" s="39"/>
      <x:c r="D54" s="39"/>
      <x:c r="E54" s="39" t="str">
        <x:f>IF(C54="","",C54-D54)</x:f>
      </x:c>
      <x:c r="F54" s="46"/>
      <x:c r="G54" s="46"/>
      <x:c r="H54" s="39"/>
      <x:c r="I54" s="39"/>
      <x:c r="J54" s="40"/>
      <x:c r="K54" s="40" t="str">
        <x:f>IFERROR(D54/C54,"")</x:f>
      </x:c>
    </x:row>
    <x:row r="55">
      <x:c r="A55" s="38" t="str"/>
      <x:c r="B55" s="38" t="str"/>
      <x:c r="C55" s="39"/>
      <x:c r="D55" s="39"/>
      <x:c r="E55" s="39" t="str">
        <x:f>IF(C55="","",C55-D55)</x:f>
      </x:c>
      <x:c r="F55" s="46"/>
      <x:c r="G55" s="46"/>
      <x:c r="H55" s="39"/>
      <x:c r="I55" s="39"/>
      <x:c r="J55" s="40"/>
      <x:c r="K55" s="40" t="str">
        <x:f>IFERROR(D55/C55,"")</x:f>
      </x:c>
    </x:row>
    <x:row r="56">
      <x:c r="A56" s="38" t="str"/>
      <x:c r="B56" s="38" t="str"/>
      <x:c r="C56" s="39"/>
      <x:c r="D56" s="39"/>
      <x:c r="E56" s="39" t="str">
        <x:f>IF(C56="","",C56-D56)</x:f>
      </x:c>
      <x:c r="F56" s="46"/>
      <x:c r="G56" s="46"/>
      <x:c r="H56" s="39"/>
      <x:c r="I56" s="39"/>
      <x:c r="J56" s="40"/>
      <x:c r="K56" s="40" t="str">
        <x:f>IFERROR(D56/C56,"")</x:f>
      </x:c>
    </x:row>
    <x:row r="57">
      <x:c r="A57" s="38" t="str"/>
      <x:c r="B57" s="38" t="str"/>
      <x:c r="C57" s="39"/>
      <x:c r="D57" s="39"/>
      <x:c r="E57" s="39" t="str">
        <x:f>IF(C57="","",C57-D57)</x:f>
      </x:c>
      <x:c r="F57" s="46"/>
      <x:c r="G57" s="46"/>
      <x:c r="H57" s="39"/>
      <x:c r="I57" s="39"/>
      <x:c r="J57" s="40"/>
      <x:c r="K57" s="40" t="str">
        <x:f>IFERROR(D57/C57,"")</x:f>
      </x:c>
    </x:row>
    <x:row r="58">
      <x:c r="A58" s="38" t="str"/>
      <x:c r="B58" s="38" t="str"/>
      <x:c r="C58" s="39"/>
      <x:c r="D58" s="39"/>
      <x:c r="E58" s="39" t="str">
        <x:f>IF(C58="","",C58-D58)</x:f>
      </x:c>
      <x:c r="F58" s="46"/>
      <x:c r="G58" s="46"/>
      <x:c r="H58" s="39"/>
      <x:c r="I58" s="39"/>
      <x:c r="J58" s="40"/>
      <x:c r="K58" s="40" t="str">
        <x:f>IFERROR(D58/C58,"")</x:f>
      </x:c>
    </x:row>
    <x:row r="59">
      <x:c r="A59" s="38" t="str"/>
      <x:c r="B59" s="38" t="str"/>
      <x:c r="C59" s="39"/>
      <x:c r="D59" s="39"/>
      <x:c r="E59" s="39" t="str">
        <x:f>IF(C59="","",C59-D59)</x:f>
      </x:c>
      <x:c r="F59" s="46"/>
      <x:c r="G59" s="46"/>
      <x:c r="H59" s="39"/>
      <x:c r="I59" s="39"/>
      <x:c r="J59" s="40"/>
      <x:c r="K59" s="40" t="str">
        <x:f>IFERROR(D59/C59,"")</x:f>
      </x:c>
    </x:row>
    <x:row r="60">
      <x:c r="A60" s="38" t="str"/>
      <x:c r="B60" s="38" t="str"/>
      <x:c r="C60" s="39"/>
      <x:c r="D60" s="39"/>
      <x:c r="E60" s="39" t="str">
        <x:f>IF(C60="","",C60-D60)</x:f>
      </x:c>
      <x:c r="F60" s="46"/>
      <x:c r="G60" s="46"/>
      <x:c r="H60" s="39"/>
      <x:c r="I60" s="39"/>
      <x:c r="J60" s="40"/>
      <x:c r="K60" s="40" t="str">
        <x:f>IFERROR(D60/C60,"")</x:f>
      </x:c>
    </x:row>
    <x:row r="61">
      <x:c r="A61" s="38" t="str"/>
      <x:c r="B61" s="38" t="str"/>
      <x:c r="C61" s="39"/>
      <x:c r="D61" s="39"/>
      <x:c r="E61" s="39" t="str">
        <x:f>IF(C61="","",C61-D61)</x:f>
      </x:c>
      <x:c r="F61" s="46"/>
      <x:c r="G61" s="46"/>
      <x:c r="H61" s="39"/>
      <x:c r="I61" s="39"/>
      <x:c r="J61" s="40"/>
      <x:c r="K61" s="40" t="str">
        <x:f>IFERROR(D61/C61,"")</x:f>
      </x:c>
    </x:row>
    <x:row r="62">
      <x:c r="A62" s="38" t="str"/>
      <x:c r="B62" s="38" t="str"/>
      <x:c r="C62" s="39"/>
      <x:c r="D62" s="39"/>
      <x:c r="E62" s="39" t="str">
        <x:f>IF(C62="","",C62-D62)</x:f>
      </x:c>
      <x:c r="F62" s="46"/>
      <x:c r="G62" s="46"/>
      <x:c r="H62" s="39"/>
      <x:c r="I62" s="39"/>
      <x:c r="J62" s="40"/>
      <x:c r="K62" s="40" t="str">
        <x:f>IFERROR(D62/C62,"")</x:f>
      </x:c>
    </x:row>
    <x:row r="63">
      <x:c r="A63" s="38" t="str"/>
      <x:c r="B63" s="38" t="str"/>
      <x:c r="C63" s="39"/>
      <x:c r="D63" s="39"/>
      <x:c r="E63" s="39" t="str">
        <x:f>IF(C63="","",C63-D63)</x:f>
      </x:c>
      <x:c r="F63" s="46"/>
      <x:c r="G63" s="46"/>
      <x:c r="H63" s="39"/>
      <x:c r="I63" s="39"/>
      <x:c r="J63" s="40"/>
      <x:c r="K63" s="40" t="str">
        <x:f>IFERROR(D63/C63,"")</x:f>
      </x:c>
    </x:row>
    <x:row r="64">
      <x:c r="A64" s="38" t="str"/>
      <x:c r="B64" s="38" t="str"/>
      <x:c r="C64" s="39"/>
      <x:c r="D64" s="39"/>
      <x:c r="E64" s="39" t="str">
        <x:f>IF(C64="","",C64-D64)</x:f>
      </x:c>
      <x:c r="F64" s="46"/>
      <x:c r="G64" s="46"/>
      <x:c r="H64" s="39"/>
      <x:c r="I64" s="39"/>
      <x:c r="J64" s="40"/>
      <x:c r="K64" s="40" t="str">
        <x:f>IFERROR(D64/C64,"")</x:f>
      </x:c>
    </x:row>
    <x:row r="65">
      <x:c r="A65" s="38" t="str"/>
      <x:c r="B65" s="38" t="str"/>
      <x:c r="C65" s="39"/>
      <x:c r="D65" s="39"/>
      <x:c r="E65" s="39" t="str">
        <x:f>IF(C65="","",C65-D65)</x:f>
      </x:c>
      <x:c r="F65" s="46"/>
      <x:c r="G65" s="46"/>
      <x:c r="H65" s="39"/>
      <x:c r="I65" s="39"/>
      <x:c r="J65" s="40"/>
      <x:c r="K65" s="40" t="str">
        <x:f>IFERROR(D65/C65,"")</x:f>
      </x:c>
    </x:row>
    <x:row r="66">
      <x:c r="A66" s="38" t="str"/>
      <x:c r="B66" s="38" t="str"/>
      <x:c r="C66" s="39"/>
      <x:c r="D66" s="39"/>
      <x:c r="E66" s="39" t="str">
        <x:f>IF(C66="","",C66-D66)</x:f>
      </x:c>
      <x:c r="F66" s="46"/>
      <x:c r="G66" s="46"/>
      <x:c r="H66" s="39"/>
      <x:c r="I66" s="39"/>
      <x:c r="J66" s="40"/>
      <x:c r="K66" s="40" t="str">
        <x:f>IFERROR(D66/C66,"")</x:f>
      </x:c>
    </x:row>
    <x:row r="67">
      <x:c r="A67" s="38" t="str"/>
      <x:c r="B67" s="38" t="str"/>
      <x:c r="C67" s="39"/>
      <x:c r="D67" s="39"/>
      <x:c r="E67" s="39" t="str">
        <x:f>IF(C67="","",C67-D67)</x:f>
      </x:c>
      <x:c r="F67" s="46"/>
      <x:c r="G67" s="46"/>
      <x:c r="H67" s="39"/>
      <x:c r="I67" s="39"/>
      <x:c r="J67" s="40"/>
      <x:c r="K67" s="40" t="str">
        <x:f>IFERROR(D67/C67,"")</x:f>
      </x:c>
    </x:row>
    <x:row r="68">
      <x:c r="A68" s="38" t="str"/>
      <x:c r="B68" s="38" t="str"/>
      <x:c r="C68" s="39"/>
      <x:c r="D68" s="39"/>
      <x:c r="E68" s="39" t="str">
        <x:f>IF(C68="","",C68-D68)</x:f>
      </x:c>
      <x:c r="F68" s="46"/>
      <x:c r="G68" s="46"/>
      <x:c r="H68" s="39"/>
      <x:c r="I68" s="39"/>
      <x:c r="J68" s="40"/>
      <x:c r="K68" s="40" t="str">
        <x:f>IFERROR(D68/C68,"")</x:f>
      </x:c>
    </x:row>
    <x:row r="69">
      <x:c r="A69" s="38" t="str"/>
      <x:c r="B69" s="38" t="str"/>
      <x:c r="C69" s="39"/>
      <x:c r="D69" s="39"/>
      <x:c r="E69" s="39" t="str">
        <x:f>IF(C69="","",C69-D69)</x:f>
      </x:c>
      <x:c r="F69" s="46"/>
      <x:c r="G69" s="46"/>
      <x:c r="H69" s="39"/>
      <x:c r="I69" s="39"/>
      <x:c r="J69" s="40"/>
      <x:c r="K69" s="40" t="str">
        <x:f>IFERROR(D69/C69,"")</x:f>
      </x:c>
    </x:row>
    <x:row r="70">
      <x:c r="A70" s="38" t="str"/>
      <x:c r="B70" s="38" t="str"/>
      <x:c r="C70" s="39"/>
      <x:c r="D70" s="39"/>
      <x:c r="E70" s="39" t="str">
        <x:f>IF(C70="","",C70-D70)</x:f>
      </x:c>
      <x:c r="F70" s="46"/>
      <x:c r="G70" s="46"/>
      <x:c r="H70" s="39"/>
      <x:c r="I70" s="39"/>
      <x:c r="J70" s="40"/>
      <x:c r="K70" s="40" t="str">
        <x:f>IFERROR(D70/C70,"")</x:f>
      </x:c>
    </x:row>
    <x:row r="71">
      <x:c r="A71" s="38" t="str"/>
      <x:c r="B71" s="38" t="str"/>
      <x:c r="C71" s="39"/>
      <x:c r="D71" s="39"/>
      <x:c r="E71" s="39" t="str">
        <x:f>IF(C71="","",C71-D71)</x:f>
      </x:c>
      <x:c r="F71" s="46"/>
      <x:c r="G71" s="46"/>
      <x:c r="H71" s="39"/>
      <x:c r="I71" s="39"/>
      <x:c r="J71" s="40"/>
      <x:c r="K71" s="40" t="str">
        <x:f>IFERROR(D71/C71,"")</x:f>
      </x:c>
    </x:row>
    <x:row r="72">
      <x:c r="A72" s="38" t="str"/>
      <x:c r="B72" s="38" t="str"/>
      <x:c r="C72" s="39"/>
      <x:c r="D72" s="39"/>
      <x:c r="E72" s="39" t="str">
        <x:f>IF(C72="","",C72-D72)</x:f>
      </x:c>
      <x:c r="F72" s="46"/>
      <x:c r="G72" s="46"/>
      <x:c r="H72" s="39"/>
      <x:c r="I72" s="39"/>
      <x:c r="J72" s="40"/>
      <x:c r="K72" s="40" t="str">
        <x:f>IFERROR(D72/C72,"")</x:f>
      </x:c>
    </x:row>
    <x:row r="73">
      <x:c r="A73" s="38" t="str"/>
      <x:c r="B73" s="38" t="str"/>
      <x:c r="C73" s="39"/>
      <x:c r="D73" s="39"/>
      <x:c r="E73" s="39" t="str">
        <x:f>IF(C73="","",C73-D73)</x:f>
      </x:c>
      <x:c r="F73" s="46"/>
      <x:c r="G73" s="46"/>
      <x:c r="H73" s="39"/>
      <x:c r="I73" s="39"/>
      <x:c r="J73" s="40"/>
      <x:c r="K73" s="40" t="str">
        <x:f>IFERROR(D73/C73,"")</x:f>
      </x:c>
    </x:row>
    <x:row r="74">
      <x:c r="A74" s="38" t="str"/>
      <x:c r="B74" s="38" t="str"/>
      <x:c r="C74" s="39"/>
      <x:c r="D74" s="39"/>
      <x:c r="E74" s="39" t="str">
        <x:f>IF(C74="","",C74-D74)</x:f>
      </x:c>
      <x:c r="F74" s="46"/>
      <x:c r="G74" s="46"/>
      <x:c r="H74" s="39"/>
      <x:c r="I74" s="39"/>
      <x:c r="J74" s="40"/>
      <x:c r="K74" s="40" t="str">
        <x:f>IFERROR(D74/C74,"")</x:f>
      </x:c>
    </x:row>
    <x:row r="75">
      <x:c r="A75" s="38" t="str"/>
      <x:c r="B75" s="38" t="str"/>
      <x:c r="C75" s="39"/>
      <x:c r="D75" s="39"/>
      <x:c r="E75" s="39" t="str">
        <x:f>IF(C75="","",C75-D75)</x:f>
      </x:c>
      <x:c r="F75" s="46"/>
      <x:c r="G75" s="46"/>
      <x:c r="H75" s="39"/>
      <x:c r="I75" s="39"/>
      <x:c r="J75" s="40"/>
      <x:c r="K75" s="40" t="str">
        <x:f>IFERROR(D75/C75,"")</x:f>
      </x:c>
    </x:row>
    <x:row r="76">
      <x:c r="A76" s="38" t="str"/>
      <x:c r="B76" s="38" t="str"/>
      <x:c r="C76" s="39"/>
      <x:c r="D76" s="39"/>
      <x:c r="E76" s="39" t="str">
        <x:f>IF(C76="","",C76-D76)</x:f>
      </x:c>
      <x:c r="F76" s="46"/>
      <x:c r="G76" s="46"/>
      <x:c r="H76" s="39"/>
      <x:c r="I76" s="39"/>
      <x:c r="J76" s="40"/>
      <x:c r="K76" s="40" t="str">
        <x:f>IFERROR(D76/C76,"")</x:f>
      </x:c>
    </x:row>
    <x:row r="77">
      <x:c r="A77" s="38" t="str"/>
      <x:c r="B77" s="38" t="str"/>
      <x:c r="C77" s="39"/>
      <x:c r="D77" s="39"/>
      <x:c r="E77" s="39" t="str">
        <x:f>IF(C77="","",C77-D77)</x:f>
      </x:c>
      <x:c r="F77" s="46"/>
      <x:c r="G77" s="46"/>
      <x:c r="H77" s="39"/>
      <x:c r="I77" s="39"/>
      <x:c r="J77" s="40"/>
      <x:c r="K77" s="40" t="str">
        <x:f>IFERROR(D77/C77,"")</x:f>
      </x:c>
    </x:row>
    <x:row r="78">
      <x:c r="A78" s="38" t="str"/>
      <x:c r="B78" s="38" t="str"/>
      <x:c r="C78" s="39"/>
      <x:c r="D78" s="39"/>
      <x:c r="E78" s="39" t="str">
        <x:f>IF(C78="","",C78-D78)</x:f>
      </x:c>
      <x:c r="F78" s="46"/>
      <x:c r="G78" s="46"/>
      <x:c r="H78" s="39"/>
      <x:c r="I78" s="39"/>
      <x:c r="J78" s="40"/>
      <x:c r="K78" s="40" t="str">
        <x:f>IFERROR(D78/C78,"")</x:f>
      </x:c>
    </x:row>
    <x:row r="79">
      <x:c r="A79" s="38" t="str"/>
      <x:c r="B79" s="38" t="str"/>
      <x:c r="C79" s="39"/>
      <x:c r="D79" s="39"/>
      <x:c r="E79" s="39" t="str">
        <x:f>IF(C79="","",C79-D79)</x:f>
      </x:c>
      <x:c r="F79" s="46"/>
      <x:c r="G79" s="46"/>
      <x:c r="H79" s="39"/>
      <x:c r="I79" s="39"/>
      <x:c r="J79" s="40"/>
      <x:c r="K79" s="40" t="str">
        <x:f>IFERROR(D79/C79,"")</x:f>
      </x:c>
    </x:row>
    <x:row r="80">
      <x:c r="A80" s="38" t="str"/>
      <x:c r="B80" s="38" t="str"/>
      <x:c r="C80" s="39"/>
      <x:c r="D80" s="39"/>
      <x:c r="E80" s="39" t="str">
        <x:f>IF(C80="","",C80-D80)</x:f>
      </x:c>
      <x:c r="F80" s="46"/>
      <x:c r="G80" s="46"/>
      <x:c r="H80" s="39"/>
      <x:c r="I80" s="39"/>
      <x:c r="J80" s="40"/>
      <x:c r="K80" s="40" t="str">
        <x:f>IFERROR(D80/C80,"")</x:f>
      </x:c>
    </x:row>
    <x:row r="81">
      <x:c r="A81" s="38" t="str"/>
      <x:c r="B81" s="38" t="str"/>
      <x:c r="C81" s="39"/>
      <x:c r="D81" s="39"/>
      <x:c r="E81" s="39" t="str">
        <x:f>IF(C81="","",C81-D81)</x:f>
      </x:c>
      <x:c r="F81" s="46"/>
      <x:c r="G81" s="46"/>
      <x:c r="H81" s="39"/>
      <x:c r="I81" s="39"/>
      <x:c r="J81" s="40"/>
      <x:c r="K81" s="40" t="str">
        <x:f>IFERROR(D81/C81,"")</x:f>
      </x:c>
    </x:row>
    <x:row r="82">
      <x:c r="A82" s="38" t="str"/>
      <x:c r="B82" s="38" t="str"/>
      <x:c r="C82" s="39"/>
      <x:c r="D82" s="39"/>
      <x:c r="E82" s="39" t="str">
        <x:f>IF(C82="","",C82-D82)</x:f>
      </x:c>
      <x:c r="F82" s="46"/>
      <x:c r="G82" s="46"/>
      <x:c r="H82" s="39"/>
      <x:c r="I82" s="39"/>
      <x:c r="J82" s="40"/>
      <x:c r="K82" s="40" t="str">
        <x:f>IFERROR(D82/C82,"")</x:f>
      </x:c>
    </x:row>
    <x:row r="83">
      <x:c r="A83" s="38" t="str"/>
      <x:c r="B83" s="38" t="str"/>
      <x:c r="C83" s="39"/>
      <x:c r="D83" s="39"/>
      <x:c r="E83" s="39" t="str">
        <x:f>IF(C83="","",C83-D83)</x:f>
      </x:c>
      <x:c r="F83" s="46"/>
      <x:c r="G83" s="46"/>
      <x:c r="H83" s="39"/>
      <x:c r="I83" s="39"/>
      <x:c r="J83" s="40"/>
      <x:c r="K83" s="40" t="str">
        <x:f>IFERROR(D83/C83,"")</x:f>
      </x:c>
    </x:row>
    <x:row r="84">
      <x:c r="A84" s="38" t="str"/>
      <x:c r="B84" s="38" t="str"/>
      <x:c r="C84" s="39"/>
      <x:c r="D84" s="39"/>
      <x:c r="E84" s="39" t="str">
        <x:f>IF(C84="","",C84-D84)</x:f>
      </x:c>
      <x:c r="F84" s="46"/>
      <x:c r="G84" s="46"/>
      <x:c r="H84" s="39"/>
      <x:c r="I84" s="39"/>
      <x:c r="J84" s="40"/>
      <x:c r="K84" s="40" t="str">
        <x:f>IFERROR(D84/C84,"")</x:f>
      </x:c>
    </x:row>
    <x:row r="85">
      <x:c r="A85" s="38" t="str"/>
      <x:c r="B85" s="38" t="str"/>
      <x:c r="C85" s="39"/>
      <x:c r="D85" s="39"/>
      <x:c r="E85" s="39" t="str">
        <x:f>IF(C85="","",C85-D85)</x:f>
      </x:c>
      <x:c r="F85" s="46"/>
      <x:c r="G85" s="46"/>
      <x:c r="H85" s="39"/>
      <x:c r="I85" s="39"/>
      <x:c r="J85" s="40"/>
      <x:c r="K85" s="40" t="str">
        <x:f>IFERROR(D85/C85,"")</x:f>
      </x:c>
    </x:row>
    <x:row r="86">
      <x:c r="A86" s="38" t="str"/>
      <x:c r="B86" s="38" t="str"/>
      <x:c r="C86" s="39"/>
      <x:c r="D86" s="39"/>
      <x:c r="E86" s="39" t="str">
        <x:f>IF(C86="","",C86-D86)</x:f>
      </x:c>
      <x:c r="F86" s="46"/>
      <x:c r="G86" s="46"/>
      <x:c r="H86" s="39"/>
      <x:c r="I86" s="39"/>
      <x:c r="J86" s="40"/>
      <x:c r="K86" s="40" t="str">
        <x:f>IFERROR(D86/C86,"")</x:f>
      </x:c>
    </x:row>
    <x:row r="87">
      <x:c r="A87" s="38" t="str"/>
      <x:c r="B87" s="38" t="str"/>
      <x:c r="C87" s="39"/>
      <x:c r="D87" s="39"/>
      <x:c r="E87" s="39" t="str">
        <x:f>IF(C87="","",C87-D87)</x:f>
      </x:c>
      <x:c r="F87" s="46"/>
      <x:c r="G87" s="46"/>
      <x:c r="H87" s="39"/>
      <x:c r="I87" s="39"/>
      <x:c r="J87" s="40"/>
      <x:c r="K87" s="40" t="str">
        <x:f>IFERROR(D87/C87,"")</x:f>
      </x:c>
    </x:row>
    <x:row r="88">
      <x:c r="A88" s="38" t="str"/>
      <x:c r="B88" s="38" t="str"/>
      <x:c r="C88" s="39"/>
      <x:c r="D88" s="39"/>
      <x:c r="E88" s="39" t="str">
        <x:f>IF(C88="","",C88-D88)</x:f>
      </x:c>
      <x:c r="F88" s="46"/>
      <x:c r="G88" s="46"/>
      <x:c r="H88" s="39"/>
      <x:c r="I88" s="39"/>
      <x:c r="J88" s="40"/>
      <x:c r="K88" s="40" t="str">
        <x:f>IFERROR(D88/C88,"")</x:f>
      </x:c>
    </x:row>
    <x:row r="89">
      <x:c r="A89" s="38" t="str"/>
      <x:c r="B89" s="38" t="str"/>
      <x:c r="C89" s="39"/>
      <x:c r="D89" s="39"/>
      <x:c r="E89" s="39" t="str">
        <x:f>IF(C89="","",C89-D89)</x:f>
      </x:c>
      <x:c r="F89" s="46"/>
      <x:c r="G89" s="46"/>
      <x:c r="H89" s="39"/>
      <x:c r="I89" s="39"/>
      <x:c r="J89" s="40"/>
      <x:c r="K89" s="40" t="str">
        <x:f>IFERROR(D89/C89,"")</x:f>
      </x:c>
    </x:row>
    <x:row r="90">
      <x:c r="A90" s="38" t="str"/>
      <x:c r="B90" s="38" t="str"/>
      <x:c r="C90" s="39"/>
      <x:c r="D90" s="39"/>
      <x:c r="E90" s="39" t="str">
        <x:f>IF(C90="","",C90-D90)</x:f>
      </x:c>
      <x:c r="F90" s="46"/>
      <x:c r="G90" s="46"/>
      <x:c r="H90" s="39"/>
      <x:c r="I90" s="39"/>
      <x:c r="J90" s="40"/>
      <x:c r="K90" s="40" t="str">
        <x:f>IFERROR(D90/C90,"")</x:f>
      </x:c>
    </x:row>
    <x:row r="91">
      <x:c r="A91" s="38" t="str"/>
      <x:c r="B91" s="38" t="str"/>
      <x:c r="C91" s="39"/>
      <x:c r="D91" s="39"/>
      <x:c r="E91" s="39" t="str">
        <x:f>IF(C91="","",C91-D91)</x:f>
      </x:c>
      <x:c r="F91" s="46"/>
      <x:c r="G91" s="46"/>
      <x:c r="H91" s="39"/>
      <x:c r="I91" s="39"/>
      <x:c r="J91" s="40"/>
      <x:c r="K91" s="40" t="str">
        <x:f>IFERROR(D91/C91,"")</x:f>
      </x:c>
    </x:row>
    <x:row r="92">
      <x:c r="A92" s="38" t="str"/>
      <x:c r="B92" s="38" t="str"/>
      <x:c r="C92" s="39"/>
      <x:c r="D92" s="39"/>
      <x:c r="E92" s="39" t="str">
        <x:f>IF(C92="","",C92-D92)</x:f>
      </x:c>
      <x:c r="F92" s="46"/>
      <x:c r="G92" s="46"/>
      <x:c r="H92" s="39"/>
      <x:c r="I92" s="39"/>
      <x:c r="J92" s="40"/>
      <x:c r="K92" s="40" t="str">
        <x:f>IFERROR(D92/C92,"")</x:f>
      </x:c>
    </x:row>
    <x:row r="93">
      <x:c r="A93" s="38" t="str"/>
      <x:c r="B93" s="38" t="str"/>
      <x:c r="C93" s="39"/>
      <x:c r="D93" s="39"/>
      <x:c r="E93" s="39" t="str">
        <x:f>IF(C93="","",C93-D93)</x:f>
      </x:c>
      <x:c r="F93" s="46"/>
      <x:c r="G93" s="46"/>
      <x:c r="H93" s="39"/>
      <x:c r="I93" s="39"/>
      <x:c r="J93" s="40"/>
      <x:c r="K93" s="40" t="str">
        <x:f>IFERROR(D93/C93,"")</x:f>
      </x:c>
    </x:row>
    <x:row r="94">
      <x:c r="A94" s="38" t="str"/>
      <x:c r="B94" s="38" t="str"/>
      <x:c r="C94" s="39"/>
      <x:c r="D94" s="39"/>
      <x:c r="E94" s="39" t="str">
        <x:f>IF(C94="","",C94-D94)</x:f>
      </x:c>
      <x:c r="F94" s="46"/>
      <x:c r="G94" s="46"/>
      <x:c r="H94" s="39"/>
      <x:c r="I94" s="39"/>
      <x:c r="J94" s="40"/>
      <x:c r="K94" s="40" t="str">
        <x:f>IFERROR(D94/C94,"")</x:f>
      </x:c>
    </x:row>
    <x:row r="95">
      <x:c r="A95" s="38" t="str"/>
      <x:c r="B95" s="38" t="str"/>
      <x:c r="C95" s="39"/>
      <x:c r="D95" s="39"/>
      <x:c r="E95" s="39" t="str">
        <x:f>IF(C95="","",C95-D95)</x:f>
      </x:c>
      <x:c r="F95" s="46"/>
      <x:c r="G95" s="46"/>
      <x:c r="H95" s="39"/>
      <x:c r="I95" s="39"/>
      <x:c r="J95" s="40"/>
      <x:c r="K95" s="40" t="str">
        <x:f>IFERROR(D95/C95,"")</x:f>
      </x:c>
    </x:row>
    <x:row r="96">
      <x:c r="A96" s="38" t="str"/>
      <x:c r="B96" s="38" t="str"/>
      <x:c r="C96" s="39"/>
      <x:c r="D96" s="39"/>
      <x:c r="E96" s="39" t="str">
        <x:f>IF(C96="","",C96-D96)</x:f>
      </x:c>
      <x:c r="F96" s="46"/>
      <x:c r="G96" s="46"/>
      <x:c r="H96" s="39"/>
      <x:c r="I96" s="39"/>
      <x:c r="J96" s="40"/>
      <x:c r="K96" s="40" t="str">
        <x:f>IFERROR(D96/C96,"")</x:f>
      </x:c>
    </x:row>
    <x:row r="97">
      <x:c r="A97" s="38" t="str"/>
      <x:c r="B97" s="38" t="str"/>
      <x:c r="C97" s="39"/>
      <x:c r="D97" s="39"/>
      <x:c r="E97" s="39" t="str">
        <x:f>IF(C97="","",C97-D97)</x:f>
      </x:c>
      <x:c r="F97" s="46"/>
      <x:c r="G97" s="46"/>
      <x:c r="H97" s="39"/>
      <x:c r="I97" s="39"/>
      <x:c r="J97" s="40"/>
      <x:c r="K97" s="40" t="str">
        <x:f>IFERROR(D97/C97,"")</x:f>
      </x:c>
    </x:row>
    <x:row r="98">
      <x:c r="A98" s="38" t="str"/>
      <x:c r="B98" s="38" t="str"/>
      <x:c r="C98" s="39"/>
      <x:c r="D98" s="39"/>
      <x:c r="E98" s="39" t="str">
        <x:f>IF(C98="","",C98-D98)</x:f>
      </x:c>
      <x:c r="F98" s="46"/>
      <x:c r="G98" s="46"/>
      <x:c r="H98" s="39"/>
      <x:c r="I98" s="39"/>
      <x:c r="J98" s="40"/>
      <x:c r="K98" s="40" t="str">
        <x:f>IFERROR(D98/C98,"")</x:f>
      </x:c>
    </x:row>
    <x:row r="99">
      <x:c r="A99" s="38" t="str"/>
      <x:c r="B99" s="38" t="str"/>
      <x:c r="C99" s="39"/>
      <x:c r="D99" s="39"/>
      <x:c r="E99" s="39" t="str">
        <x:f>IF(C99="","",C99-D99)</x:f>
      </x:c>
      <x:c r="F99" s="46"/>
      <x:c r="G99" s="46"/>
      <x:c r="H99" s="39"/>
      <x:c r="I99" s="39"/>
      <x:c r="J99" s="40"/>
      <x:c r="K99" s="40" t="str">
        <x:f>IFERROR(D99/C99,"")</x:f>
      </x:c>
    </x:row>
    <x:row r="100">
      <x:c r="A100" s="38" t="str"/>
      <x:c r="B100" s="38" t="str"/>
      <x:c r="C100" s="39"/>
      <x:c r="D100" s="39"/>
      <x:c r="E100" s="39" t="str">
        <x:f>IF(C100="","",C100-D100)</x:f>
      </x:c>
      <x:c r="F100" s="46"/>
      <x:c r="G100" s="46"/>
      <x:c r="H100" s="39"/>
      <x:c r="I100" s="39"/>
      <x:c r="J100" s="40"/>
      <x:c r="K100" s="40" t="str">
        <x:f>IFERROR(D100/C100,"")</x:f>
      </x:c>
    </x:row>
    <x:row r="101">
      <x:c r="A101" s="38" t="str"/>
      <x:c r="B101" s="38" t="str"/>
      <x:c r="C101" s="39"/>
      <x:c r="D101" s="39"/>
      <x:c r="E101" s="39" t="str">
        <x:f>IF(C101="","",C101-D101)</x:f>
      </x:c>
      <x:c r="F101" s="46"/>
      <x:c r="G101" s="46"/>
      <x:c r="H101" s="39"/>
      <x:c r="I101" s="39"/>
      <x:c r="J101" s="40"/>
      <x:c r="K101" s="40" t="str">
        <x:f>IFERROR(D101/C101,"")</x:f>
      </x:c>
    </x:row>
    <x:row r="102">
      <x:c r="A102" s="38" t="str"/>
      <x:c r="B102" s="38" t="str"/>
      <x:c r="C102" s="39"/>
      <x:c r="D102" s="39"/>
      <x:c r="E102" s="39" t="str">
        <x:f>IF(C102="","",C102-D102)</x:f>
      </x:c>
      <x:c r="F102" s="46"/>
      <x:c r="G102" s="46"/>
      <x:c r="H102" s="39"/>
      <x:c r="I102" s="39"/>
      <x:c r="J102" s="40"/>
      <x:c r="K102" s="40" t="str">
        <x:f>IFERROR(D102/C102,"")</x:f>
      </x:c>
    </x:row>
    <x:row r="103">
      <x:c r="A103" s="38" t="str"/>
      <x:c r="B103" s="38" t="str"/>
      <x:c r="C103" s="39"/>
      <x:c r="D103" s="39"/>
      <x:c r="E103" s="39" t="str">
        <x:f>IF(C103="","",C103-D103)</x:f>
      </x:c>
      <x:c r="F103" s="46"/>
      <x:c r="G103" s="46"/>
      <x:c r="H103" s="39"/>
      <x:c r="I103" s="39"/>
      <x:c r="J103" s="40"/>
      <x:c r="K103" s="40" t="str">
        <x:f>IFERROR(D103/C103,"")</x:f>
      </x:c>
    </x:row>
    <x:row r="104">
      <x:c r="A104" s="38" t="str"/>
      <x:c r="B104" s="38" t="str"/>
      <x:c r="C104" s="39"/>
      <x:c r="D104" s="39"/>
      <x:c r="E104" s="39" t="str">
        <x:f>IF(C104="","",C104-D104)</x:f>
      </x:c>
      <x:c r="F104" s="46"/>
      <x:c r="G104" s="46"/>
      <x:c r="H104" s="39"/>
      <x:c r="I104" s="39"/>
      <x:c r="J104" s="40"/>
      <x:c r="K104" s="40" t="str">
        <x:f>IFERROR(D104/C104,"")</x:f>
      </x:c>
    </x:row>
    <x:row r="105">
      <x:c r="A105" s="38" t="str"/>
      <x:c r="B105" s="38" t="str"/>
      <x:c r="C105" s="39"/>
      <x:c r="D105" s="39"/>
      <x:c r="E105" s="39" t="str">
        <x:f>IF(C105="","",C105-D105)</x:f>
      </x:c>
      <x:c r="F105" s="46"/>
      <x:c r="G105" s="46"/>
      <x:c r="H105" s="39"/>
      <x:c r="I105" s="39"/>
      <x:c r="J105" s="40"/>
      <x:c r="K105" s="40" t="str">
        <x:f>IFERROR(D105/C105,"")</x:f>
      </x:c>
    </x:row>
    <x:row r="106">
      <x:c r="A106" s="38" t="str"/>
      <x:c r="B106" s="38" t="str"/>
      <x:c r="C106" s="39"/>
      <x:c r="D106" s="39"/>
      <x:c r="E106" s="39" t="str">
        <x:f>IF(C106="","",C106-D106)</x:f>
      </x:c>
      <x:c r="F106" s="46"/>
      <x:c r="G106" s="46"/>
      <x:c r="H106" s="39"/>
      <x:c r="I106" s="39"/>
      <x:c r="J106" s="40"/>
      <x:c r="K106" s="40" t="str">
        <x:f>IFERROR(D106/C106,"")</x:f>
      </x:c>
    </x:row>
    <x:row r="107">
      <x:c r="A107" s="38" t="str"/>
      <x:c r="B107" s="38" t="str"/>
      <x:c r="C107" s="39"/>
      <x:c r="D107" s="39"/>
      <x:c r="E107" s="39" t="str">
        <x:f>IF(C107="","",C107-D107)</x:f>
      </x:c>
      <x:c r="F107" s="46"/>
      <x:c r="G107" s="46"/>
      <x:c r="H107" s="39"/>
      <x:c r="I107" s="39"/>
      <x:c r="J107" s="40"/>
      <x:c r="K107" s="40" t="str">
        <x:f>IFERROR(D107/C107,"")</x:f>
      </x:c>
    </x:row>
    <x:row r="108">
      <x:c r="A108" s="38" t="str"/>
      <x:c r="B108" s="38" t="str"/>
      <x:c r="C108" s="39"/>
      <x:c r="D108" s="39"/>
      <x:c r="E108" s="39" t="str">
        <x:f>IF(C108="","",C108-D108)</x:f>
      </x:c>
      <x:c r="F108" s="46"/>
      <x:c r="G108" s="46"/>
      <x:c r="H108" s="39"/>
      <x:c r="I108" s="39"/>
      <x:c r="J108" s="40"/>
      <x:c r="K108" s="40" t="str">
        <x:f>IFERROR(D108/C108,"")</x:f>
      </x:c>
    </x:row>
    <x:row r="109">
      <x:c r="A109" s="38" t="str"/>
      <x:c r="B109" s="38" t="str"/>
      <x:c r="C109" s="39"/>
      <x:c r="D109" s="39"/>
      <x:c r="E109" s="39" t="str">
        <x:f>IF(C109="","",C109-D109)</x:f>
      </x:c>
      <x:c r="F109" s="46"/>
      <x:c r="G109" s="46"/>
      <x:c r="H109" s="39"/>
      <x:c r="I109" s="39"/>
      <x:c r="J109" s="40"/>
      <x:c r="K109" s="40" t="str">
        <x:f>IFERROR(D109/C109,"")</x:f>
      </x:c>
    </x:row>
    <x:row r="110">
      <x:c r="A110" s="38" t="str"/>
      <x:c r="B110" s="38" t="str"/>
      <x:c r="C110" s="39"/>
      <x:c r="D110" s="39"/>
      <x:c r="E110" s="39" t="str">
        <x:f>IF(C110="","",C110-D110)</x:f>
      </x:c>
      <x:c r="F110" s="46"/>
      <x:c r="G110" s="46"/>
      <x:c r="H110" s="39"/>
      <x:c r="I110" s="39"/>
      <x:c r="J110" s="40"/>
      <x:c r="K110" s="40" t="str">
        <x:f>IFERROR(D110/C110,"")</x:f>
      </x:c>
    </x:row>
    <x:row r="111">
      <x:c r="A111" s="38" t="str"/>
      <x:c r="B111" s="38" t="str"/>
      <x:c r="C111" s="39"/>
      <x:c r="D111" s="39"/>
      <x:c r="E111" s="39" t="str">
        <x:f>IF(C111="","",C111-D111)</x:f>
      </x:c>
      <x:c r="F111" s="46"/>
      <x:c r="G111" s="46"/>
      <x:c r="H111" s="39"/>
      <x:c r="I111" s="39"/>
      <x:c r="J111" s="40"/>
      <x:c r="K111" s="40" t="str">
        <x:f>IFERROR(D111/C111,"")</x:f>
      </x:c>
    </x:row>
    <x:row r="112">
      <x:c r="A112" s="38" t="str"/>
      <x:c r="B112" s="38" t="str"/>
      <x:c r="C112" s="39"/>
      <x:c r="D112" s="39"/>
      <x:c r="E112" s="39" t="str">
        <x:f>IF(C112="","",C112-D112)</x:f>
      </x:c>
      <x:c r="F112" s="46"/>
      <x:c r="G112" s="46"/>
      <x:c r="H112" s="39"/>
      <x:c r="I112" s="39"/>
      <x:c r="J112" s="40"/>
      <x:c r="K112" s="40" t="str">
        <x:f>IFERROR(D112/C112,"")</x:f>
      </x:c>
    </x:row>
    <x:row r="113">
      <x:c r="A113" s="38" t="str"/>
      <x:c r="B113" s="38" t="str"/>
      <x:c r="C113" s="39"/>
      <x:c r="D113" s="39"/>
      <x:c r="E113" s="39" t="str">
        <x:f>IF(C113="","",C113-D113)</x:f>
      </x:c>
      <x:c r="F113" s="46"/>
      <x:c r="G113" s="46"/>
      <x:c r="H113" s="39"/>
      <x:c r="I113" s="39"/>
      <x:c r="J113" s="40"/>
      <x:c r="K113" s="40" t="str">
        <x:f>IFERROR(D113/C113,"")</x:f>
      </x:c>
    </x:row>
    <x:row r="114">
      <x:c r="A114" s="38" t="str"/>
      <x:c r="B114" s="38" t="str"/>
      <x:c r="C114" s="39"/>
      <x:c r="D114" s="39"/>
      <x:c r="E114" s="39" t="str">
        <x:f>IF(C114="","",C114-D114)</x:f>
      </x:c>
      <x:c r="F114" s="46"/>
      <x:c r="G114" s="46"/>
      <x:c r="H114" s="39"/>
      <x:c r="I114" s="39"/>
      <x:c r="J114" s="40"/>
      <x:c r="K114" s="40" t="str">
        <x:f>IFERROR(D114/C114,"")</x:f>
      </x:c>
    </x:row>
    <x:row r="115">
      <x:c r="A115" s="38" t="str"/>
      <x:c r="B115" s="38" t="str"/>
      <x:c r="C115" s="39"/>
      <x:c r="D115" s="39"/>
      <x:c r="E115" s="39" t="str">
        <x:f>IF(C115="","",C115-D115)</x:f>
      </x:c>
      <x:c r="F115" s="46"/>
      <x:c r="G115" s="46"/>
      <x:c r="H115" s="39"/>
      <x:c r="I115" s="39"/>
      <x:c r="J115" s="40"/>
      <x:c r="K115" s="40" t="str">
        <x:f>IFERROR(D115/C115,"")</x:f>
      </x:c>
    </x:row>
    <x:row r="116">
      <x:c r="A116" s="38" t="str"/>
      <x:c r="B116" s="38" t="str"/>
      <x:c r="C116" s="39"/>
      <x:c r="D116" s="39"/>
      <x:c r="E116" s="39" t="str">
        <x:f>IF(C116="","",C116-D116)</x:f>
      </x:c>
      <x:c r="F116" s="46"/>
      <x:c r="G116" s="46"/>
      <x:c r="H116" s="39"/>
      <x:c r="I116" s="39"/>
      <x:c r="J116" s="40"/>
      <x:c r="K116" s="40" t="str">
        <x:f>IFERROR(D116/C116,"")</x:f>
      </x:c>
    </x:row>
    <x:row r="117">
      <x:c r="A117" s="38" t="str"/>
      <x:c r="B117" s="38" t="str"/>
      <x:c r="C117" s="39"/>
      <x:c r="D117" s="39"/>
      <x:c r="E117" s="39" t="str">
        <x:f>IF(C117="","",C117-D117)</x:f>
      </x:c>
      <x:c r="F117" s="46"/>
      <x:c r="G117" s="46"/>
      <x:c r="H117" s="39"/>
      <x:c r="I117" s="39"/>
      <x:c r="J117" s="40"/>
      <x:c r="K117" s="40" t="str">
        <x:f>IFERROR(D117/C117,"")</x:f>
      </x:c>
    </x:row>
    <x:row r="118">
      <x:c r="A118" s="38" t="str"/>
      <x:c r="B118" s="38" t="str"/>
      <x:c r="C118" s="39"/>
      <x:c r="D118" s="39"/>
      <x:c r="E118" s="39" t="str">
        <x:f>IF(C118="","",C118-D118)</x:f>
      </x:c>
      <x:c r="F118" s="46"/>
      <x:c r="G118" s="46"/>
      <x:c r="H118" s="39"/>
      <x:c r="I118" s="39"/>
      <x:c r="J118" s="40"/>
      <x:c r="K118" s="40" t="str">
        <x:f>IFERROR(D118/C118,"")</x:f>
      </x:c>
    </x:row>
    <x:row r="119">
      <x:c r="A119" s="38" t="str"/>
      <x:c r="B119" s="38" t="str"/>
      <x:c r="C119" s="39"/>
      <x:c r="D119" s="39"/>
      <x:c r="E119" s="39" t="str">
        <x:f>IF(C119="","",C119-D119)</x:f>
      </x:c>
      <x:c r="F119" s="46"/>
      <x:c r="G119" s="46"/>
      <x:c r="H119" s="39"/>
      <x:c r="I119" s="39"/>
      <x:c r="J119" s="40"/>
      <x:c r="K119" s="40" t="str">
        <x:f>IFERROR(D119/C119,"")</x:f>
      </x:c>
    </x:row>
    <x:row r="120">
      <x:c r="A120" s="38" t="str"/>
      <x:c r="B120" s="38" t="str"/>
      <x:c r="C120" s="39"/>
      <x:c r="D120" s="39"/>
      <x:c r="E120" s="39" t="str">
        <x:f>IF(C120="","",C120-D120)</x:f>
      </x:c>
      <x:c r="F120" s="46"/>
      <x:c r="G120" s="46"/>
      <x:c r="H120" s="39"/>
      <x:c r="I120" s="39"/>
      <x:c r="J120" s="40"/>
      <x:c r="K120" s="40" t="str">
        <x:f>IFERROR(D120/C120,"")</x:f>
      </x:c>
    </x:row>
    <x:row r="121">
      <x:c r="A121" s="38" t="str"/>
      <x:c r="B121" s="38" t="str"/>
      <x:c r="C121" s="39"/>
      <x:c r="D121" s="39"/>
      <x:c r="E121" s="39" t="str">
        <x:f>IF(C121="","",C121-D121)</x:f>
      </x:c>
      <x:c r="F121" s="46"/>
      <x:c r="G121" s="46"/>
      <x:c r="H121" s="39"/>
      <x:c r="I121" s="39"/>
      <x:c r="J121" s="40"/>
      <x:c r="K121" s="40" t="str">
        <x:f>IFERROR(D121/C121,"")</x:f>
      </x:c>
    </x:row>
    <x:row r="122">
      <x:c r="A122" s="38" t="str"/>
      <x:c r="B122" s="38" t="str"/>
      <x:c r="C122" s="39"/>
      <x:c r="D122" s="39"/>
      <x:c r="E122" s="39" t="str">
        <x:f>IF(C122="","",C122-D122)</x:f>
      </x:c>
      <x:c r="F122" s="46"/>
      <x:c r="G122" s="46"/>
      <x:c r="H122" s="39"/>
      <x:c r="I122" s="39"/>
      <x:c r="J122" s="40"/>
      <x:c r="K122" s="40" t="str">
        <x:f>IFERROR(D122/C122,"")</x:f>
      </x:c>
    </x:row>
    <x:row r="123">
      <x:c r="A123" s="38" t="str"/>
      <x:c r="B123" s="38" t="str"/>
      <x:c r="C123" s="39"/>
      <x:c r="D123" s="39"/>
      <x:c r="E123" s="39" t="str">
        <x:f>IF(C123="","",C123-D123)</x:f>
      </x:c>
      <x:c r="F123" s="46"/>
      <x:c r="G123" s="46"/>
      <x:c r="H123" s="39"/>
      <x:c r="I123" s="39"/>
      <x:c r="J123" s="40"/>
      <x:c r="K123" s="40" t="str">
        <x:f>IFERROR(D123/C123,"")</x:f>
      </x:c>
    </x:row>
    <x:row r="124">
      <x:c r="A124" s="38" t="str"/>
      <x:c r="B124" s="38" t="str"/>
      <x:c r="C124" s="39"/>
      <x:c r="D124" s="39"/>
      <x:c r="E124" s="39" t="str">
        <x:f>IF(C124="","",C124-D124)</x:f>
      </x:c>
      <x:c r="F124" s="46"/>
      <x:c r="G124" s="46"/>
      <x:c r="H124" s="39"/>
      <x:c r="I124" s="39"/>
      <x:c r="J124" s="40"/>
      <x:c r="K124" s="40" t="str">
        <x:f>IFERROR(D124/C124,"")</x:f>
      </x:c>
    </x:row>
    <x:row r="125">
      <x:c r="A125" s="38" t="str"/>
      <x:c r="B125" s="38" t="str"/>
      <x:c r="C125" s="39"/>
      <x:c r="D125" s="39"/>
      <x:c r="E125" s="39" t="str">
        <x:f>IF(C125="","",C125-D125)</x:f>
      </x:c>
      <x:c r="F125" s="46"/>
      <x:c r="G125" s="46"/>
      <x:c r="H125" s="39"/>
      <x:c r="I125" s="39"/>
      <x:c r="J125" s="40"/>
      <x:c r="K125" s="40" t="str">
        <x:f>IFERROR(D125/C125,"")</x:f>
      </x:c>
    </x:row>
    <x:row r="126">
      <x:c r="A126" s="38" t="str"/>
      <x:c r="B126" s="38" t="str"/>
      <x:c r="C126" s="39"/>
      <x:c r="D126" s="39"/>
      <x:c r="E126" s="39" t="str">
        <x:f>IF(C126="","",C126-D126)</x:f>
      </x:c>
      <x:c r="F126" s="46"/>
      <x:c r="G126" s="46"/>
      <x:c r="H126" s="39"/>
      <x:c r="I126" s="39"/>
      <x:c r="J126" s="40"/>
      <x:c r="K126" s="40" t="str">
        <x:f>IFERROR(D126/C126,"")</x:f>
      </x:c>
    </x:row>
    <x:row r="127">
      <x:c r="A127" s="38" t="str"/>
      <x:c r="B127" s="38" t="str"/>
      <x:c r="C127" s="39"/>
      <x:c r="D127" s="39"/>
      <x:c r="E127" s="39" t="str">
        <x:f>IF(C127="","",C127-D127)</x:f>
      </x:c>
      <x:c r="F127" s="46"/>
      <x:c r="G127" s="46"/>
      <x:c r="H127" s="39"/>
      <x:c r="I127" s="39"/>
      <x:c r="J127" s="40"/>
      <x:c r="K127" s="40" t="str">
        <x:f>IFERROR(D127/C127,"")</x:f>
      </x:c>
    </x:row>
    <x:row r="128">
      <x:c r="A128" s="38" t="str"/>
      <x:c r="B128" s="38" t="str"/>
      <x:c r="C128" s="39"/>
      <x:c r="D128" s="39"/>
      <x:c r="E128" s="39" t="str">
        <x:f>IF(C128="","",C128-D128)</x:f>
      </x:c>
      <x:c r="F128" s="46"/>
      <x:c r="G128" s="46"/>
      <x:c r="H128" s="39"/>
      <x:c r="I128" s="39"/>
      <x:c r="J128" s="40"/>
      <x:c r="K128" s="40" t="str">
        <x:f>IFERROR(D128/C128,"")</x:f>
      </x:c>
    </x:row>
    <x:row r="129">
      <x:c r="A129" s="38" t="str"/>
      <x:c r="B129" s="38" t="str"/>
      <x:c r="C129" s="39"/>
      <x:c r="D129" s="39"/>
      <x:c r="E129" s="39" t="str">
        <x:f>IF(C129="","",C129-D129)</x:f>
      </x:c>
      <x:c r="F129" s="46"/>
      <x:c r="G129" s="46"/>
      <x:c r="H129" s="39"/>
      <x:c r="I129" s="39"/>
      <x:c r="J129" s="40"/>
      <x:c r="K129" s="40" t="str">
        <x:f>IFERROR(D129/C129,"")</x:f>
      </x:c>
    </x:row>
    <x:row r="130">
      <x:c r="A130" s="38" t="str"/>
      <x:c r="B130" s="38" t="str"/>
      <x:c r="C130" s="39"/>
      <x:c r="D130" s="39"/>
      <x:c r="E130" s="39" t="str">
        <x:f>IF(C130="","",C130-D130)</x:f>
      </x:c>
      <x:c r="F130" s="46"/>
      <x:c r="G130" s="46"/>
      <x:c r="H130" s="39"/>
      <x:c r="I130" s="39"/>
      <x:c r="J130" s="40"/>
      <x:c r="K130" s="40" t="str">
        <x:f>IFERROR(D130/C130,"")</x:f>
      </x:c>
    </x:row>
    <x:row r="131">
      <x:c r="A131" s="38" t="str"/>
      <x:c r="B131" s="38" t="str"/>
      <x:c r="C131" s="39"/>
      <x:c r="D131" s="39"/>
      <x:c r="E131" s="39" t="str">
        <x:f>IF(C131="","",C131-D131)</x:f>
      </x:c>
      <x:c r="F131" s="46"/>
      <x:c r="G131" s="46"/>
      <x:c r="H131" s="39"/>
      <x:c r="I131" s="39"/>
      <x:c r="J131" s="40"/>
      <x:c r="K131" s="40" t="str">
        <x:f>IFERROR(D131/C131,"")</x:f>
      </x:c>
    </x:row>
    <x:row r="132">
      <x:c r="A132" s="38" t="str"/>
      <x:c r="B132" s="38" t="str"/>
      <x:c r="C132" s="39"/>
      <x:c r="D132" s="39"/>
      <x:c r="E132" s="39" t="str">
        <x:f>IF(C132="","",C132-D132)</x:f>
      </x:c>
      <x:c r="F132" s="46"/>
      <x:c r="G132" s="46"/>
      <x:c r="H132" s="39"/>
      <x:c r="I132" s="39"/>
      <x:c r="J132" s="40"/>
      <x:c r="K132" s="40" t="str">
        <x:f>IFERROR(D132/C132,"")</x:f>
      </x:c>
    </x:row>
    <x:row r="133">
      <x:c r="A133" s="38" t="str"/>
      <x:c r="B133" s="38" t="str"/>
      <x:c r="C133" s="39"/>
      <x:c r="D133" s="39"/>
      <x:c r="E133" s="39" t="str">
        <x:f>IF(C133="","",C133-D133)</x:f>
      </x:c>
      <x:c r="F133" s="46"/>
      <x:c r="G133" s="46"/>
      <x:c r="H133" s="39"/>
      <x:c r="I133" s="39"/>
      <x:c r="J133" s="40"/>
      <x:c r="K133" s="40" t="str">
        <x:f>IFERROR(D133/C133,"")</x:f>
      </x:c>
    </x:row>
    <x:row r="134">
      <x:c r="A134" s="38" t="str"/>
      <x:c r="B134" s="38" t="str"/>
      <x:c r="C134" s="39"/>
      <x:c r="D134" s="39"/>
      <x:c r="E134" s="39" t="str">
        <x:f>IF(C134="","",C134-D134)</x:f>
      </x:c>
      <x:c r="F134" s="46"/>
      <x:c r="G134" s="46"/>
      <x:c r="H134" s="39"/>
      <x:c r="I134" s="39"/>
      <x:c r="J134" s="40"/>
      <x:c r="K134" s="40" t="str">
        <x:f>IFERROR(D134/C134,"")</x:f>
      </x:c>
    </x:row>
    <x:row r="135">
      <x:c r="A135" s="38" t="str"/>
      <x:c r="B135" s="38" t="str"/>
      <x:c r="C135" s="39"/>
      <x:c r="D135" s="39"/>
      <x:c r="E135" s="39" t="str">
        <x:f>IF(C135="","",C135-D135)</x:f>
      </x:c>
      <x:c r="F135" s="46"/>
      <x:c r="G135" s="46"/>
      <x:c r="H135" s="39"/>
      <x:c r="I135" s="39"/>
      <x:c r="J135" s="40"/>
      <x:c r="K135" s="40" t="str">
        <x:f>IFERROR(D135/C135,"")</x:f>
      </x:c>
    </x:row>
    <x:row r="136">
      <x:c r="A136" s="38" t="str"/>
      <x:c r="B136" s="38" t="str"/>
      <x:c r="C136" s="39"/>
      <x:c r="D136" s="39"/>
      <x:c r="E136" s="39" t="str">
        <x:f>IF(C136="","",C136-D136)</x:f>
      </x:c>
      <x:c r="F136" s="46"/>
      <x:c r="G136" s="46"/>
      <x:c r="H136" s="39"/>
      <x:c r="I136" s="39"/>
      <x:c r="J136" s="40"/>
      <x:c r="K136" s="40" t="str">
        <x:f>IFERROR(D136/C136,"")</x:f>
      </x:c>
    </x:row>
    <x:row r="137">
      <x:c r="A137" s="38" t="str"/>
      <x:c r="B137" s="38" t="str"/>
      <x:c r="C137" s="39"/>
      <x:c r="D137" s="39"/>
      <x:c r="E137" s="39" t="str">
        <x:f>IF(C137="","",C137-D137)</x:f>
      </x:c>
      <x:c r="F137" s="46"/>
      <x:c r="G137" s="46"/>
      <x:c r="H137" s="39"/>
      <x:c r="I137" s="39"/>
      <x:c r="J137" s="40"/>
      <x:c r="K137" s="40" t="str">
        <x:f>IFERROR(D137/C137,"")</x:f>
      </x:c>
    </x:row>
    <x:row r="138">
      <x:c r="A138" s="38" t="str"/>
      <x:c r="B138" s="38" t="str"/>
      <x:c r="C138" s="39"/>
      <x:c r="D138" s="39"/>
      <x:c r="E138" s="39" t="str">
        <x:f>IF(C138="","",C138-D138)</x:f>
      </x:c>
      <x:c r="F138" s="46"/>
      <x:c r="G138" s="46"/>
      <x:c r="H138" s="39"/>
      <x:c r="I138" s="39"/>
      <x:c r="J138" s="40"/>
      <x:c r="K138" s="40" t="str">
        <x:f>IFERROR(D138/C138,"")</x:f>
      </x:c>
    </x:row>
    <x:row r="139">
      <x:c r="A139" s="38" t="str"/>
      <x:c r="B139" s="38" t="str"/>
      <x:c r="C139" s="39"/>
      <x:c r="D139" s="39"/>
      <x:c r="E139" s="39" t="str">
        <x:f>IF(C139="","",C139-D139)</x:f>
      </x:c>
      <x:c r="F139" s="46"/>
      <x:c r="G139" s="46"/>
      <x:c r="H139" s="39"/>
      <x:c r="I139" s="39"/>
      <x:c r="J139" s="40"/>
      <x:c r="K139" s="40" t="str">
        <x:f>IFERROR(D139/C139,"")</x:f>
      </x:c>
    </x:row>
    <x:row r="140">
      <x:c r="A140" s="38" t="str"/>
      <x:c r="B140" s="38" t="str"/>
      <x:c r="C140" s="39"/>
      <x:c r="D140" s="39"/>
      <x:c r="E140" s="39" t="str">
        <x:f>IF(C140="","",C140-D140)</x:f>
      </x:c>
      <x:c r="F140" s="46"/>
      <x:c r="G140" s="46"/>
      <x:c r="H140" s="39"/>
      <x:c r="I140" s="39"/>
      <x:c r="J140" s="40"/>
      <x:c r="K140" s="40" t="str">
        <x:f>IFERROR(D140/C140,"")</x:f>
      </x:c>
    </x:row>
    <x:row r="141">
      <x:c r="A141" s="38" t="str"/>
      <x:c r="B141" s="38" t="str"/>
      <x:c r="C141" s="39"/>
      <x:c r="D141" s="39"/>
      <x:c r="E141" s="39" t="str">
        <x:f>IF(C141="","",C141-D141)</x:f>
      </x:c>
      <x:c r="F141" s="46"/>
      <x:c r="G141" s="46"/>
      <x:c r="H141" s="39"/>
      <x:c r="I141" s="39"/>
      <x:c r="J141" s="40"/>
      <x:c r="K141" s="40" t="str">
        <x:f>IFERROR(D141/C141,"")</x:f>
      </x:c>
    </x:row>
    <x:row r="142">
      <x:c r="A142" s="38" t="str"/>
      <x:c r="B142" s="38" t="str"/>
      <x:c r="C142" s="39"/>
      <x:c r="D142" s="39"/>
      <x:c r="E142" s="39" t="str">
        <x:f>IF(C142="","",C142-D142)</x:f>
      </x:c>
      <x:c r="F142" s="46"/>
      <x:c r="G142" s="46"/>
      <x:c r="H142" s="39"/>
      <x:c r="I142" s="39"/>
      <x:c r="J142" s="40"/>
      <x:c r="K142" s="40" t="str">
        <x:f>IFERROR(D142/C142,"")</x:f>
      </x:c>
    </x:row>
    <x:row r="143">
      <x:c r="A143" s="38" t="str"/>
      <x:c r="B143" s="38" t="str"/>
      <x:c r="C143" s="39"/>
      <x:c r="D143" s="39"/>
      <x:c r="E143" s="39" t="str">
        <x:f>IF(C143="","",C143-D143)</x:f>
      </x:c>
      <x:c r="F143" s="46"/>
      <x:c r="G143" s="46"/>
      <x:c r="H143" s="39"/>
      <x:c r="I143" s="39"/>
      <x:c r="J143" s="40"/>
      <x:c r="K143" s="40" t="str">
        <x:f>IFERROR(D143/C143,"")</x:f>
      </x:c>
    </x:row>
    <x:row r="144">
      <x:c r="A144" s="38" t="str"/>
      <x:c r="B144" s="38" t="str"/>
      <x:c r="C144" s="39"/>
      <x:c r="D144" s="39"/>
      <x:c r="E144" s="39" t="str">
        <x:f>IF(C144="","",C144-D144)</x:f>
      </x:c>
      <x:c r="F144" s="46"/>
      <x:c r="G144" s="46"/>
      <x:c r="H144" s="39"/>
      <x:c r="I144" s="39"/>
      <x:c r="J144" s="40"/>
      <x:c r="K144" s="40" t="str">
        <x:f>IFERROR(D144/C144,"")</x:f>
      </x:c>
    </x:row>
    <x:row r="145">
      <x:c r="A145" s="38" t="str"/>
      <x:c r="B145" s="38" t="str"/>
      <x:c r="C145" s="39"/>
      <x:c r="D145" s="39"/>
      <x:c r="E145" s="39" t="str">
        <x:f>IF(C145="","",C145-D145)</x:f>
      </x:c>
      <x:c r="F145" s="46"/>
      <x:c r="G145" s="46"/>
      <x:c r="H145" s="39"/>
      <x:c r="I145" s="39"/>
      <x:c r="J145" s="40"/>
      <x:c r="K145" s="40" t="str">
        <x:f>IFERROR(D145/C145,"")</x:f>
      </x:c>
    </x:row>
    <x:row r="146">
      <x:c r="A146" s="38" t="str"/>
      <x:c r="B146" s="38" t="str"/>
      <x:c r="C146" s="39"/>
      <x:c r="D146" s="39"/>
      <x:c r="E146" s="39" t="str">
        <x:f>IF(C146="","",C146-D146)</x:f>
      </x:c>
      <x:c r="F146" s="46"/>
      <x:c r="G146" s="46"/>
      <x:c r="H146" s="39"/>
      <x:c r="I146" s="39"/>
      <x:c r="J146" s="40"/>
      <x:c r="K146" s="40" t="str">
        <x:f>IFERROR(D146/C146,"")</x:f>
      </x:c>
    </x:row>
    <x:row r="147">
      <x:c r="A147" s="38" t="str"/>
      <x:c r="B147" s="38" t="str"/>
      <x:c r="C147" s="39"/>
      <x:c r="D147" s="39"/>
      <x:c r="E147" s="39" t="str">
        <x:f>IF(C147="","",C147-D147)</x:f>
      </x:c>
      <x:c r="F147" s="46"/>
      <x:c r="G147" s="46"/>
      <x:c r="H147" s="39"/>
      <x:c r="I147" s="39"/>
      <x:c r="J147" s="40"/>
      <x:c r="K147" s="40" t="str">
        <x:f>IFERROR(D147/C147,"")</x:f>
      </x:c>
    </x:row>
    <x:row r="148">
      <x:c r="A148" s="38" t="str"/>
      <x:c r="B148" s="38" t="str"/>
      <x:c r="C148" s="39"/>
      <x:c r="D148" s="39"/>
      <x:c r="E148" s="39" t="str">
        <x:f>IF(C148="","",C148-D148)</x:f>
      </x:c>
      <x:c r="F148" s="46"/>
      <x:c r="G148" s="46"/>
      <x:c r="H148" s="39"/>
      <x:c r="I148" s="39"/>
      <x:c r="J148" s="40"/>
      <x:c r="K148" s="40" t="str">
        <x:f>IFERROR(D148/C148,"")</x:f>
      </x:c>
    </x:row>
    <x:row r="149">
      <x:c r="A149" s="38" t="str"/>
      <x:c r="B149" s="38" t="str"/>
      <x:c r="C149" s="39"/>
      <x:c r="D149" s="39"/>
      <x:c r="E149" s="39" t="str">
        <x:f>IF(C149="","",C149-D149)</x:f>
      </x:c>
      <x:c r="F149" s="46"/>
      <x:c r="G149" s="46"/>
      <x:c r="H149" s="39"/>
      <x:c r="I149" s="39"/>
      <x:c r="J149" s="40"/>
      <x:c r="K149" s="40" t="str">
        <x:f>IFERROR(D149/C149,"")</x:f>
      </x:c>
    </x:row>
    <x:row r="150">
      <x:c r="A150" s="38" t="str"/>
      <x:c r="B150" s="38" t="str"/>
      <x:c r="C150" s="39"/>
      <x:c r="D150" s="39"/>
      <x:c r="E150" s="39" t="str">
        <x:f>IF(C150="","",C150-D150)</x:f>
      </x:c>
      <x:c r="F150" s="46"/>
      <x:c r="G150" s="46"/>
      <x:c r="H150" s="39"/>
      <x:c r="I150" s="39"/>
      <x:c r="J150" s="40"/>
      <x:c r="K150" s="40" t="str">
        <x:f>IFERROR(D150/C150,"")</x:f>
      </x:c>
    </x:row>
    <x:row r="151">
      <x:c r="A151" s="38" t="str"/>
      <x:c r="B151" s="38" t="str"/>
      <x:c r="C151" s="39"/>
      <x:c r="D151" s="39"/>
      <x:c r="E151" s="39" t="str">
        <x:f>IF(C151="","",C151-D151)</x:f>
      </x:c>
      <x:c r="F151" s="46"/>
      <x:c r="G151" s="46"/>
      <x:c r="H151" s="39"/>
      <x:c r="I151" s="39"/>
      <x:c r="J151" s="40"/>
      <x:c r="K151" s="40" t="str">
        <x:f>IFERROR(D151/C151,"")</x:f>
      </x:c>
    </x:row>
    <x:row r="152">
      <x:c r="A152" s="38" t="str"/>
      <x:c r="B152" s="38" t="str"/>
      <x:c r="C152" s="39"/>
      <x:c r="D152" s="39"/>
      <x:c r="E152" s="39" t="str">
        <x:f>IF(C152="","",C152-D152)</x:f>
      </x:c>
      <x:c r="F152" s="46"/>
      <x:c r="G152" s="46"/>
      <x:c r="H152" s="39"/>
      <x:c r="I152" s="39"/>
      <x:c r="J152" s="40"/>
      <x:c r="K152" s="40" t="str">
        <x:f>IFERROR(D152/C152,"")</x:f>
      </x:c>
    </x:row>
    <x:row r="153">
      <x:c r="A153" s="38" t="str"/>
      <x:c r="B153" s="38" t="str"/>
      <x:c r="C153" s="39"/>
      <x:c r="D153" s="39"/>
      <x:c r="E153" s="39" t="str">
        <x:f>IF(C153="","",C153-D153)</x:f>
      </x:c>
      <x:c r="F153" s="46"/>
      <x:c r="G153" s="46"/>
      <x:c r="H153" s="39"/>
      <x:c r="I153" s="39"/>
      <x:c r="J153" s="40"/>
      <x:c r="K153" s="40" t="str">
        <x:f>IFERROR(D153/C153,"")</x:f>
      </x:c>
    </x:row>
    <x:row r="154">
      <x:c r="A154" s="38" t="str"/>
      <x:c r="B154" s="38" t="str"/>
      <x:c r="C154" s="39"/>
      <x:c r="D154" s="39"/>
      <x:c r="E154" s="39" t="str">
        <x:f>IF(C154="","",C154-D154)</x:f>
      </x:c>
      <x:c r="F154" s="46"/>
      <x:c r="G154" s="46"/>
      <x:c r="H154" s="39"/>
      <x:c r="I154" s="39"/>
      <x:c r="J154" s="40"/>
      <x:c r="K154" s="40" t="str">
        <x:f>IFERROR(D154/C154,"")</x:f>
      </x:c>
    </x:row>
    <x:row r="155">
      <x:c r="A155" s="38" t="str"/>
      <x:c r="B155" s="38" t="str"/>
      <x:c r="C155" s="39"/>
      <x:c r="D155" s="39"/>
      <x:c r="E155" s="39" t="str">
        <x:f>IF(C155="","",C155-D155)</x:f>
      </x:c>
      <x:c r="F155" s="46"/>
      <x:c r="G155" s="46"/>
      <x:c r="H155" s="39"/>
      <x:c r="I155" s="39"/>
      <x:c r="J155" s="40"/>
      <x:c r="K155" s="40" t="str">
        <x:f>IFERROR(D155/C155,"")</x:f>
      </x:c>
    </x:row>
    <x:row r="156">
      <x:c r="A156" s="38" t="str"/>
      <x:c r="B156" s="38" t="str"/>
      <x:c r="C156" s="39"/>
      <x:c r="D156" s="39"/>
      <x:c r="E156" s="39" t="str">
        <x:f>IF(C156="","",C156-D156)</x:f>
      </x:c>
      <x:c r="F156" s="46"/>
      <x:c r="G156" s="46"/>
      <x:c r="H156" s="39"/>
      <x:c r="I156" s="39"/>
      <x:c r="J156" s="40"/>
      <x:c r="K156" s="40" t="str">
        <x:f>IFERROR(D156/C156,"")</x:f>
      </x:c>
    </x:row>
    <x:row r="157">
      <x:c r="A157" s="38" t="str"/>
      <x:c r="B157" s="38" t="str"/>
      <x:c r="C157" s="39"/>
      <x:c r="D157" s="39"/>
      <x:c r="E157" s="39" t="str">
        <x:f>IF(C157="","",C157-D157)</x:f>
      </x:c>
      <x:c r="F157" s="46"/>
      <x:c r="G157" s="46"/>
      <x:c r="H157" s="39"/>
      <x:c r="I157" s="39"/>
      <x:c r="J157" s="40"/>
      <x:c r="K157" s="40" t="str">
        <x:f>IFERROR(D157/C157,"")</x:f>
      </x:c>
    </x:row>
    <x:row r="158">
      <x:c r="A158" s="38" t="str"/>
      <x:c r="B158" s="38" t="str"/>
      <x:c r="C158" s="39"/>
      <x:c r="D158" s="39"/>
      <x:c r="E158" s="39" t="str">
        <x:f>IF(C158="","",C158-D158)</x:f>
      </x:c>
      <x:c r="F158" s="46"/>
      <x:c r="G158" s="46"/>
      <x:c r="H158" s="39"/>
      <x:c r="I158" s="39"/>
      <x:c r="J158" s="40"/>
      <x:c r="K158" s="40" t="str">
        <x:f>IFERROR(D158/C158,"")</x:f>
      </x:c>
    </x:row>
    <x:row r="159">
      <x:c r="A159" s="38" t="str"/>
      <x:c r="B159" s="38" t="str"/>
      <x:c r="C159" s="39"/>
      <x:c r="D159" s="39"/>
      <x:c r="E159" s="39" t="str">
        <x:f>IF(C159="","",C159-D159)</x:f>
      </x:c>
      <x:c r="F159" s="46"/>
      <x:c r="G159" s="46"/>
      <x:c r="H159" s="39"/>
      <x:c r="I159" s="39"/>
      <x:c r="J159" s="40"/>
      <x:c r="K159" s="40" t="str">
        <x:f>IFERROR(D159/C159,"")</x:f>
      </x:c>
    </x:row>
    <x:row r="160">
      <x:c r="A160" s="38" t="str"/>
      <x:c r="B160" s="38" t="str"/>
      <x:c r="C160" s="39"/>
      <x:c r="D160" s="39"/>
      <x:c r="E160" s="39" t="str">
        <x:f>IF(C160="","",C160-D160)</x:f>
      </x:c>
      <x:c r="F160" s="46"/>
      <x:c r="G160" s="46"/>
      <x:c r="H160" s="39"/>
      <x:c r="I160" s="39"/>
      <x:c r="J160" s="40"/>
      <x:c r="K160" s="40" t="str">
        <x:f>IFERROR(D160/C160,"")</x:f>
      </x:c>
    </x:row>
    <x:row r="161">
      <x:c r="A161" s="38" t="str"/>
      <x:c r="B161" s="38" t="str"/>
      <x:c r="C161" s="39"/>
      <x:c r="D161" s="39"/>
      <x:c r="E161" s="39" t="str">
        <x:f>IF(C161="","",C161-D161)</x:f>
      </x:c>
      <x:c r="F161" s="46"/>
      <x:c r="G161" s="46"/>
      <x:c r="H161" s="39"/>
      <x:c r="I161" s="39"/>
      <x:c r="J161" s="40"/>
      <x:c r="K161" s="40" t="str">
        <x:f>IFERROR(D161/C161,"")</x:f>
      </x:c>
    </x:row>
    <x:row r="162">
      <x:c r="A162" s="38" t="str"/>
      <x:c r="B162" s="38" t="str"/>
      <x:c r="C162" s="39"/>
      <x:c r="D162" s="39"/>
      <x:c r="E162" s="39" t="str">
        <x:f>IF(C162="","",C162-D162)</x:f>
      </x:c>
      <x:c r="F162" s="46"/>
      <x:c r="G162" s="46"/>
      <x:c r="H162" s="39"/>
      <x:c r="I162" s="39"/>
      <x:c r="J162" s="40"/>
      <x:c r="K162" s="40" t="str">
        <x:f>IFERROR(D162/C162,"")</x:f>
      </x:c>
    </x:row>
    <x:row r="163">
      <x:c r="A163" s="38" t="str"/>
      <x:c r="B163" s="38" t="str"/>
      <x:c r="C163" s="39"/>
      <x:c r="D163" s="39"/>
      <x:c r="E163" s="39" t="str">
        <x:f>IF(C163="","",C163-D163)</x:f>
      </x:c>
      <x:c r="F163" s="46"/>
      <x:c r="G163" s="46"/>
      <x:c r="H163" s="39"/>
      <x:c r="I163" s="39"/>
      <x:c r="J163" s="40"/>
      <x:c r="K163" s="40" t="str">
        <x:f>IFERROR(D163/C163,"")</x:f>
      </x:c>
    </x:row>
    <x:row r="164">
      <x:c r="A164" s="38" t="str"/>
      <x:c r="B164" s="38" t="str"/>
      <x:c r="C164" s="39"/>
      <x:c r="D164" s="39"/>
      <x:c r="E164" s="39" t="str">
        <x:f>IF(C164="","",C164-D164)</x:f>
      </x:c>
      <x:c r="F164" s="46"/>
      <x:c r="G164" s="46"/>
      <x:c r="H164" s="39"/>
      <x:c r="I164" s="39"/>
      <x:c r="J164" s="40"/>
      <x:c r="K164" s="40" t="str">
        <x:f>IFERROR(D164/C164,"")</x:f>
      </x:c>
    </x:row>
    <x:row r="165">
      <x:c r="A165" s="38" t="str"/>
      <x:c r="B165" s="38" t="str"/>
      <x:c r="C165" s="39"/>
      <x:c r="D165" s="39"/>
      <x:c r="E165" s="39" t="str">
        <x:f>IF(C165="","",C165-D165)</x:f>
      </x:c>
      <x:c r="F165" s="46"/>
      <x:c r="G165" s="46"/>
      <x:c r="H165" s="39"/>
      <x:c r="I165" s="39"/>
      <x:c r="J165" s="40"/>
      <x:c r="K165" s="40" t="str">
        <x:f>IFERROR(D165/C165,"")</x:f>
      </x:c>
    </x:row>
    <x:row r="166">
      <x:c r="A166" s="38" t="str"/>
      <x:c r="B166" s="38" t="str"/>
      <x:c r="C166" s="39"/>
      <x:c r="D166" s="39"/>
      <x:c r="E166" s="39" t="str">
        <x:f>IF(C166="","",C166-D166)</x:f>
      </x:c>
      <x:c r="F166" s="46"/>
      <x:c r="G166" s="46"/>
      <x:c r="H166" s="39"/>
      <x:c r="I166" s="39"/>
      <x:c r="J166" s="40"/>
      <x:c r="K166" s="40" t="str">
        <x:f>IFERROR(D166/C166,"")</x:f>
      </x:c>
    </x:row>
    <x:row r="167">
      <x:c r="A167" s="38" t="str"/>
      <x:c r="B167" s="38" t="str"/>
      <x:c r="C167" s="39"/>
      <x:c r="D167" s="39"/>
      <x:c r="E167" s="39" t="str">
        <x:f>IF(C167="","",C167-D167)</x:f>
      </x:c>
      <x:c r="F167" s="46"/>
      <x:c r="G167" s="46"/>
      <x:c r="H167" s="39"/>
      <x:c r="I167" s="39"/>
      <x:c r="J167" s="40"/>
      <x:c r="K167" s="40" t="str">
        <x:f>IFERROR(D167/C167,"")</x:f>
      </x:c>
    </x:row>
    <x:row r="168">
      <x:c r="A168" s="38" t="str"/>
      <x:c r="B168" s="38" t="str"/>
      <x:c r="C168" s="39"/>
      <x:c r="D168" s="39"/>
      <x:c r="E168" s="39" t="str">
        <x:f>IF(C168="","",C168-D168)</x:f>
      </x:c>
      <x:c r="F168" s="46"/>
      <x:c r="G168" s="46"/>
      <x:c r="H168" s="39"/>
      <x:c r="I168" s="39"/>
      <x:c r="J168" s="40"/>
      <x:c r="K168" s="40" t="str">
        <x:f>IFERROR(D168/C168,"")</x:f>
      </x:c>
    </x:row>
    <x:row r="169">
      <x:c r="A169" s="38" t="str"/>
      <x:c r="B169" s="38" t="str"/>
      <x:c r="C169" s="39"/>
      <x:c r="D169" s="39"/>
      <x:c r="E169" s="39" t="str">
        <x:f>IF(C169="","",C169-D169)</x:f>
      </x:c>
      <x:c r="F169" s="46"/>
      <x:c r="G169" s="46"/>
      <x:c r="H169" s="39"/>
      <x:c r="I169" s="39"/>
      <x:c r="J169" s="40"/>
      <x:c r="K169" s="40" t="str">
        <x:f>IFERROR(D169/C169,"")</x:f>
      </x:c>
    </x:row>
    <x:row r="170">
      <x:c r="A170" s="38" t="str"/>
      <x:c r="B170" s="38" t="str"/>
      <x:c r="C170" s="39"/>
      <x:c r="D170" s="39"/>
      <x:c r="E170" s="39" t="str">
        <x:f>IF(C170="","",C170-D170)</x:f>
      </x:c>
      <x:c r="F170" s="46"/>
      <x:c r="G170" s="46"/>
      <x:c r="H170" s="39"/>
      <x:c r="I170" s="39"/>
      <x:c r="J170" s="40"/>
      <x:c r="K170" s="40" t="str">
        <x:f>IFERROR(D170/C170,"")</x:f>
      </x:c>
    </x:row>
    <x:row r="171">
      <x:c r="A171" s="38" t="str"/>
      <x:c r="B171" s="38" t="str"/>
      <x:c r="C171" s="39"/>
      <x:c r="D171" s="39"/>
      <x:c r="E171" s="39" t="str">
        <x:f>IF(C171="","",C171-D171)</x:f>
      </x:c>
      <x:c r="F171" s="46"/>
      <x:c r="G171" s="46"/>
      <x:c r="H171" s="39"/>
      <x:c r="I171" s="39"/>
      <x:c r="J171" s="40"/>
      <x:c r="K171" s="40" t="str">
        <x:f>IFERROR(D171/C171,"")</x:f>
      </x:c>
    </x:row>
    <x:row r="172">
      <x:c r="A172" s="38" t="str"/>
      <x:c r="B172" s="38" t="str"/>
      <x:c r="C172" s="39"/>
      <x:c r="D172" s="39"/>
      <x:c r="E172" s="39" t="str">
        <x:f>IF(C172="","",C172-D172)</x:f>
      </x:c>
      <x:c r="F172" s="46"/>
      <x:c r="G172" s="46"/>
      <x:c r="H172" s="39"/>
      <x:c r="I172" s="39"/>
      <x:c r="J172" s="40"/>
      <x:c r="K172" s="40" t="str">
        <x:f>IFERROR(D172/C172,"")</x:f>
      </x:c>
    </x:row>
    <x:row r="173">
      <x:c r="A173" s="38" t="str"/>
      <x:c r="B173" s="38" t="str"/>
      <x:c r="C173" s="39"/>
      <x:c r="D173" s="39"/>
      <x:c r="E173" s="39" t="str">
        <x:f>IF(C173="","",C173-D173)</x:f>
      </x:c>
      <x:c r="F173" s="46"/>
      <x:c r="G173" s="46"/>
      <x:c r="H173" s="39"/>
      <x:c r="I173" s="39"/>
      <x:c r="J173" s="40"/>
      <x:c r="K173" s="40" t="str">
        <x:f>IFERROR(D173/C173,"")</x:f>
      </x:c>
    </x:row>
    <x:row r="174">
      <x:c r="A174" s="38" t="str"/>
      <x:c r="B174" s="38" t="str"/>
      <x:c r="C174" s="39"/>
      <x:c r="D174" s="39"/>
      <x:c r="E174" s="39" t="str">
        <x:f>IF(C174="","",C174-D174)</x:f>
      </x:c>
      <x:c r="F174" s="46"/>
      <x:c r="G174" s="46"/>
      <x:c r="H174" s="39"/>
      <x:c r="I174" s="39"/>
      <x:c r="J174" s="40"/>
      <x:c r="K174" s="40" t="str">
        <x:f>IFERROR(D174/C174,"")</x:f>
      </x:c>
    </x:row>
    <x:row r="175">
      <x:c r="A175" s="38" t="str"/>
      <x:c r="B175" s="38" t="str"/>
      <x:c r="C175" s="39"/>
      <x:c r="D175" s="39"/>
      <x:c r="E175" s="39" t="str">
        <x:f>IF(C175="","",C175-D175)</x:f>
      </x:c>
      <x:c r="F175" s="46"/>
      <x:c r="G175" s="46"/>
      <x:c r="H175" s="39"/>
      <x:c r="I175" s="39"/>
      <x:c r="J175" s="40"/>
      <x:c r="K175" s="40" t="str">
        <x:f>IFERROR(D175/C175,"")</x:f>
      </x:c>
    </x:row>
    <x:row r="176">
      <x:c r="A176" s="38" t="str"/>
      <x:c r="B176" s="38" t="str"/>
      <x:c r="C176" s="39"/>
      <x:c r="D176" s="39"/>
      <x:c r="E176" s="39" t="str">
        <x:f>IF(C176="","",C176-D176)</x:f>
      </x:c>
      <x:c r="F176" s="46"/>
      <x:c r="G176" s="46"/>
      <x:c r="H176" s="39"/>
      <x:c r="I176" s="39"/>
      <x:c r="J176" s="40"/>
      <x:c r="K176" s="40" t="str">
        <x:f>IFERROR(D176/C176,"")</x:f>
      </x:c>
    </x:row>
    <x:row r="177">
      <x:c r="A177" s="38" t="str"/>
      <x:c r="B177" s="38" t="str"/>
      <x:c r="C177" s="39"/>
      <x:c r="D177" s="39"/>
      <x:c r="E177" s="39" t="str">
        <x:f>IF(C177="","",C177-D177)</x:f>
      </x:c>
      <x:c r="F177" s="46"/>
      <x:c r="G177" s="46"/>
      <x:c r="H177" s="39"/>
      <x:c r="I177" s="39"/>
      <x:c r="J177" s="40"/>
      <x:c r="K177" s="40" t="str">
        <x:f>IFERROR(D177/C177,"")</x:f>
      </x:c>
    </x:row>
    <x:row r="178">
      <x:c r="A178" s="38" t="str"/>
      <x:c r="B178" s="38" t="str"/>
      <x:c r="C178" s="39"/>
      <x:c r="D178" s="39"/>
      <x:c r="E178" s="39" t="str">
        <x:f>IF(C178="","",C178-D178)</x:f>
      </x:c>
      <x:c r="F178" s="46"/>
      <x:c r="G178" s="46"/>
      <x:c r="H178" s="39"/>
      <x:c r="I178" s="39"/>
      <x:c r="J178" s="40"/>
      <x:c r="K178" s="40" t="str">
        <x:f>IFERROR(D178/C178,"")</x:f>
      </x:c>
    </x:row>
    <x:row r="179">
      <x:c r="A179" s="38" t="str"/>
      <x:c r="B179" s="38" t="str"/>
      <x:c r="C179" s="39"/>
      <x:c r="D179" s="39"/>
      <x:c r="E179" s="39" t="str">
        <x:f>IF(C179="","",C179-D179)</x:f>
      </x:c>
      <x:c r="F179" s="46"/>
      <x:c r="G179" s="46"/>
      <x:c r="H179" s="39"/>
      <x:c r="I179" s="39"/>
      <x:c r="J179" s="40"/>
      <x:c r="K179" s="40" t="str">
        <x:f>IFERROR(D179/C179,"")</x:f>
      </x:c>
    </x:row>
    <x:row r="180">
      <x:c r="A180" s="38" t="str"/>
      <x:c r="B180" s="38" t="str"/>
      <x:c r="C180" s="39"/>
      <x:c r="D180" s="39"/>
      <x:c r="E180" s="39" t="str">
        <x:f>IF(C180="","",C180-D180)</x:f>
      </x:c>
      <x:c r="F180" s="46"/>
      <x:c r="G180" s="46"/>
      <x:c r="H180" s="39"/>
      <x:c r="I180" s="39"/>
      <x:c r="J180" s="40"/>
      <x:c r="K180" s="40" t="str">
        <x:f>IFERROR(D180/C180,"")</x:f>
      </x:c>
    </x:row>
    <x:row r="181">
      <x:c r="A181" s="38" t="str"/>
      <x:c r="B181" s="38" t="str"/>
      <x:c r="C181" s="39"/>
      <x:c r="D181" s="39"/>
      <x:c r="E181" s="39" t="str">
        <x:f>IF(C181="","",C181-D181)</x:f>
      </x:c>
      <x:c r="F181" s="46"/>
      <x:c r="G181" s="46"/>
      <x:c r="H181" s="39"/>
      <x:c r="I181" s="39"/>
      <x:c r="J181" s="40"/>
      <x:c r="K181" s="40" t="str">
        <x:f>IFERROR(D181/C181,"")</x:f>
      </x:c>
    </x:row>
    <x:row r="182">
      <x:c r="A182" s="38" t="str"/>
      <x:c r="B182" s="38" t="str"/>
      <x:c r="C182" s="39"/>
      <x:c r="D182" s="39"/>
      <x:c r="E182" s="39" t="str">
        <x:f>IF(C182="","",C182-D182)</x:f>
      </x:c>
      <x:c r="F182" s="46"/>
      <x:c r="G182" s="46"/>
      <x:c r="H182" s="39"/>
      <x:c r="I182" s="39"/>
      <x:c r="J182" s="40"/>
      <x:c r="K182" s="40" t="str">
        <x:f>IFERROR(D182/C182,"")</x:f>
      </x:c>
    </x:row>
    <x:row r="183">
      <x:c r="A183" s="38" t="str"/>
      <x:c r="B183" s="38" t="str"/>
      <x:c r="C183" s="39"/>
      <x:c r="D183" s="39"/>
      <x:c r="E183" s="39" t="str">
        <x:f>IF(C183="","",C183-D183)</x:f>
      </x:c>
      <x:c r="F183" s="46"/>
      <x:c r="G183" s="46"/>
      <x:c r="H183" s="39"/>
      <x:c r="I183" s="39"/>
      <x:c r="J183" s="40"/>
      <x:c r="K183" s="40" t="str">
        <x:f>IFERROR(D183/C183,"")</x:f>
      </x:c>
    </x:row>
    <x:row r="184">
      <x:c r="A184" s="38" t="str"/>
      <x:c r="B184" s="38" t="str"/>
      <x:c r="C184" s="39"/>
      <x:c r="D184" s="39"/>
      <x:c r="E184" s="39" t="str">
        <x:f>IF(C184="","",C184-D184)</x:f>
      </x:c>
      <x:c r="F184" s="46"/>
      <x:c r="G184" s="46"/>
      <x:c r="H184" s="39"/>
      <x:c r="I184" s="39"/>
      <x:c r="J184" s="40"/>
      <x:c r="K184" s="40" t="str">
        <x:f>IFERROR(D184/C184,"")</x:f>
      </x:c>
    </x:row>
    <x:row r="185">
      <x:c r="A185" s="38" t="str"/>
      <x:c r="B185" s="38" t="str"/>
      <x:c r="C185" s="39"/>
      <x:c r="D185" s="39"/>
      <x:c r="E185" s="39" t="str">
        <x:f>IF(C185="","",C185-D185)</x:f>
      </x:c>
      <x:c r="F185" s="46"/>
      <x:c r="G185" s="46"/>
      <x:c r="H185" s="39"/>
      <x:c r="I185" s="39"/>
      <x:c r="J185" s="40"/>
      <x:c r="K185" s="40" t="str">
        <x:f>IFERROR(D185/C185,"")</x:f>
      </x:c>
    </x:row>
    <x:row r="186">
      <x:c r="A186" s="38" t="str"/>
      <x:c r="B186" s="38" t="str"/>
      <x:c r="C186" s="39"/>
      <x:c r="D186" s="39"/>
      <x:c r="E186" s="39" t="str">
        <x:f>IF(C186="","",C186-D186)</x:f>
      </x:c>
      <x:c r="F186" s="46"/>
      <x:c r="G186" s="46"/>
      <x:c r="H186" s="39"/>
      <x:c r="I186" s="39"/>
      <x:c r="J186" s="40"/>
      <x:c r="K186" s="40" t="str">
        <x:f>IFERROR(D186/C186,"")</x:f>
      </x:c>
    </x:row>
    <x:row r="187">
      <x:c r="A187" s="38" t="str"/>
      <x:c r="B187" s="38" t="str"/>
      <x:c r="C187" s="39"/>
      <x:c r="D187" s="39"/>
      <x:c r="E187" s="39" t="str">
        <x:f>IF(C187="","",C187-D187)</x:f>
      </x:c>
      <x:c r="F187" s="46"/>
      <x:c r="G187" s="46"/>
      <x:c r="H187" s="39"/>
      <x:c r="I187" s="39"/>
      <x:c r="J187" s="40"/>
      <x:c r="K187" s="40" t="str">
        <x:f>IFERROR(D187/C187,"")</x:f>
      </x:c>
    </x:row>
    <x:row r="188">
      <x:c r="A188" s="38" t="str"/>
      <x:c r="B188" s="38" t="str"/>
      <x:c r="C188" s="39"/>
      <x:c r="D188" s="39"/>
      <x:c r="E188" s="39" t="str">
        <x:f>IF(C188="","",C188-D188)</x:f>
      </x:c>
      <x:c r="F188" s="46"/>
      <x:c r="G188" s="46"/>
      <x:c r="H188" s="39"/>
      <x:c r="I188" s="39"/>
      <x:c r="J188" s="40"/>
      <x:c r="K188" s="40" t="str">
        <x:f>IFERROR(D188/C188,"")</x:f>
      </x:c>
    </x:row>
    <x:row r="189">
      <x:c r="A189" s="38" t="str"/>
      <x:c r="B189" s="38" t="str"/>
      <x:c r="C189" s="39"/>
      <x:c r="D189" s="39"/>
      <x:c r="E189" s="39" t="str">
        <x:f>IF(C189="","",C189-D189)</x:f>
      </x:c>
      <x:c r="F189" s="46"/>
      <x:c r="G189" s="46"/>
      <x:c r="H189" s="39"/>
      <x:c r="I189" s="39"/>
      <x:c r="J189" s="40"/>
      <x:c r="K189" s="40" t="str">
        <x:f>IFERROR(D189/C189,"")</x:f>
      </x:c>
    </x:row>
    <x:row r="190">
      <x:c r="A190" s="38" t="str"/>
      <x:c r="B190" s="38" t="str"/>
      <x:c r="C190" s="39"/>
      <x:c r="D190" s="39"/>
      <x:c r="E190" s="39" t="str">
        <x:f>IF(C190="","",C190-D190)</x:f>
      </x:c>
      <x:c r="F190" s="46"/>
      <x:c r="G190" s="46"/>
      <x:c r="H190" s="39"/>
      <x:c r="I190" s="39"/>
      <x:c r="J190" s="40"/>
      <x:c r="K190" s="40" t="str">
        <x:f>IFERROR(D190/C190,"")</x:f>
      </x:c>
    </x:row>
    <x:row r="191">
      <x:c r="A191" s="38" t="str"/>
      <x:c r="B191" s="38" t="str"/>
      <x:c r="C191" s="39"/>
      <x:c r="D191" s="39"/>
      <x:c r="E191" s="39" t="str">
        <x:f>IF(C191="","",C191-D191)</x:f>
      </x:c>
      <x:c r="F191" s="46"/>
      <x:c r="G191" s="46"/>
      <x:c r="H191" s="39"/>
      <x:c r="I191" s="39"/>
      <x:c r="J191" s="40"/>
      <x:c r="K191" s="40" t="str">
        <x:f>IFERROR(D191/C191,"")</x:f>
      </x:c>
    </x:row>
    <x:row r="192">
      <x:c r="A192" s="38" t="str"/>
      <x:c r="B192" s="38" t="str"/>
      <x:c r="C192" s="39"/>
      <x:c r="D192" s="39"/>
      <x:c r="E192" s="39" t="str">
        <x:f>IF(C192="","",C192-D192)</x:f>
      </x:c>
      <x:c r="F192" s="46"/>
      <x:c r="G192" s="46"/>
      <x:c r="H192" s="39"/>
      <x:c r="I192" s="39"/>
      <x:c r="J192" s="40"/>
      <x:c r="K192" s="40" t="str">
        <x:f>IFERROR(D192/C192,"")</x:f>
      </x:c>
    </x:row>
    <x:row r="193">
      <x:c r="A193" s="38" t="str"/>
      <x:c r="B193" s="38" t="str"/>
      <x:c r="C193" s="39"/>
      <x:c r="D193" s="39"/>
      <x:c r="E193" s="39" t="str">
        <x:f>IF(C193="","",C193-D193)</x:f>
      </x:c>
      <x:c r="F193" s="46"/>
      <x:c r="G193" s="46"/>
      <x:c r="H193" s="39"/>
      <x:c r="I193" s="39"/>
      <x:c r="J193" s="40"/>
      <x:c r="K193" s="40" t="str">
        <x:f>IFERROR(D193/C193,"")</x:f>
      </x:c>
    </x:row>
    <x:row r="194">
      <x:c r="A194" s="38" t="str"/>
      <x:c r="B194" s="38" t="str"/>
      <x:c r="C194" s="39"/>
      <x:c r="D194" s="39"/>
      <x:c r="E194" s="39" t="str">
        <x:f>IF(C194="","",C194-D194)</x:f>
      </x:c>
      <x:c r="F194" s="46"/>
      <x:c r="G194" s="46"/>
      <x:c r="H194" s="39"/>
      <x:c r="I194" s="39"/>
      <x:c r="J194" s="40"/>
      <x:c r="K194" s="40" t="str">
        <x:f>IFERROR(D194/C194,"")</x:f>
      </x:c>
    </x:row>
    <x:row r="195">
      <x:c r="A195" s="38" t="str"/>
      <x:c r="B195" s="38" t="str"/>
      <x:c r="C195" s="39"/>
      <x:c r="D195" s="39"/>
      <x:c r="E195" s="39" t="str">
        <x:f>IF(C195="","",C195-D195)</x:f>
      </x:c>
      <x:c r="F195" s="46"/>
      <x:c r="G195" s="46"/>
      <x:c r="H195" s="39"/>
      <x:c r="I195" s="39"/>
      <x:c r="J195" s="40"/>
      <x:c r="K195" s="40" t="str">
        <x:f>IFERROR(D195/C195,"")</x:f>
      </x:c>
    </x:row>
    <x:row r="196">
      <x:c r="A196" s="38" t="str"/>
      <x:c r="B196" s="38" t="str"/>
      <x:c r="C196" s="39"/>
      <x:c r="D196" s="39"/>
      <x:c r="E196" s="39" t="str">
        <x:f>IF(C196="","",C196-D196)</x:f>
      </x:c>
      <x:c r="F196" s="46"/>
      <x:c r="G196" s="46"/>
      <x:c r="H196" s="39"/>
      <x:c r="I196" s="39"/>
      <x:c r="J196" s="40"/>
      <x:c r="K196" s="40" t="str">
        <x:f>IFERROR(D196/C196,"")</x:f>
      </x:c>
    </x:row>
    <x:row r="197">
      <x:c r="A197" s="38" t="str"/>
      <x:c r="B197" s="38" t="str"/>
      <x:c r="C197" s="39"/>
      <x:c r="D197" s="39"/>
      <x:c r="E197" s="39" t="str">
        <x:f>IF(C197="","",C197-D197)</x:f>
      </x:c>
      <x:c r="F197" s="46"/>
      <x:c r="G197" s="46"/>
      <x:c r="H197" s="39"/>
      <x:c r="I197" s="39"/>
      <x:c r="J197" s="40"/>
      <x:c r="K197" s="40" t="str">
        <x:f>IFERROR(D197/C197,"")</x:f>
      </x:c>
    </x:row>
    <x:row r="198">
      <x:c r="A198" s="38" t="str"/>
      <x:c r="B198" s="38" t="str"/>
      <x:c r="C198" s="39"/>
      <x:c r="D198" s="39"/>
      <x:c r="E198" s="39" t="str">
        <x:f>IF(C198="","",C198-D198)</x:f>
      </x:c>
      <x:c r="F198" s="46"/>
      <x:c r="G198" s="46"/>
      <x:c r="H198" s="39"/>
      <x:c r="I198" s="39"/>
      <x:c r="J198" s="40"/>
      <x:c r="K198" s="40" t="str">
        <x:f>IFERROR(D198/C198,"")</x:f>
      </x:c>
    </x:row>
    <x:row r="199">
      <x:c r="A199" s="38" t="str"/>
      <x:c r="B199" s="38" t="str"/>
      <x:c r="C199" s="39"/>
      <x:c r="D199" s="39"/>
      <x:c r="E199" s="39" t="str">
        <x:f>IF(C199="","",C199-D199)</x:f>
      </x:c>
      <x:c r="F199" s="46"/>
      <x:c r="G199" s="46"/>
      <x:c r="H199" s="39"/>
      <x:c r="I199" s="39"/>
      <x:c r="J199" s="40"/>
      <x:c r="K199" s="40" t="str">
        <x:f>IFERROR(D199/C199,"")</x:f>
      </x:c>
    </x:row>
    <x:row r="200">
      <x:c r="A200" s="38" t="str"/>
      <x:c r="B200" s="38" t="str"/>
      <x:c r="C200" s="39"/>
      <x:c r="D200" s="39"/>
      <x:c r="E200" s="39" t="str">
        <x:f>IF(C200="","",C200-D200)</x:f>
      </x:c>
      <x:c r="F200" s="46"/>
      <x:c r="G200" s="46"/>
      <x:c r="H200" s="39"/>
      <x:c r="I200" s="39"/>
      <x:c r="J200" s="40"/>
      <x:c r="K200" s="40" t="str">
        <x:f>IFERROR(D200/C200,"")</x:f>
      </x:c>
    </x:row>
    <x:row r="201">
      <x:c r="A201" s="38" t="str"/>
      <x:c r="B201" s="38" t="str"/>
      <x:c r="C201" s="39"/>
      <x:c r="D201" s="39"/>
      <x:c r="E201" s="39" t="str">
        <x:f>IF(C201="","",C201-D201)</x:f>
      </x:c>
      <x:c r="F201" s="46"/>
      <x:c r="G201" s="46"/>
      <x:c r="H201" s="39"/>
      <x:c r="I201" s="39"/>
      <x:c r="J201" s="40"/>
      <x:c r="K201" s="40" t="str">
        <x:f>IFERROR(D201/C201,"")</x:f>
      </x:c>
    </x:row>
    <x:row r="202">
      <x:c r="A202" s="38" t="str"/>
      <x:c r="B202" s="38" t="str"/>
      <x:c r="C202" s="39"/>
      <x:c r="D202" s="39"/>
      <x:c r="E202" s="39" t="str">
        <x:f>IF(C202="","",C202-D202)</x:f>
      </x:c>
      <x:c r="F202" s="46"/>
      <x:c r="G202" s="46"/>
      <x:c r="H202" s="39"/>
      <x:c r="I202" s="39"/>
      <x:c r="J202" s="40"/>
      <x:c r="K202" s="40" t="str">
        <x:f>IFERROR(D202/C202,"")</x:f>
      </x:c>
    </x:row>
    <x:row r="203">
      <x:c r="A203" s="38" t="str"/>
      <x:c r="B203" s="38" t="str"/>
      <x:c r="C203" s="39"/>
      <x:c r="D203" s="39"/>
      <x:c r="E203" s="39" t="str">
        <x:f>IF(C203="","",C203-D203)</x:f>
      </x:c>
      <x:c r="F203" s="46"/>
      <x:c r="G203" s="46"/>
      <x:c r="H203" s="39"/>
      <x:c r="I203" s="39"/>
      <x:c r="J203" s="40"/>
      <x:c r="K203" s="40" t="str">
        <x:f>IFERROR(D203/C203,"")</x:f>
      </x:c>
    </x:row>
    <x:row r="204">
      <x:c r="A204" s="38" t="str"/>
      <x:c r="B204" s="38" t="str"/>
      <x:c r="C204" s="39"/>
      <x:c r="D204" s="39"/>
      <x:c r="E204" s="39" t="str">
        <x:f>IF(C204="","",C204-D204)</x:f>
      </x:c>
      <x:c r="F204" s="46"/>
      <x:c r="G204" s="46"/>
      <x:c r="H204" s="39"/>
      <x:c r="I204" s="39"/>
      <x:c r="J204" s="40"/>
      <x:c r="K204" s="40" t="str">
        <x:f>IFERROR(D204/C204,"")</x:f>
      </x:c>
    </x:row>
    <x:row r="205">
      <x:c r="A205" s="38" t="str"/>
      <x:c r="B205" s="38" t="str"/>
      <x:c r="C205" s="39"/>
      <x:c r="D205" s="39"/>
      <x:c r="E205" s="39" t="str">
        <x:f>IF(C205="","",C205-D205)</x:f>
      </x:c>
      <x:c r="F205" s="46"/>
      <x:c r="G205" s="46"/>
      <x:c r="H205" s="39"/>
      <x:c r="I205" s="39"/>
      <x:c r="J205" s="40"/>
      <x:c r="K205" s="40" t="str">
        <x:f>IFERROR(D205/C205,"")</x:f>
      </x:c>
    </x:row>
    <x:row r="206">
      <x:c r="A206" s="38" t="str"/>
      <x:c r="B206" s="38" t="str"/>
      <x:c r="C206" s="39"/>
      <x:c r="D206" s="39"/>
      <x:c r="E206" s="39" t="str">
        <x:f>IF(C206="","",C206-D206)</x:f>
      </x:c>
      <x:c r="F206" s="46"/>
      <x:c r="G206" s="46"/>
      <x:c r="H206" s="39"/>
      <x:c r="I206" s="39"/>
      <x:c r="J206" s="40"/>
      <x:c r="K206" s="40" t="str">
        <x:f>IFERROR(D206/C206,"")</x:f>
      </x:c>
    </x:row>
    <x:row r="207">
      <x:c r="A207" s="38" t="str"/>
      <x:c r="B207" s="38" t="str"/>
      <x:c r="C207" s="39"/>
      <x:c r="D207" s="39"/>
      <x:c r="E207" s="39" t="str">
        <x:f>IF(C207="","",C207-D207)</x:f>
      </x:c>
      <x:c r="F207" s="46"/>
      <x:c r="G207" s="46"/>
      <x:c r="H207" s="39"/>
      <x:c r="I207" s="39"/>
      <x:c r="J207" s="40"/>
      <x:c r="K207" s="40" t="str">
        <x:f>IFERROR(D207/C207,"")</x:f>
      </x:c>
    </x:row>
    <x:row r="208">
      <x:c r="A208" s="38" t="str"/>
      <x:c r="B208" s="38" t="str"/>
      <x:c r="C208" s="39"/>
      <x:c r="D208" s="39"/>
      <x:c r="E208" s="39" t="str">
        <x:f>IF(C208="","",C208-D208)</x:f>
      </x:c>
      <x:c r="F208" s="46"/>
      <x:c r="G208" s="46"/>
      <x:c r="H208" s="39"/>
      <x:c r="I208" s="39"/>
      <x:c r="J208" s="40"/>
      <x:c r="K208" s="40" t="str">
        <x:f>IFERROR(D208/C208,"")</x:f>
      </x:c>
    </x:row>
    <x:row r="209">
      <x:c r="A209" s="38" t="str"/>
      <x:c r="B209" s="38" t="str"/>
      <x:c r="C209" s="39"/>
      <x:c r="D209" s="39"/>
      <x:c r="E209" s="39" t="str">
        <x:f>IF(C209="","",C209-D209)</x:f>
      </x:c>
      <x:c r="F209" s="46"/>
      <x:c r="G209" s="46"/>
      <x:c r="H209" s="39"/>
      <x:c r="I209" s="39"/>
      <x:c r="J209" s="40"/>
      <x:c r="K209" s="40" t="str">
        <x:f>IFERROR(D209/C209,"")</x:f>
      </x:c>
    </x:row>
    <x:row r="210">
      <x:c r="A210" s="38" t="str"/>
      <x:c r="B210" s="38" t="str"/>
      <x:c r="C210" s="39"/>
      <x:c r="D210" s="39"/>
      <x:c r="E210" s="39" t="str">
        <x:f>IF(C210="","",C210-D210)</x:f>
      </x:c>
      <x:c r="F210" s="46"/>
      <x:c r="G210" s="46"/>
      <x:c r="H210" s="39"/>
      <x:c r="I210" s="39"/>
      <x:c r="J210" s="40"/>
      <x:c r="K210" s="40" t="str">
        <x:f>IFERROR(D210/C210,"")</x:f>
      </x:c>
    </x:row>
    <x:row r="211">
      <x:c r="A211" s="38" t="str"/>
      <x:c r="B211" s="38" t="str"/>
      <x:c r="C211" s="39"/>
      <x:c r="D211" s="39"/>
      <x:c r="E211" s="39" t="str">
        <x:f>IF(C211="","",C211-D211)</x:f>
      </x:c>
      <x:c r="F211" s="46"/>
      <x:c r="G211" s="46"/>
      <x:c r="H211" s="39"/>
      <x:c r="I211" s="39"/>
      <x:c r="J211" s="40"/>
      <x:c r="K211" s="40" t="str">
        <x:f>IFERROR(D211/C211,"")</x:f>
      </x:c>
    </x:row>
    <x:row r="212">
      <x:c r="A212" s="38" t="str"/>
      <x:c r="B212" s="38" t="str"/>
      <x:c r="C212" s="39"/>
      <x:c r="D212" s="39"/>
      <x:c r="E212" s="39" t="str">
        <x:f>IF(C212="","",C212-D212)</x:f>
      </x:c>
      <x:c r="F212" s="46"/>
      <x:c r="G212" s="46"/>
      <x:c r="H212" s="39"/>
      <x:c r="I212" s="39"/>
      <x:c r="J212" s="40"/>
      <x:c r="K212" s="40" t="str">
        <x:f>IFERROR(D212/C212,"")</x:f>
      </x:c>
    </x:row>
    <x:row r="213">
      <x:c r="A213" s="38" t="str"/>
      <x:c r="B213" s="38" t="str"/>
      <x:c r="C213" s="39"/>
      <x:c r="D213" s="39"/>
      <x:c r="E213" s="39" t="str">
        <x:f>IF(C213="","",C213-D213)</x:f>
      </x:c>
      <x:c r="F213" s="46"/>
      <x:c r="G213" s="46"/>
      <x:c r="H213" s="39"/>
      <x:c r="I213" s="39"/>
      <x:c r="J213" s="40"/>
      <x:c r="K213" s="40" t="str">
        <x:f>IFERROR(D213/C213,"")</x:f>
      </x:c>
    </x:row>
    <x:row r="214">
      <x:c r="A214" s="38" t="str"/>
      <x:c r="B214" s="38" t="str"/>
      <x:c r="C214" s="39"/>
      <x:c r="D214" s="39"/>
      <x:c r="E214" s="39" t="str">
        <x:f>IF(C214="","",C214-D214)</x:f>
      </x:c>
      <x:c r="F214" s="46"/>
      <x:c r="G214" s="46"/>
      <x:c r="H214" s="39"/>
      <x:c r="I214" s="39"/>
      <x:c r="J214" s="40"/>
      <x:c r="K214" s="40" t="str">
        <x:f>IFERROR(D214/C214,"")</x:f>
      </x:c>
    </x:row>
    <x:row r="215">
      <x:c r="A215" s="38" t="str"/>
      <x:c r="B215" s="38" t="str"/>
      <x:c r="C215" s="39"/>
      <x:c r="D215" s="39"/>
      <x:c r="E215" s="39" t="str">
        <x:f>IF(C215="","",C215-D215)</x:f>
      </x:c>
      <x:c r="F215" s="46"/>
      <x:c r="G215" s="46"/>
      <x:c r="H215" s="39"/>
      <x:c r="I215" s="39"/>
      <x:c r="J215" s="40"/>
      <x:c r="K215" s="40" t="str">
        <x:f>IFERROR(D215/C215,"")</x:f>
      </x:c>
    </x:row>
    <x:row r="216">
      <x:c r="A216" s="38" t="str"/>
      <x:c r="B216" s="38" t="str"/>
      <x:c r="C216" s="39"/>
      <x:c r="D216" s="39"/>
      <x:c r="E216" s="39" t="str">
        <x:f>IF(C216="","",C216-D216)</x:f>
      </x:c>
      <x:c r="F216" s="46"/>
      <x:c r="G216" s="46"/>
      <x:c r="H216" s="39"/>
      <x:c r="I216" s="39"/>
      <x:c r="J216" s="40"/>
      <x:c r="K216" s="40" t="str">
        <x:f>IFERROR(D216/C216,"")</x:f>
      </x:c>
    </x:row>
    <x:row r="217">
      <x:c r="A217" s="38" t="str"/>
      <x:c r="B217" s="38" t="str"/>
      <x:c r="C217" s="39"/>
      <x:c r="D217" s="39"/>
      <x:c r="E217" s="39" t="str">
        <x:f>IF(C217="","",C217-D217)</x:f>
      </x:c>
      <x:c r="F217" s="46"/>
      <x:c r="G217" s="46"/>
      <x:c r="H217" s="39"/>
      <x:c r="I217" s="39"/>
      <x:c r="J217" s="40"/>
      <x:c r="K217" s="40" t="str">
        <x:f>IFERROR(D217/C217,"")</x:f>
      </x:c>
    </x:row>
    <x:row r="218">
      <x:c r="A218" s="38" t="str"/>
      <x:c r="B218" s="38" t="str"/>
      <x:c r="C218" s="39"/>
      <x:c r="D218" s="39"/>
      <x:c r="E218" s="39" t="str">
        <x:f>IF(C218="","",C218-D218)</x:f>
      </x:c>
      <x:c r="F218" s="46"/>
      <x:c r="G218" s="46"/>
      <x:c r="H218" s="39"/>
      <x:c r="I218" s="39"/>
      <x:c r="J218" s="40"/>
      <x:c r="K218" s="40" t="str">
        <x:f>IFERROR(D218/C218,"")</x:f>
      </x:c>
    </x:row>
    <x:row r="219">
      <x:c r="A219" s="38" t="str"/>
      <x:c r="B219" s="38" t="str"/>
      <x:c r="C219" s="39"/>
      <x:c r="D219" s="39"/>
      <x:c r="E219" s="39" t="str">
        <x:f>IF(C219="","",C219-D219)</x:f>
      </x:c>
      <x:c r="F219" s="46"/>
      <x:c r="G219" s="46"/>
      <x:c r="H219" s="39"/>
      <x:c r="I219" s="39"/>
      <x:c r="J219" s="40"/>
      <x:c r="K219" s="40" t="str">
        <x:f>IFERROR(D219/C219,"")</x:f>
      </x:c>
    </x:row>
    <x:row r="220">
      <x:c r="A220" s="38" t="str"/>
      <x:c r="B220" s="38" t="str"/>
      <x:c r="C220" s="39"/>
      <x:c r="D220" s="39"/>
      <x:c r="E220" s="39" t="str">
        <x:f>IF(C220="","",C220-D220)</x:f>
      </x:c>
      <x:c r="F220" s="46"/>
      <x:c r="G220" s="46"/>
      <x:c r="H220" s="39"/>
      <x:c r="I220" s="39"/>
      <x:c r="J220" s="40"/>
      <x:c r="K220" s="40" t="str">
        <x:f>IFERROR(D220/C220,"")</x:f>
      </x:c>
    </x:row>
    <x:row r="221">
      <x:c r="A221" s="38" t="str"/>
      <x:c r="B221" s="38" t="str"/>
      <x:c r="C221" s="39"/>
      <x:c r="D221" s="39"/>
      <x:c r="E221" s="39" t="str">
        <x:f>IF(C221="","",C221-D221)</x:f>
      </x:c>
      <x:c r="F221" s="46"/>
      <x:c r="G221" s="46"/>
      <x:c r="H221" s="39"/>
      <x:c r="I221" s="39"/>
      <x:c r="J221" s="40"/>
      <x:c r="K221" s="40" t="str">
        <x:f>IFERROR(D221/C221,"")</x:f>
      </x:c>
    </x:row>
    <x:row r="222">
      <x:c r="A222" s="38" t="str"/>
      <x:c r="B222" s="38" t="str"/>
      <x:c r="C222" s="39"/>
      <x:c r="D222" s="39"/>
      <x:c r="E222" s="39" t="str">
        <x:f>IF(C222="","",C222-D222)</x:f>
      </x:c>
      <x:c r="F222" s="46"/>
      <x:c r="G222" s="46"/>
      <x:c r="H222" s="39"/>
      <x:c r="I222" s="39"/>
      <x:c r="J222" s="40"/>
      <x:c r="K222" s="40" t="str">
        <x:f>IFERROR(D222/C222,"")</x:f>
      </x:c>
    </x:row>
    <x:row r="223">
      <x:c r="A223" s="38" t="str"/>
      <x:c r="B223" s="38" t="str"/>
      <x:c r="C223" s="39"/>
      <x:c r="D223" s="39"/>
      <x:c r="E223" s="39" t="str">
        <x:f>IF(C223="","",C223-D223)</x:f>
      </x:c>
      <x:c r="F223" s="46"/>
      <x:c r="G223" s="46"/>
      <x:c r="H223" s="39"/>
      <x:c r="I223" s="39"/>
      <x:c r="J223" s="40"/>
      <x:c r="K223" s="40" t="str">
        <x:f>IFERROR(D223/C223,"")</x:f>
      </x:c>
    </x:row>
    <x:row r="224">
      <x:c r="A224" s="38" t="str"/>
      <x:c r="B224" s="38" t="str"/>
      <x:c r="C224" s="39"/>
      <x:c r="D224" s="39"/>
      <x:c r="E224" s="39" t="str">
        <x:f>IF(C224="","",C224-D224)</x:f>
      </x:c>
      <x:c r="F224" s="46"/>
      <x:c r="G224" s="46"/>
      <x:c r="H224" s="39"/>
      <x:c r="I224" s="39"/>
      <x:c r="J224" s="40"/>
      <x:c r="K224" s="40" t="str">
        <x:f>IFERROR(D224/C224,"")</x:f>
      </x:c>
    </x:row>
    <x:row r="225">
      <x:c r="A225" s="38" t="str"/>
      <x:c r="B225" s="38" t="str"/>
      <x:c r="C225" s="39"/>
      <x:c r="D225" s="39"/>
      <x:c r="E225" s="39" t="str">
        <x:f>IF(C225="","",C225-D225)</x:f>
      </x:c>
      <x:c r="F225" s="46"/>
      <x:c r="G225" s="46"/>
      <x:c r="H225" s="39"/>
      <x:c r="I225" s="39"/>
      <x:c r="J225" s="40"/>
      <x:c r="K225" s="40" t="str">
        <x:f>IFERROR(D225/C225,"")</x:f>
      </x:c>
    </x:row>
    <x:row r="226">
      <x:c r="A226" s="38" t="str"/>
      <x:c r="B226" s="38" t="str"/>
      <x:c r="C226" s="39"/>
      <x:c r="D226" s="39"/>
      <x:c r="E226" s="39" t="str">
        <x:f>IF(C226="","",C226-D226)</x:f>
      </x:c>
      <x:c r="F226" s="46"/>
      <x:c r="G226" s="46"/>
      <x:c r="H226" s="39"/>
      <x:c r="I226" s="39"/>
      <x:c r="J226" s="40"/>
      <x:c r="K226" s="40" t="str">
        <x:f>IFERROR(D226/C226,"")</x:f>
      </x:c>
    </x:row>
    <x:row r="227">
      <x:c r="A227" s="38" t="str"/>
      <x:c r="B227" s="38" t="str"/>
      <x:c r="C227" s="39"/>
      <x:c r="D227" s="39"/>
      <x:c r="E227" s="39" t="str">
        <x:f>IF(C227="","",C227-D227)</x:f>
      </x:c>
      <x:c r="F227" s="46"/>
      <x:c r="G227" s="46"/>
      <x:c r="H227" s="39"/>
      <x:c r="I227" s="39"/>
      <x:c r="J227" s="40"/>
      <x:c r="K227" s="40" t="str">
        <x:f>IFERROR(D227/C227,"")</x:f>
      </x:c>
    </x:row>
    <x:row r="228">
      <x:c r="A228" s="38" t="str"/>
      <x:c r="B228" s="38" t="str"/>
      <x:c r="C228" s="39"/>
      <x:c r="D228" s="39"/>
      <x:c r="E228" s="39" t="str">
        <x:f>IF(C228="","",C228-D228)</x:f>
      </x:c>
      <x:c r="F228" s="46"/>
      <x:c r="G228" s="46"/>
      <x:c r="H228" s="39"/>
      <x:c r="I228" s="39"/>
      <x:c r="J228" s="40"/>
      <x:c r="K228" s="40" t="str">
        <x:f>IFERROR(D228/C228,"")</x:f>
      </x:c>
    </x:row>
    <x:row r="229">
      <x:c r="A229" s="38" t="str"/>
      <x:c r="B229" s="38" t="str"/>
      <x:c r="C229" s="39"/>
      <x:c r="D229" s="39"/>
      <x:c r="E229" s="39" t="str">
        <x:f>IF(C229="","",C229-D229)</x:f>
      </x:c>
      <x:c r="F229" s="46"/>
      <x:c r="G229" s="46"/>
      <x:c r="H229" s="39"/>
      <x:c r="I229" s="39"/>
      <x:c r="J229" s="40"/>
      <x:c r="K229" s="40" t="str">
        <x:f>IFERROR(D229/C229,"")</x:f>
      </x:c>
    </x:row>
    <x:row r="230">
      <x:c r="A230" s="38" t="str"/>
      <x:c r="B230" s="38" t="str"/>
      <x:c r="C230" s="39"/>
      <x:c r="D230" s="39"/>
      <x:c r="E230" s="39" t="str">
        <x:f>IF(C230="","",C230-D230)</x:f>
      </x:c>
      <x:c r="F230" s="46"/>
      <x:c r="G230" s="46"/>
      <x:c r="H230" s="39"/>
      <x:c r="I230" s="39"/>
      <x:c r="J230" s="40"/>
      <x:c r="K230" s="40" t="str">
        <x:f>IFERROR(D230/C230,"")</x:f>
      </x:c>
    </x:row>
    <x:row r="231">
      <x:c r="A231" s="38" t="str"/>
      <x:c r="B231" s="38" t="str"/>
      <x:c r="C231" s="39"/>
      <x:c r="D231" s="39"/>
      <x:c r="E231" s="39" t="str">
        <x:f>IF(C231="","",C231-D231)</x:f>
      </x:c>
      <x:c r="F231" s="46"/>
      <x:c r="G231" s="46"/>
      <x:c r="H231" s="39"/>
      <x:c r="I231" s="39"/>
      <x:c r="J231" s="40"/>
      <x:c r="K231" s="40" t="str">
        <x:f>IFERROR(D231/C231,"")</x:f>
      </x:c>
    </x:row>
    <x:row r="232">
      <x:c r="A232" s="38" t="str"/>
      <x:c r="B232" s="38" t="str"/>
      <x:c r="C232" s="39"/>
      <x:c r="D232" s="39"/>
      <x:c r="E232" s="39" t="str">
        <x:f>IF(C232="","",C232-D232)</x:f>
      </x:c>
      <x:c r="F232" s="46"/>
      <x:c r="G232" s="46"/>
      <x:c r="H232" s="39"/>
      <x:c r="I232" s="39"/>
      <x:c r="J232" s="40"/>
      <x:c r="K232" s="40" t="str">
        <x:f>IFERROR(D232/C232,"")</x:f>
      </x:c>
    </x:row>
    <x:row r="233">
      <x:c r="A233" s="38" t="str"/>
      <x:c r="B233" s="38" t="str"/>
      <x:c r="C233" s="39"/>
      <x:c r="D233" s="39"/>
      <x:c r="E233" s="39" t="str">
        <x:f>IF(C233="","",C233-D233)</x:f>
      </x:c>
      <x:c r="F233" s="46"/>
      <x:c r="G233" s="46"/>
      <x:c r="H233" s="39"/>
      <x:c r="I233" s="39"/>
      <x:c r="J233" s="40"/>
      <x:c r="K233" s="40" t="str">
        <x:f>IFERROR(D233/C233,"")</x:f>
      </x:c>
    </x:row>
    <x:row r="234">
      <x:c r="A234" s="38" t="str"/>
      <x:c r="B234" s="38" t="str"/>
      <x:c r="C234" s="39"/>
      <x:c r="D234" s="39"/>
      <x:c r="E234" s="39" t="str">
        <x:f>IF(C234="","",C234-D234)</x:f>
      </x:c>
      <x:c r="F234" s="46"/>
      <x:c r="G234" s="46"/>
      <x:c r="H234" s="39"/>
      <x:c r="I234" s="39"/>
      <x:c r="J234" s="40"/>
      <x:c r="K234" s="40" t="str">
        <x:f>IFERROR(D234/C234,"")</x:f>
      </x:c>
    </x:row>
    <x:row r="235">
      <x:c r="A235" s="38" t="str"/>
      <x:c r="B235" s="38" t="str"/>
      <x:c r="C235" s="39"/>
      <x:c r="D235" s="39"/>
      <x:c r="E235" s="39" t="str">
        <x:f>IF(C235="","",C235-D235)</x:f>
      </x:c>
      <x:c r="F235" s="46"/>
      <x:c r="G235" s="46"/>
      <x:c r="H235" s="39"/>
      <x:c r="I235" s="39"/>
      <x:c r="J235" s="40"/>
      <x:c r="K235" s="40" t="str">
        <x:f>IFERROR(D235/C235,"")</x:f>
      </x:c>
    </x:row>
    <x:row r="236">
      <x:c r="A236" s="38" t="str"/>
      <x:c r="B236" s="38" t="str"/>
      <x:c r="C236" s="39"/>
      <x:c r="D236" s="39"/>
      <x:c r="E236" s="39" t="str">
        <x:f>IF(C236="","",C236-D236)</x:f>
      </x:c>
      <x:c r="F236" s="46"/>
      <x:c r="G236" s="46"/>
      <x:c r="H236" s="39"/>
      <x:c r="I236" s="39"/>
      <x:c r="J236" s="40"/>
      <x:c r="K236" s="40" t="str">
        <x:f>IFERROR(D236/C236,"")</x:f>
      </x:c>
    </x:row>
    <x:row r="237">
      <x:c r="A237" s="38" t="str"/>
      <x:c r="B237" s="38" t="str"/>
      <x:c r="C237" s="39"/>
      <x:c r="D237" s="39"/>
      <x:c r="E237" s="39" t="str">
        <x:f>IF(C237="","",C237-D237)</x:f>
      </x:c>
      <x:c r="F237" s="46"/>
      <x:c r="G237" s="46"/>
      <x:c r="H237" s="39"/>
      <x:c r="I237" s="39"/>
      <x:c r="J237" s="40"/>
      <x:c r="K237" s="40" t="str">
        <x:f>IFERROR(D237/C237,"")</x:f>
      </x:c>
    </x:row>
    <x:row r="238">
      <x:c r="A238" s="38" t="str"/>
      <x:c r="B238" s="38" t="str"/>
      <x:c r="C238" s="39"/>
      <x:c r="D238" s="39"/>
      <x:c r="E238" s="39" t="str">
        <x:f>IF(C238="","",C238-D238)</x:f>
      </x:c>
      <x:c r="F238" s="46"/>
      <x:c r="G238" s="46"/>
      <x:c r="H238" s="39"/>
      <x:c r="I238" s="39"/>
      <x:c r="J238" s="40"/>
      <x:c r="K238" s="40" t="str">
        <x:f>IFERROR(D238/C238,"")</x:f>
      </x:c>
    </x:row>
    <x:row r="239">
      <x:c r="A239" s="38" t="str"/>
      <x:c r="B239" s="38" t="str"/>
      <x:c r="C239" s="39"/>
      <x:c r="D239" s="39"/>
      <x:c r="E239" s="39" t="str">
        <x:f>IF(C239="","",C239-D239)</x:f>
      </x:c>
      <x:c r="F239" s="46"/>
      <x:c r="G239" s="46"/>
      <x:c r="H239" s="39"/>
      <x:c r="I239" s="39"/>
      <x:c r="J239" s="40"/>
      <x:c r="K239" s="40" t="str">
        <x:f>IFERROR(D239/C239,"")</x:f>
      </x:c>
    </x:row>
    <x:row r="240">
      <x:c r="A240" s="38" t="str"/>
      <x:c r="B240" s="38" t="str"/>
      <x:c r="C240" s="39"/>
      <x:c r="D240" s="39"/>
      <x:c r="E240" s="39" t="str">
        <x:f>IF(C240="","",C240-D240)</x:f>
      </x:c>
      <x:c r="F240" s="46"/>
      <x:c r="G240" s="46"/>
      <x:c r="H240" s="39"/>
      <x:c r="I240" s="39"/>
      <x:c r="J240" s="40"/>
      <x:c r="K240" s="40" t="str">
        <x:f>IFERROR(D240/C240,"")</x:f>
      </x:c>
    </x:row>
    <x:row r="241">
      <x:c r="A241" s="38" t="str"/>
      <x:c r="B241" s="38" t="str"/>
      <x:c r="C241" s="39"/>
      <x:c r="D241" s="39"/>
      <x:c r="E241" s="39" t="str">
        <x:f>IF(C241="","",C241-D241)</x:f>
      </x:c>
      <x:c r="F241" s="46"/>
      <x:c r="G241" s="46"/>
      <x:c r="H241" s="39"/>
      <x:c r="I241" s="39"/>
      <x:c r="J241" s="40"/>
      <x:c r="K241" s="40" t="str">
        <x:f>IFERROR(D241/C241,"")</x:f>
      </x:c>
    </x:row>
    <x:row r="242">
      <x:c r="A242" s="38" t="str"/>
      <x:c r="B242" s="38" t="str"/>
      <x:c r="C242" s="39"/>
      <x:c r="D242" s="39"/>
      <x:c r="E242" s="39" t="str">
        <x:f>IF(C242="","",C242-D242)</x:f>
      </x:c>
      <x:c r="F242" s="46"/>
      <x:c r="G242" s="46"/>
      <x:c r="H242" s="39"/>
      <x:c r="I242" s="39"/>
      <x:c r="J242" s="40"/>
      <x:c r="K242" s="40" t="str">
        <x:f>IFERROR(D242/C242,"")</x:f>
      </x:c>
    </x:row>
    <x:row r="243">
      <x:c r="A243" s="38" t="str"/>
      <x:c r="B243" s="38" t="str"/>
      <x:c r="C243" s="39"/>
      <x:c r="D243" s="39"/>
      <x:c r="E243" s="39" t="str">
        <x:f>IF(C243="","",C243-D243)</x:f>
      </x:c>
      <x:c r="F243" s="46"/>
      <x:c r="G243" s="46"/>
      <x:c r="H243" s="39"/>
      <x:c r="I243" s="39"/>
      <x:c r="J243" s="40"/>
      <x:c r="K243" s="40" t="str">
        <x:f>IFERROR(D243/C243,"")</x:f>
      </x:c>
    </x:row>
    <x:row r="244">
      <x:c r="A244" s="38" t="str"/>
      <x:c r="B244" s="38" t="str"/>
      <x:c r="C244" s="39"/>
      <x:c r="D244" s="39"/>
      <x:c r="E244" s="39" t="str">
        <x:f>IF(C244="","",C244-D244)</x:f>
      </x:c>
      <x:c r="F244" s="46"/>
      <x:c r="G244" s="46"/>
      <x:c r="H244" s="39"/>
      <x:c r="I244" s="39"/>
      <x:c r="J244" s="40"/>
      <x:c r="K244" s="40" t="str">
        <x:f>IFERROR(D244/C244,"")</x:f>
      </x:c>
    </x:row>
    <x:row r="245">
      <x:c r="A245" s="38" t="str"/>
      <x:c r="B245" s="38" t="str"/>
      <x:c r="C245" s="39"/>
      <x:c r="D245" s="39"/>
      <x:c r="E245" s="39" t="str">
        <x:f>IF(C245="","",C245-D245)</x:f>
      </x:c>
      <x:c r="F245" s="46"/>
      <x:c r="G245" s="46"/>
      <x:c r="H245" s="39"/>
      <x:c r="I245" s="39"/>
      <x:c r="J245" s="40"/>
      <x:c r="K245" s="40" t="str">
        <x:f>IFERROR(D245/C245,"")</x:f>
      </x:c>
    </x:row>
    <x:row r="246">
      <x:c r="A246" s="38" t="str"/>
      <x:c r="B246" s="38" t="str"/>
      <x:c r="C246" s="39"/>
      <x:c r="D246" s="39"/>
      <x:c r="E246" s="39" t="str">
        <x:f>IF(C246="","",C246-D246)</x:f>
      </x:c>
      <x:c r="F246" s="46"/>
      <x:c r="G246" s="46"/>
      <x:c r="H246" s="39"/>
      <x:c r="I246" s="39"/>
      <x:c r="J246" s="40"/>
      <x:c r="K246" s="40" t="str">
        <x:f>IFERROR(D246/C246,"")</x:f>
      </x:c>
    </x:row>
    <x:row r="247">
      <x:c r="A247" s="38" t="str"/>
      <x:c r="B247" s="38" t="str"/>
      <x:c r="C247" s="39"/>
      <x:c r="D247" s="39"/>
      <x:c r="E247" s="39" t="str">
        <x:f>IF(C247="","",C247-D247)</x:f>
      </x:c>
      <x:c r="F247" s="46"/>
      <x:c r="G247" s="46"/>
      <x:c r="H247" s="39"/>
      <x:c r="I247" s="39"/>
      <x:c r="J247" s="40"/>
      <x:c r="K247" s="40" t="str">
        <x:f>IFERROR(D247/C247,"")</x:f>
      </x:c>
    </x:row>
    <x:row r="248">
      <x:c r="A248" s="38" t="str"/>
      <x:c r="B248" s="38" t="str"/>
      <x:c r="C248" s="39"/>
      <x:c r="D248" s="39"/>
      <x:c r="E248" s="39" t="str">
        <x:f>IF(C248="","",C248-D248)</x:f>
      </x:c>
      <x:c r="F248" s="46"/>
      <x:c r="G248" s="46"/>
      <x:c r="H248" s="39"/>
      <x:c r="I248" s="39"/>
      <x:c r="J248" s="40"/>
      <x:c r="K248" s="40" t="str">
        <x:f>IFERROR(D248/C248,"")</x:f>
      </x:c>
    </x:row>
    <x:row r="249">
      <x:c r="A249" s="38" t="str"/>
      <x:c r="B249" s="38" t="str"/>
      <x:c r="C249" s="39"/>
      <x:c r="D249" s="39"/>
      <x:c r="E249" s="39" t="str">
        <x:f>IF(C249="","",C249-D249)</x:f>
      </x:c>
      <x:c r="F249" s="46"/>
      <x:c r="G249" s="46"/>
      <x:c r="H249" s="39"/>
      <x:c r="I249" s="39"/>
      <x:c r="J249" s="40"/>
      <x:c r="K249" s="40" t="str">
        <x:f>IFERROR(D249/C249,"")</x:f>
      </x:c>
    </x:row>
    <x:row r="250">
      <x:c r="A250" s="38" t="str"/>
      <x:c r="B250" s="38" t="str"/>
      <x:c r="C250" s="39"/>
      <x:c r="D250" s="39"/>
      <x:c r="E250" s="39" t="str">
        <x:f>IF(C250="","",C250-D250)</x:f>
      </x:c>
      <x:c r="F250" s="46"/>
      <x:c r="G250" s="46"/>
      <x:c r="H250" s="39"/>
      <x:c r="I250" s="39"/>
      <x:c r="J250" s="40"/>
      <x:c r="K250" s="40" t="str">
        <x:f>IFERROR(D250/C250,"")</x:f>
      </x:c>
    </x:row>
    <x:row r="251">
      <x:c r="A251" s="38" t="str"/>
      <x:c r="B251" s="38" t="str"/>
      <x:c r="C251" s="39"/>
      <x:c r="D251" s="39"/>
      <x:c r="E251" s="39" t="str">
        <x:f>IF(C251="","",C251-D251)</x:f>
      </x:c>
      <x:c r="F251" s="46"/>
      <x:c r="G251" s="46"/>
      <x:c r="H251" s="39"/>
      <x:c r="I251" s="39"/>
      <x:c r="J251" s="40"/>
      <x:c r="K251" s="40" t="str">
        <x:f>IFERROR(D251/C251,"")</x:f>
      </x:c>
    </x:row>
    <x:row r="252">
      <x:c r="A252" s="38" t="str"/>
      <x:c r="B252" s="38" t="str"/>
      <x:c r="C252" s="39"/>
      <x:c r="D252" s="39"/>
      <x:c r="E252" s="39" t="str">
        <x:f>IF(C252="","",C252-D252)</x:f>
      </x:c>
      <x:c r="F252" s="46"/>
      <x:c r="G252" s="46"/>
      <x:c r="H252" s="39"/>
      <x:c r="I252" s="39"/>
      <x:c r="J252" s="40"/>
      <x:c r="K252" s="40" t="str">
        <x:f>IFERROR(D252/C252,"")</x:f>
      </x:c>
    </x:row>
    <x:row r="253">
      <x:c r="A253" s="38" t="str"/>
      <x:c r="B253" s="38" t="str"/>
      <x:c r="C253" s="39"/>
      <x:c r="D253" s="39"/>
      <x:c r="E253" s="39" t="str">
        <x:f>IF(C253="","",C253-D253)</x:f>
      </x:c>
      <x:c r="F253" s="46"/>
      <x:c r="G253" s="46"/>
      <x:c r="H253" s="39"/>
      <x:c r="I253" s="39"/>
      <x:c r="J253" s="40"/>
      <x:c r="K253" s="40" t="str">
        <x:f>IFERROR(D253/C253,"")</x:f>
      </x:c>
    </x:row>
    <x:row r="254">
      <x:c r="A254" s="38" t="str"/>
      <x:c r="B254" s="38" t="str"/>
      <x:c r="C254" s="39"/>
      <x:c r="D254" s="39"/>
      <x:c r="E254" s="39" t="str">
        <x:f>IF(C254="","",C254-D254)</x:f>
      </x:c>
      <x:c r="F254" s="46"/>
      <x:c r="G254" s="46"/>
      <x:c r="H254" s="39"/>
      <x:c r="I254" s="39"/>
      <x:c r="J254" s="40"/>
      <x:c r="K254" s="40" t="str">
        <x:f>IFERROR(D254/C254,"")</x:f>
      </x:c>
    </x:row>
    <x:row r="255">
      <x:c r="A255" s="38" t="str"/>
      <x:c r="B255" s="38" t="str"/>
      <x:c r="C255" s="39"/>
      <x:c r="D255" s="39"/>
      <x:c r="E255" s="39" t="str">
        <x:f>IF(C255="","",C255-D255)</x:f>
      </x:c>
      <x:c r="F255" s="46"/>
      <x:c r="G255" s="46"/>
      <x:c r="H255" s="39"/>
      <x:c r="I255" s="39"/>
      <x:c r="J255" s="40"/>
      <x:c r="K255" s="40" t="str">
        <x:f>IFERROR(D255/C255,"")</x:f>
      </x:c>
    </x:row>
    <x:row r="256">
      <x:c r="A256" s="38" t="str"/>
      <x:c r="B256" s="38" t="str"/>
      <x:c r="C256" s="39"/>
      <x:c r="D256" s="39"/>
      <x:c r="E256" s="39" t="str">
        <x:f>IF(C256="","",C256-D256)</x:f>
      </x:c>
      <x:c r="F256" s="46"/>
      <x:c r="G256" s="46"/>
      <x:c r="H256" s="39"/>
      <x:c r="I256" s="39"/>
      <x:c r="J256" s="40"/>
      <x:c r="K256" s="40" t="str">
        <x:f>IFERROR(D256/C256,"")</x:f>
      </x:c>
    </x:row>
    <x:row r="257">
      <x:c r="A257" s="38" t="str"/>
      <x:c r="B257" s="38" t="str"/>
      <x:c r="C257" s="39"/>
      <x:c r="D257" s="39"/>
      <x:c r="E257" s="39" t="str">
        <x:f>IF(C257="","",C257-D257)</x:f>
      </x:c>
      <x:c r="F257" s="46"/>
      <x:c r="G257" s="46"/>
      <x:c r="H257" s="39"/>
      <x:c r="I257" s="39"/>
      <x:c r="J257" s="40"/>
      <x:c r="K257" s="40" t="str">
        <x:f>IFERROR(D257/C257,"")</x:f>
      </x:c>
    </x:row>
    <x:row r="258">
      <x:c r="A258" s="38" t="str"/>
      <x:c r="B258" s="38" t="str"/>
      <x:c r="C258" s="39"/>
      <x:c r="D258" s="39"/>
      <x:c r="E258" s="39" t="str">
        <x:f>IF(C258="","",C258-D258)</x:f>
      </x:c>
      <x:c r="F258" s="46"/>
      <x:c r="G258" s="46"/>
      <x:c r="H258" s="39"/>
      <x:c r="I258" s="39"/>
      <x:c r="J258" s="40"/>
      <x:c r="K258" s="40" t="str">
        <x:f>IFERROR(D258/C258,"")</x:f>
      </x:c>
    </x:row>
    <x:row r="259">
      <x:c r="A259" s="38" t="str"/>
      <x:c r="B259" s="38" t="str"/>
      <x:c r="C259" s="39"/>
      <x:c r="D259" s="39"/>
      <x:c r="E259" s="39" t="str">
        <x:f>IF(C259="","",C259-D259)</x:f>
      </x:c>
      <x:c r="F259" s="46"/>
      <x:c r="G259" s="46"/>
      <x:c r="H259" s="39"/>
      <x:c r="I259" s="39"/>
      <x:c r="J259" s="40"/>
      <x:c r="K259" s="40" t="str">
        <x:f>IFERROR(D259/C259,"")</x:f>
      </x:c>
    </x:row>
    <x:row r="260">
      <x:c r="A260" s="38" t="str"/>
      <x:c r="B260" s="38" t="str"/>
      <x:c r="C260" s="39"/>
      <x:c r="D260" s="39"/>
      <x:c r="E260" s="39" t="str">
        <x:f>IF(C260="","",C260-D260)</x:f>
      </x:c>
      <x:c r="F260" s="46"/>
      <x:c r="G260" s="46"/>
      <x:c r="H260" s="39"/>
      <x:c r="I260" s="39"/>
      <x:c r="J260" s="40"/>
      <x:c r="K260" s="40" t="str">
        <x:f>IFERROR(D260/C260,"")</x:f>
      </x:c>
    </x:row>
    <x:row r="261">
      <x:c r="A261" s="38" t="str"/>
      <x:c r="B261" s="38" t="str"/>
      <x:c r="C261" s="39"/>
      <x:c r="D261" s="39"/>
      <x:c r="E261" s="39" t="str">
        <x:f>IF(C261="","",C261-D261)</x:f>
      </x:c>
      <x:c r="F261" s="46"/>
      <x:c r="G261" s="46"/>
      <x:c r="H261" s="39"/>
      <x:c r="I261" s="39"/>
      <x:c r="J261" s="40"/>
      <x:c r="K261" s="40" t="str">
        <x:f>IFERROR(D261/C261,"")</x:f>
      </x:c>
    </x:row>
    <x:row r="262">
      <x:c r="A262" s="38" t="str"/>
      <x:c r="B262" s="38" t="str"/>
      <x:c r="C262" s="39"/>
      <x:c r="D262" s="39"/>
      <x:c r="E262" s="39" t="str">
        <x:f>IF(C262="","",C262-D262)</x:f>
      </x:c>
      <x:c r="F262" s="46"/>
      <x:c r="G262" s="46"/>
      <x:c r="H262" s="39"/>
      <x:c r="I262" s="39"/>
      <x:c r="J262" s="40"/>
      <x:c r="K262" s="40" t="str">
        <x:f>IFERROR(D262/C262,"")</x:f>
      </x:c>
    </x:row>
    <x:row r="263">
      <x:c r="A263" s="38" t="str"/>
      <x:c r="B263" s="38" t="str"/>
      <x:c r="C263" s="39"/>
      <x:c r="D263" s="39"/>
      <x:c r="E263" s="39" t="str">
        <x:f>IF(C263="","",C263-D263)</x:f>
      </x:c>
      <x:c r="F263" s="46"/>
      <x:c r="G263" s="46"/>
      <x:c r="H263" s="39"/>
      <x:c r="I263" s="39"/>
      <x:c r="J263" s="40"/>
      <x:c r="K263" s="40" t="str">
        <x:f>IFERROR(D263/C263,"")</x:f>
      </x:c>
    </x:row>
    <x:row r="264">
      <x:c r="A264" s="38" t="str"/>
      <x:c r="B264" s="38" t="str"/>
      <x:c r="C264" s="39"/>
      <x:c r="D264" s="39"/>
      <x:c r="E264" s="39" t="str">
        <x:f>IF(C264="","",C264-D264)</x:f>
      </x:c>
      <x:c r="F264" s="46"/>
      <x:c r="G264" s="46"/>
      <x:c r="H264" s="39"/>
      <x:c r="I264" s="39"/>
      <x:c r="J264" s="40"/>
      <x:c r="K264" s="40" t="str">
        <x:f>IFERROR(D264/C264,"")</x:f>
      </x:c>
    </x:row>
    <x:row r="265">
      <x:c r="A265" s="38" t="str"/>
      <x:c r="B265" s="38" t="str"/>
      <x:c r="C265" s="39"/>
      <x:c r="D265" s="39"/>
      <x:c r="E265" s="39" t="str">
        <x:f>IF(C265="","",C265-D265)</x:f>
      </x:c>
      <x:c r="F265" s="46"/>
      <x:c r="G265" s="46"/>
      <x:c r="H265" s="39"/>
      <x:c r="I265" s="39"/>
      <x:c r="J265" s="40"/>
      <x:c r="K265" s="40" t="str">
        <x:f>IFERROR(D265/C265,"")</x:f>
      </x:c>
    </x:row>
    <x:row r="266">
      <x:c r="A266" s="38" t="str"/>
      <x:c r="B266" s="38" t="str"/>
      <x:c r="C266" s="39"/>
      <x:c r="D266" s="39"/>
      <x:c r="E266" s="39" t="str">
        <x:f>IF(C266="","",C266-D266)</x:f>
      </x:c>
      <x:c r="F266" s="46"/>
      <x:c r="G266" s="46"/>
      <x:c r="H266" s="39"/>
      <x:c r="I266" s="39"/>
      <x:c r="J266" s="40"/>
      <x:c r="K266" s="40" t="str">
        <x:f>IFERROR(D266/C266,"")</x:f>
      </x:c>
    </x:row>
    <x:row r="267">
      <x:c r="A267" s="38" t="str"/>
      <x:c r="B267" s="38" t="str"/>
      <x:c r="C267" s="39"/>
      <x:c r="D267" s="39"/>
      <x:c r="E267" s="39" t="str">
        <x:f>IF(C267="","",C267-D267)</x:f>
      </x:c>
      <x:c r="F267" s="46"/>
      <x:c r="G267" s="46"/>
      <x:c r="H267" s="39"/>
      <x:c r="I267" s="39"/>
      <x:c r="J267" s="40"/>
      <x:c r="K267" s="40" t="str">
        <x:f>IFERROR(D267/C267,"")</x:f>
      </x:c>
    </x:row>
    <x:row r="268">
      <x:c r="A268" s="38" t="str"/>
      <x:c r="B268" s="38" t="str"/>
      <x:c r="C268" s="39"/>
      <x:c r="D268" s="39"/>
      <x:c r="E268" s="39" t="str">
        <x:f>IF(C268="","",C268-D268)</x:f>
      </x:c>
      <x:c r="F268" s="46"/>
      <x:c r="G268" s="46"/>
      <x:c r="H268" s="39"/>
      <x:c r="I268" s="39"/>
      <x:c r="J268" s="40"/>
      <x:c r="K268" s="40" t="str">
        <x:f>IFERROR(D268/C268,"")</x:f>
      </x:c>
    </x:row>
    <x:row r="269">
      <x:c r="A269" s="38" t="str"/>
      <x:c r="B269" s="38" t="str"/>
      <x:c r="C269" s="39"/>
      <x:c r="D269" s="39"/>
      <x:c r="E269" s="39" t="str">
        <x:f>IF(C269="","",C269-D269)</x:f>
      </x:c>
      <x:c r="F269" s="46"/>
      <x:c r="G269" s="46"/>
      <x:c r="H269" s="39"/>
      <x:c r="I269" s="39"/>
      <x:c r="J269" s="40"/>
      <x:c r="K269" s="40" t="str">
        <x:f>IFERROR(D269/C269,"")</x:f>
      </x:c>
    </x:row>
    <x:row r="270">
      <x:c r="A270" s="38" t="str"/>
      <x:c r="B270" s="38" t="str"/>
      <x:c r="C270" s="39"/>
      <x:c r="D270" s="39"/>
      <x:c r="E270" s="39" t="str">
        <x:f>IF(C270="","",C270-D270)</x:f>
      </x:c>
      <x:c r="F270" s="46"/>
      <x:c r="G270" s="46"/>
      <x:c r="H270" s="39"/>
      <x:c r="I270" s="39"/>
      <x:c r="J270" s="40"/>
      <x:c r="K270" s="40" t="str">
        <x:f>IFERROR(D270/C270,"")</x:f>
      </x:c>
    </x:row>
    <x:row r="271">
      <x:c r="A271" s="38" t="str"/>
      <x:c r="B271" s="38" t="str"/>
      <x:c r="C271" s="39"/>
      <x:c r="D271" s="39"/>
      <x:c r="E271" s="39" t="str">
        <x:f>IF(C271="","",C271-D271)</x:f>
      </x:c>
      <x:c r="F271" s="46"/>
      <x:c r="G271" s="46"/>
      <x:c r="H271" s="39"/>
      <x:c r="I271" s="39"/>
      <x:c r="J271" s="40"/>
      <x:c r="K271" s="40" t="str">
        <x:f>IFERROR(D271/C271,"")</x:f>
      </x:c>
    </x:row>
    <x:row r="272">
      <x:c r="A272" s="38" t="str"/>
      <x:c r="B272" s="38" t="str"/>
      <x:c r="C272" s="39"/>
      <x:c r="D272" s="39"/>
      <x:c r="E272" s="39" t="str">
        <x:f>IF(C272="","",C272-D272)</x:f>
      </x:c>
      <x:c r="F272" s="46"/>
      <x:c r="G272" s="46"/>
      <x:c r="H272" s="39"/>
      <x:c r="I272" s="39"/>
      <x:c r="J272" s="40"/>
      <x:c r="K272" s="40" t="str">
        <x:f>IFERROR(D272/C272,"")</x:f>
      </x:c>
    </x:row>
    <x:row r="273">
      <x:c r="A273" s="38" t="str"/>
      <x:c r="B273" s="38" t="str"/>
      <x:c r="C273" s="39"/>
      <x:c r="D273" s="39"/>
      <x:c r="E273" s="39" t="str">
        <x:f>IF(C273="","",C273-D273)</x:f>
      </x:c>
      <x:c r="F273" s="46"/>
      <x:c r="G273" s="46"/>
      <x:c r="H273" s="39"/>
      <x:c r="I273" s="39"/>
      <x:c r="J273" s="40"/>
      <x:c r="K273" s="40" t="str">
        <x:f>IFERROR(D273/C273,"")</x:f>
      </x:c>
    </x:row>
    <x:row r="274">
      <x:c r="A274" s="38" t="str"/>
      <x:c r="B274" s="38" t="str"/>
      <x:c r="C274" s="39"/>
      <x:c r="D274" s="39"/>
      <x:c r="E274" s="39" t="str">
        <x:f>IF(C274="","",C274-D274)</x:f>
      </x:c>
      <x:c r="F274" s="46"/>
      <x:c r="G274" s="46"/>
      <x:c r="H274" s="39"/>
      <x:c r="I274" s="39"/>
      <x:c r="J274" s="40"/>
      <x:c r="K274" s="40" t="str">
        <x:f>IFERROR(D274/C274,"")</x:f>
      </x:c>
    </x:row>
    <x:row r="275">
      <x:c r="A275" s="38" t="str"/>
      <x:c r="B275" s="38" t="str"/>
      <x:c r="C275" s="39"/>
      <x:c r="D275" s="39"/>
      <x:c r="E275" s="39" t="str">
        <x:f>IF(C275="","",C275-D275)</x:f>
      </x:c>
      <x:c r="F275" s="46"/>
      <x:c r="G275" s="46"/>
      <x:c r="H275" s="39"/>
      <x:c r="I275" s="39"/>
      <x:c r="J275" s="40"/>
      <x:c r="K275" s="40" t="str">
        <x:f>IFERROR(D275/C275,"")</x:f>
      </x:c>
    </x:row>
    <x:row r="276">
      <x:c r="A276" s="38" t="str"/>
      <x:c r="B276" s="38" t="str"/>
      <x:c r="C276" s="39"/>
      <x:c r="D276" s="39"/>
      <x:c r="E276" s="39" t="str">
        <x:f>IF(C276="","",C276-D276)</x:f>
      </x:c>
      <x:c r="F276" s="46"/>
      <x:c r="G276" s="46"/>
      <x:c r="H276" s="39"/>
      <x:c r="I276" s="39"/>
      <x:c r="J276" s="40"/>
      <x:c r="K276" s="40" t="str">
        <x:f>IFERROR(D276/C276,"")</x:f>
      </x:c>
    </x:row>
    <x:row r="277">
      <x:c r="A277" s="38" t="str"/>
      <x:c r="B277" s="38" t="str"/>
      <x:c r="C277" s="39"/>
      <x:c r="D277" s="39"/>
      <x:c r="E277" s="39" t="str">
        <x:f>IF(C277="","",C277-D277)</x:f>
      </x:c>
      <x:c r="F277" s="46"/>
      <x:c r="G277" s="46"/>
      <x:c r="H277" s="39"/>
      <x:c r="I277" s="39"/>
      <x:c r="J277" s="40"/>
      <x:c r="K277" s="40" t="str">
        <x:f>IFERROR(D277/C277,"")</x:f>
      </x:c>
    </x:row>
    <x:row r="278">
      <x:c r="A278" s="38" t="str"/>
      <x:c r="B278" s="38" t="str"/>
      <x:c r="C278" s="39"/>
      <x:c r="D278" s="39"/>
      <x:c r="E278" s="39" t="str">
        <x:f>IF(C278="","",C278-D278)</x:f>
      </x:c>
      <x:c r="F278" s="46"/>
      <x:c r="G278" s="46"/>
      <x:c r="H278" s="39"/>
      <x:c r="I278" s="39"/>
      <x:c r="J278" s="40"/>
      <x:c r="K278" s="40" t="str">
        <x:f>IFERROR(D278/C278,"")</x:f>
      </x:c>
    </x:row>
    <x:row r="279">
      <x:c r="A279" s="38" t="str"/>
      <x:c r="B279" s="38" t="str"/>
      <x:c r="C279" s="39"/>
      <x:c r="D279" s="39"/>
      <x:c r="E279" s="39" t="str">
        <x:f>IF(C279="","",C279-D279)</x:f>
      </x:c>
      <x:c r="F279" s="46"/>
      <x:c r="G279" s="46"/>
      <x:c r="H279" s="39"/>
      <x:c r="I279" s="39"/>
      <x:c r="J279" s="40"/>
      <x:c r="K279" s="40" t="str">
        <x:f>IFERROR(D279/C279,"")</x:f>
      </x:c>
    </x:row>
    <x:row r="280">
      <x:c r="A280" s="38" t="str"/>
      <x:c r="B280" s="38" t="str"/>
      <x:c r="C280" s="39"/>
      <x:c r="D280" s="39"/>
      <x:c r="E280" s="39" t="str">
        <x:f>IF(C280="","",C280-D280)</x:f>
      </x:c>
      <x:c r="F280" s="46"/>
      <x:c r="G280" s="46"/>
      <x:c r="H280" s="39"/>
      <x:c r="I280" s="39"/>
      <x:c r="J280" s="40"/>
      <x:c r="K280" s="40" t="str">
        <x:f>IFERROR(D280/C280,"")</x:f>
      </x:c>
    </x:row>
    <x:row r="281">
      <x:c r="A281" s="38" t="str"/>
      <x:c r="B281" s="38" t="str"/>
      <x:c r="C281" s="39"/>
      <x:c r="D281" s="39"/>
      <x:c r="E281" s="39" t="str">
        <x:f>IF(C281="","",C281-D281)</x:f>
      </x:c>
      <x:c r="F281" s="46"/>
      <x:c r="G281" s="46"/>
      <x:c r="H281" s="39"/>
      <x:c r="I281" s="39"/>
      <x:c r="J281" s="40"/>
      <x:c r="K281" s="40" t="str">
        <x:f>IFERROR(D281/C281,"")</x:f>
      </x:c>
    </x:row>
    <x:row r="282">
      <x:c r="A282" s="38" t="str"/>
      <x:c r="B282" s="38" t="str"/>
      <x:c r="C282" s="39"/>
      <x:c r="D282" s="39"/>
      <x:c r="E282" s="39" t="str">
        <x:f>IF(C282="","",C282-D282)</x:f>
      </x:c>
      <x:c r="F282" s="46"/>
      <x:c r="G282" s="46"/>
      <x:c r="H282" s="39"/>
      <x:c r="I282" s="39"/>
      <x:c r="J282" s="40"/>
      <x:c r="K282" s="40" t="str">
        <x:f>IFERROR(D282/C282,"")</x:f>
      </x:c>
    </x:row>
    <x:row r="283">
      <x:c r="A283" s="38" t="str"/>
      <x:c r="B283" s="38" t="str"/>
      <x:c r="C283" s="39"/>
      <x:c r="D283" s="39"/>
      <x:c r="E283" s="39" t="str">
        <x:f>IF(C283="","",C283-D283)</x:f>
      </x:c>
      <x:c r="F283" s="46"/>
      <x:c r="G283" s="46"/>
      <x:c r="H283" s="39"/>
      <x:c r="I283" s="39"/>
      <x:c r="J283" s="40"/>
      <x:c r="K283" s="40" t="str">
        <x:f>IFERROR(D283/C283,"")</x:f>
      </x:c>
    </x:row>
    <x:row r="284">
      <x:c r="A284" s="38" t="str"/>
      <x:c r="B284" s="38" t="str"/>
      <x:c r="C284" s="39"/>
      <x:c r="D284" s="39"/>
      <x:c r="E284" s="39" t="str">
        <x:f>IF(C284="","",C284-D284)</x:f>
      </x:c>
      <x:c r="F284" s="46"/>
      <x:c r="G284" s="46"/>
      <x:c r="H284" s="39"/>
      <x:c r="I284" s="39"/>
      <x:c r="J284" s="40"/>
      <x:c r="K284" s="40" t="str">
        <x:f>IFERROR(D284/C284,"")</x:f>
      </x:c>
    </x:row>
    <x:row r="285">
      <x:c r="A285" s="38" t="str"/>
      <x:c r="B285" s="38" t="str"/>
      <x:c r="C285" s="39"/>
      <x:c r="D285" s="39"/>
      <x:c r="E285" s="39" t="str">
        <x:f>IF(C285="","",C285-D285)</x:f>
      </x:c>
      <x:c r="F285" s="46"/>
      <x:c r="G285" s="46"/>
      <x:c r="H285" s="39"/>
      <x:c r="I285" s="39"/>
      <x:c r="J285" s="40"/>
      <x:c r="K285" s="40" t="str">
        <x:f>IFERROR(D285/C285,"")</x:f>
      </x:c>
    </x:row>
    <x:row r="286">
      <x:c r="A286" s="38" t="str"/>
      <x:c r="B286" s="38" t="str"/>
      <x:c r="C286" s="39"/>
      <x:c r="D286" s="39"/>
      <x:c r="E286" s="39" t="str">
        <x:f>IF(C286="","",C286-D286)</x:f>
      </x:c>
      <x:c r="F286" s="46"/>
      <x:c r="G286" s="46"/>
      <x:c r="H286" s="39"/>
      <x:c r="I286" s="39"/>
      <x:c r="J286" s="40"/>
      <x:c r="K286" s="40" t="str">
        <x:f>IFERROR(D286/C286,"")</x:f>
      </x:c>
    </x:row>
    <x:row r="287">
      <x:c r="A287" s="38" t="str"/>
      <x:c r="B287" s="38" t="str"/>
      <x:c r="C287" s="39"/>
      <x:c r="D287" s="39"/>
      <x:c r="E287" s="39" t="str">
        <x:f>IF(C287="","",C287-D287)</x:f>
      </x:c>
      <x:c r="F287" s="46"/>
      <x:c r="G287" s="46"/>
      <x:c r="H287" s="39"/>
      <x:c r="I287" s="39"/>
      <x:c r="J287" s="40"/>
      <x:c r="K287" s="40" t="str">
        <x:f>IFERROR(D287/C287,"")</x:f>
      </x:c>
    </x:row>
    <x:row r="288">
      <x:c r="A288" s="38" t="str"/>
      <x:c r="B288" s="38" t="str"/>
      <x:c r="C288" s="39"/>
      <x:c r="D288" s="39"/>
      <x:c r="E288" s="39" t="str">
        <x:f>IF(C288="","",C288-D288)</x:f>
      </x:c>
      <x:c r="F288" s="46"/>
      <x:c r="G288" s="46"/>
      <x:c r="H288" s="39"/>
      <x:c r="I288" s="39"/>
      <x:c r="J288" s="40"/>
      <x:c r="K288" s="40" t="str">
        <x:f>IFERROR(D288/C288,"")</x:f>
      </x:c>
    </x:row>
    <x:row r="289">
      <x:c r="A289" s="38" t="str"/>
      <x:c r="B289" s="38" t="str"/>
      <x:c r="C289" s="39"/>
      <x:c r="D289" s="39"/>
      <x:c r="E289" s="39" t="str">
        <x:f>IF(C289="","",C289-D289)</x:f>
      </x:c>
      <x:c r="F289" s="46"/>
      <x:c r="G289" s="46"/>
      <x:c r="H289" s="39"/>
      <x:c r="I289" s="39"/>
      <x:c r="J289" s="40"/>
      <x:c r="K289" s="40" t="str">
        <x:f>IFERROR(D289/C289,"")</x:f>
      </x:c>
    </x:row>
    <x:row r="290">
      <x:c r="A290" s="38" t="str"/>
      <x:c r="B290" s="38" t="str"/>
      <x:c r="C290" s="39"/>
      <x:c r="D290" s="39"/>
      <x:c r="E290" s="39" t="str">
        <x:f>IF(C290="","",C290-D290)</x:f>
      </x:c>
      <x:c r="F290" s="46"/>
      <x:c r="G290" s="46"/>
      <x:c r="H290" s="39"/>
      <x:c r="I290" s="39"/>
      <x:c r="J290" s="40"/>
      <x:c r="K290" s="40" t="str">
        <x:f>IFERROR(D290/C290,"")</x:f>
      </x:c>
    </x:row>
    <x:row r="291">
      <x:c r="A291" s="38" t="str"/>
      <x:c r="B291" s="38" t="str"/>
      <x:c r="C291" s="39"/>
      <x:c r="D291" s="39"/>
      <x:c r="E291" s="39" t="str">
        <x:f>IF(C291="","",C291-D291)</x:f>
      </x:c>
      <x:c r="F291" s="46"/>
      <x:c r="G291" s="46"/>
      <x:c r="H291" s="39"/>
      <x:c r="I291" s="39"/>
      <x:c r="J291" s="40"/>
      <x:c r="K291" s="40" t="str">
        <x:f>IFERROR(D291/C291,"")</x:f>
      </x:c>
    </x:row>
    <x:row r="292">
      <x:c r="A292" s="38" t="str"/>
      <x:c r="B292" s="38" t="str"/>
      <x:c r="C292" s="39"/>
      <x:c r="D292" s="39"/>
      <x:c r="E292" s="39" t="str">
        <x:f>IF(C292="","",C292-D292)</x:f>
      </x:c>
      <x:c r="F292" s="46"/>
      <x:c r="G292" s="46"/>
      <x:c r="H292" s="39"/>
      <x:c r="I292" s="39"/>
      <x:c r="J292" s="40"/>
      <x:c r="K292" s="40" t="str">
        <x:f>IFERROR(D292/C292,"")</x:f>
      </x:c>
    </x:row>
    <x:row r="293">
      <x:c r="A293" s="38" t="str"/>
      <x:c r="B293" s="38" t="str"/>
      <x:c r="C293" s="39"/>
      <x:c r="D293" s="39"/>
      <x:c r="E293" s="39" t="str">
        <x:f>IF(C293="","",C293-D293)</x:f>
      </x:c>
      <x:c r="F293" s="46"/>
      <x:c r="G293" s="46"/>
      <x:c r="H293" s="39"/>
      <x:c r="I293" s="39"/>
      <x:c r="J293" s="40"/>
      <x:c r="K293" s="40" t="str">
        <x:f>IFERROR(D293/C293,"")</x:f>
      </x:c>
    </x:row>
    <x:row r="294">
      <x:c r="A294" s="38" t="str"/>
      <x:c r="B294" s="38" t="str"/>
      <x:c r="C294" s="39"/>
      <x:c r="D294" s="39"/>
      <x:c r="E294" s="39" t="str">
        <x:f>IF(C294="","",C294-D294)</x:f>
      </x:c>
      <x:c r="F294" s="46"/>
      <x:c r="G294" s="46"/>
      <x:c r="H294" s="39"/>
      <x:c r="I294" s="39"/>
      <x:c r="J294" s="40"/>
      <x:c r="K294" s="40" t="str">
        <x:f>IFERROR(D294/C294,"")</x:f>
      </x:c>
    </x:row>
    <x:row r="295">
      <x:c r="A295" s="38" t="str"/>
      <x:c r="B295" s="38" t="str"/>
      <x:c r="C295" s="39"/>
      <x:c r="D295" s="39"/>
      <x:c r="E295" s="39" t="str">
        <x:f>IF(C295="","",C295-D295)</x:f>
      </x:c>
      <x:c r="F295" s="46"/>
      <x:c r="G295" s="46"/>
      <x:c r="H295" s="39"/>
      <x:c r="I295" s="39"/>
      <x:c r="J295" s="40"/>
      <x:c r="K295" s="40" t="str">
        <x:f>IFERROR(D295/C295,"")</x:f>
      </x:c>
    </x:row>
    <x:row r="296">
      <x:c r="A296" s="38" t="str"/>
      <x:c r="B296" s="38" t="str"/>
      <x:c r="C296" s="39"/>
      <x:c r="D296" s="39"/>
      <x:c r="E296" s="39" t="str">
        <x:f>IF(C296="","",C296-D296)</x:f>
      </x:c>
      <x:c r="F296" s="46"/>
      <x:c r="G296" s="46"/>
      <x:c r="H296" s="39"/>
      <x:c r="I296" s="39"/>
      <x:c r="J296" s="40"/>
      <x:c r="K296" s="40" t="str">
        <x:f>IFERROR(D296/C296,"")</x:f>
      </x:c>
    </x:row>
    <x:row r="297">
      <x:c r="A297" s="38" t="str"/>
      <x:c r="B297" s="38" t="str"/>
      <x:c r="C297" s="39"/>
      <x:c r="D297" s="39"/>
      <x:c r="E297" s="39" t="str">
        <x:f>IF(C297="","",C297-D297)</x:f>
      </x:c>
      <x:c r="F297" s="46"/>
      <x:c r="G297" s="46"/>
      <x:c r="H297" s="39"/>
      <x:c r="I297" s="39"/>
      <x:c r="J297" s="40"/>
      <x:c r="K297" s="40" t="str">
        <x:f>IFERROR(D297/C297,"")</x:f>
      </x:c>
    </x:row>
    <x:row r="298">
      <x:c r="A298" s="38" t="str"/>
      <x:c r="B298" s="38" t="str"/>
      <x:c r="C298" s="39"/>
      <x:c r="D298" s="39"/>
      <x:c r="E298" s="39" t="str">
        <x:f>IF(C298="","",C298-D298)</x:f>
      </x:c>
      <x:c r="F298" s="46"/>
      <x:c r="G298" s="46"/>
      <x:c r="H298" s="39"/>
      <x:c r="I298" s="39"/>
      <x:c r="J298" s="40"/>
      <x:c r="K298" s="40" t="str">
        <x:f>IFERROR(D298/C298,"")</x:f>
      </x:c>
    </x:row>
    <x:row r="299">
      <x:c r="A299" s="38" t="str"/>
      <x:c r="B299" s="38" t="str"/>
      <x:c r="C299" s="39"/>
      <x:c r="D299" s="39"/>
      <x:c r="E299" s="39" t="str">
        <x:f>IF(C299="","",C299-D299)</x:f>
      </x:c>
      <x:c r="F299" s="46"/>
      <x:c r="G299" s="46"/>
      <x:c r="H299" s="39"/>
      <x:c r="I299" s="39"/>
      <x:c r="J299" s="40"/>
      <x:c r="K299" s="40" t="str">
        <x:f>IFERROR(D299/C299,"")</x:f>
      </x:c>
    </x:row>
    <x:row r="300">
      <x:c r="A300" s="38" t="str"/>
      <x:c r="B300" s="38" t="str"/>
      <x:c r="C300" s="39"/>
      <x:c r="D300" s="39"/>
      <x:c r="E300" s="39" t="str">
        <x:f>IF(C300="","",C300-D300)</x:f>
      </x:c>
      <x:c r="F300" s="46"/>
      <x:c r="G300" s="46"/>
      <x:c r="H300" s="39"/>
      <x:c r="I300" s="39"/>
      <x:c r="J300" s="40"/>
      <x:c r="K300" s="40" t="str">
        <x:f>IFERROR(D300/C300,"")</x:f>
      </x:c>
    </x:row>
    <x:row r="301">
      <x:c r="A301" s="38" t="str"/>
      <x:c r="B301" s="38" t="str"/>
      <x:c r="C301" s="39"/>
      <x:c r="D301" s="39"/>
      <x:c r="E301" s="39" t="str">
        <x:f>IF(C301="","",C301-D301)</x:f>
      </x:c>
      <x:c r="F301" s="46"/>
      <x:c r="G301" s="46"/>
      <x:c r="H301" s="39"/>
      <x:c r="I301" s="39"/>
      <x:c r="J301" s="40"/>
      <x:c r="K301" s="40" t="str">
        <x:f>IFERROR(D301/C301,"")</x:f>
      </x:c>
    </x:row>
    <x:row r="302">
      <x:c r="A302" s="38" t="str"/>
      <x:c r="B302" s="38" t="str"/>
      <x:c r="C302" s="39"/>
      <x:c r="D302" s="39"/>
      <x:c r="E302" s="39" t="str">
        <x:f>IF(C302="","",C302-D302)</x:f>
      </x:c>
      <x:c r="F302" s="46"/>
      <x:c r="G302" s="46"/>
      <x:c r="H302" s="39"/>
      <x:c r="I302" s="39"/>
      <x:c r="J302" s="40"/>
      <x:c r="K302" s="40" t="str">
        <x:f>IFERROR(D302/C302,"")</x:f>
      </x:c>
    </x:row>
    <x:row r="303">
      <x:c r="A303" s="38" t="str"/>
      <x:c r="B303" s="38" t="str"/>
      <x:c r="C303" s="39"/>
      <x:c r="D303" s="39"/>
      <x:c r="E303" s="39" t="str">
        <x:f>IF(C303="","",C303-D303)</x:f>
      </x:c>
      <x:c r="F303" s="46"/>
      <x:c r="G303" s="46"/>
      <x:c r="H303" s="39"/>
      <x:c r="I303" s="39"/>
      <x:c r="J303" s="40"/>
      <x:c r="K303" s="40" t="str">
        <x:f>IFERROR(D303/C303,"")</x:f>
      </x:c>
    </x:row>
    <x:row r="304">
      <x:c r="A304" s="38" t="str"/>
      <x:c r="B304" s="38" t="str"/>
      <x:c r="C304" s="39"/>
      <x:c r="D304" s="39"/>
      <x:c r="E304" s="39" t="str">
        <x:f>IF(C304="","",C304-D304)</x:f>
      </x:c>
      <x:c r="F304" s="46"/>
      <x:c r="G304" s="46"/>
      <x:c r="H304" s="39"/>
      <x:c r="I304" s="39"/>
      <x:c r="J304" s="40"/>
      <x:c r="K304" s="40" t="str">
        <x:f>IFERROR(D304/C304,"")</x:f>
      </x:c>
    </x:row>
    <x:row r="305">
      <x:c r="A305" s="38" t="str"/>
      <x:c r="B305" s="38" t="str"/>
      <x:c r="C305" s="39"/>
      <x:c r="D305" s="39"/>
      <x:c r="E305" s="39" t="str">
        <x:f>IF(C305="","",C305-D305)</x:f>
      </x:c>
      <x:c r="F305" s="46"/>
      <x:c r="G305" s="46"/>
      <x:c r="H305" s="39"/>
      <x:c r="I305" s="39"/>
      <x:c r="J305" s="40"/>
      <x:c r="K305" s="40" t="str">
        <x:f>IFERROR(D305/C305,"")</x:f>
      </x:c>
    </x:row>
    <x:row r="306">
      <x:c r="A306" s="38" t="str"/>
      <x:c r="B306" s="38" t="str"/>
      <x:c r="C306" s="39"/>
      <x:c r="D306" s="39"/>
      <x:c r="E306" s="39" t="str">
        <x:f>IF(C306="","",C306-D306)</x:f>
      </x:c>
      <x:c r="F306" s="46"/>
      <x:c r="G306" s="46"/>
      <x:c r="H306" s="39"/>
      <x:c r="I306" s="39"/>
      <x:c r="J306" s="40"/>
      <x:c r="K306" s="40" t="str">
        <x:f>IFERROR(D306/C306,"")</x:f>
      </x:c>
    </x:row>
    <x:row r="307">
      <x:c r="A307" s="38" t="str"/>
      <x:c r="B307" s="38" t="str"/>
      <x:c r="C307" s="39"/>
      <x:c r="D307" s="39"/>
      <x:c r="E307" s="39" t="str">
        <x:f>IF(C307="","",C307-D307)</x:f>
      </x:c>
      <x:c r="F307" s="46"/>
      <x:c r="G307" s="46"/>
      <x:c r="H307" s="39"/>
      <x:c r="I307" s="39"/>
      <x:c r="J307" s="40"/>
      <x:c r="K307" s="40" t="str">
        <x:f>IFERROR(D307/C307,"")</x:f>
      </x:c>
    </x:row>
    <x:row r="308">
      <x:c r="A308" s="38" t="str"/>
      <x:c r="B308" s="38" t="str"/>
      <x:c r="C308" s="39"/>
      <x:c r="D308" s="39"/>
      <x:c r="E308" s="39" t="str">
        <x:f>IF(C308="","",C308-D308)</x:f>
      </x:c>
      <x:c r="F308" s="46"/>
      <x:c r="G308" s="46"/>
      <x:c r="H308" s="39"/>
      <x:c r="I308" s="39"/>
      <x:c r="J308" s="40"/>
      <x:c r="K308" s="40" t="str">
        <x:f>IFERROR(D308/C308,"")</x:f>
      </x:c>
    </x:row>
    <x:row r="309">
      <x:c r="A309" s="38" t="str"/>
      <x:c r="B309" s="38" t="str"/>
      <x:c r="C309" s="39"/>
      <x:c r="D309" s="39"/>
      <x:c r="E309" s="39" t="str">
        <x:f>IF(C309="","",C309-D309)</x:f>
      </x:c>
      <x:c r="F309" s="46"/>
      <x:c r="G309" s="46"/>
      <x:c r="H309" s="39"/>
      <x:c r="I309" s="39"/>
      <x:c r="J309" s="40"/>
      <x:c r="K309" s="40" t="str">
        <x:f>IFERROR(D309/C309,"")</x:f>
      </x:c>
    </x:row>
    <x:row r="310">
      <x:c r="A310" s="38" t="str"/>
      <x:c r="B310" s="38" t="str"/>
      <x:c r="C310" s="39"/>
      <x:c r="D310" s="39"/>
      <x:c r="E310" s="39" t="str">
        <x:f>IF(C310="","",C310-D310)</x:f>
      </x:c>
      <x:c r="F310" s="46"/>
      <x:c r="G310" s="46"/>
      <x:c r="H310" s="39"/>
      <x:c r="I310" s="39"/>
      <x:c r="J310" s="40"/>
      <x:c r="K310" s="40" t="str">
        <x:f>IFERROR(D310/C310,"")</x:f>
      </x:c>
    </x:row>
    <x:row r="311">
      <x:c r="A311" s="38" t="str"/>
      <x:c r="B311" s="38" t="str"/>
      <x:c r="C311" s="39"/>
      <x:c r="D311" s="39"/>
      <x:c r="E311" s="39" t="str">
        <x:f>IF(C311="","",C311-D311)</x:f>
      </x:c>
      <x:c r="F311" s="46"/>
      <x:c r="G311" s="46"/>
      <x:c r="H311" s="39"/>
      <x:c r="I311" s="39"/>
      <x:c r="J311" s="40"/>
      <x:c r="K311" s="40" t="str">
        <x:f>IFERROR(D311/C311,"")</x:f>
      </x:c>
    </x:row>
    <x:row r="312">
      <x:c r="A312" s="38" t="str"/>
      <x:c r="B312" s="38" t="str"/>
      <x:c r="C312" s="39"/>
      <x:c r="D312" s="39"/>
      <x:c r="E312" s="39" t="str">
        <x:f>IF(C312="","",C312-D312)</x:f>
      </x:c>
      <x:c r="F312" s="46"/>
      <x:c r="G312" s="46"/>
      <x:c r="H312" s="39"/>
      <x:c r="I312" s="39"/>
      <x:c r="J312" s="40"/>
      <x:c r="K312" s="40" t="str">
        <x:f>IFERROR(D312/C312,"")</x:f>
      </x:c>
    </x:row>
    <x:row r="313">
      <x:c r="A313" s="38" t="str"/>
      <x:c r="B313" s="38" t="str"/>
      <x:c r="C313" s="39"/>
      <x:c r="D313" s="39"/>
      <x:c r="E313" s="39" t="str">
        <x:f>IF(C313="","",C313-D313)</x:f>
      </x:c>
      <x:c r="F313" s="46"/>
      <x:c r="G313" s="46"/>
      <x:c r="H313" s="39"/>
      <x:c r="I313" s="39"/>
      <x:c r="J313" s="40"/>
      <x:c r="K313" s="40" t="str">
        <x:f>IFERROR(D313/C313,"")</x:f>
      </x:c>
    </x:row>
    <x:row r="314">
      <x:c r="A314" s="38" t="str"/>
      <x:c r="B314" s="38" t="str"/>
      <x:c r="C314" s="39"/>
      <x:c r="D314" s="39"/>
      <x:c r="E314" s="39" t="str">
        <x:f>IF(C314="","",C314-D314)</x:f>
      </x:c>
      <x:c r="F314" s="46"/>
      <x:c r="G314" s="46"/>
      <x:c r="H314" s="39"/>
      <x:c r="I314" s="39"/>
      <x:c r="J314" s="40"/>
      <x:c r="K314" s="40" t="str">
        <x:f>IFERROR(D314/C314,"")</x:f>
      </x:c>
    </x:row>
    <x:row r="315">
      <x:c r="A315" s="38" t="str"/>
      <x:c r="B315" s="38" t="str"/>
      <x:c r="C315" s="39"/>
      <x:c r="D315" s="39"/>
      <x:c r="E315" s="39" t="str">
        <x:f>IF(C315="","",C315-D315)</x:f>
      </x:c>
      <x:c r="F315" s="46"/>
      <x:c r="G315" s="46"/>
      <x:c r="H315" s="39"/>
      <x:c r="I315" s="39"/>
      <x:c r="J315" s="40"/>
      <x:c r="K315" s="40" t="str">
        <x:f>IFERROR(D315/C315,"")</x:f>
      </x:c>
    </x:row>
    <x:row r="316">
      <x:c r="A316" s="38" t="str"/>
      <x:c r="B316" s="38" t="str"/>
      <x:c r="C316" s="39"/>
      <x:c r="D316" s="39"/>
      <x:c r="E316" s="39" t="str">
        <x:f>IF(C316="","",C316-D316)</x:f>
      </x:c>
      <x:c r="F316" s="46"/>
      <x:c r="G316" s="46"/>
      <x:c r="H316" s="39"/>
      <x:c r="I316" s="39"/>
      <x:c r="J316" s="40"/>
      <x:c r="K316" s="40" t="str">
        <x:f>IFERROR(D316/C316,"")</x:f>
      </x:c>
    </x:row>
    <x:row r="317">
      <x:c r="A317" s="38" t="str"/>
      <x:c r="B317" s="38" t="str"/>
      <x:c r="C317" s="39"/>
      <x:c r="D317" s="39"/>
      <x:c r="E317" s="39" t="str">
        <x:f>IF(C317="","",C317-D317)</x:f>
      </x:c>
      <x:c r="F317" s="46"/>
      <x:c r="G317" s="46"/>
      <x:c r="H317" s="39"/>
      <x:c r="I317" s="39"/>
      <x:c r="J317" s="40"/>
      <x:c r="K317" s="40" t="str">
        <x:f>IFERROR(D317/C317,"")</x:f>
      </x:c>
    </x:row>
    <x:row r="318">
      <x:c r="A318" s="38" t="str"/>
      <x:c r="B318" s="38" t="str"/>
      <x:c r="C318" s="39"/>
      <x:c r="D318" s="39"/>
      <x:c r="E318" s="39" t="str">
        <x:f>IF(C318="","",C318-D318)</x:f>
      </x:c>
      <x:c r="F318" s="46"/>
      <x:c r="G318" s="46"/>
      <x:c r="H318" s="39"/>
      <x:c r="I318" s="39"/>
      <x:c r="J318" s="40"/>
      <x:c r="K318" s="40" t="str">
        <x:f>IFERROR(D318/C318,"")</x:f>
      </x:c>
    </x:row>
    <x:row r="319">
      <x:c r="A319" s="38" t="str"/>
      <x:c r="B319" s="38" t="str"/>
      <x:c r="C319" s="39"/>
      <x:c r="D319" s="39"/>
      <x:c r="E319" s="39" t="str">
        <x:f>IF(C319="","",C319-D319)</x:f>
      </x:c>
      <x:c r="F319" s="46"/>
      <x:c r="G319" s="46"/>
      <x:c r="H319" s="39"/>
      <x:c r="I319" s="39"/>
      <x:c r="J319" s="40"/>
      <x:c r="K319" s="40" t="str">
        <x:f>IFERROR(D319/C319,"")</x:f>
      </x:c>
    </x:row>
    <x:row r="320">
      <x:c r="A320" s="38" t="str"/>
      <x:c r="B320" s="38" t="str"/>
      <x:c r="C320" s="39"/>
      <x:c r="D320" s="39"/>
      <x:c r="E320" s="39" t="str">
        <x:f>IF(C320="","",C320-D320)</x:f>
      </x:c>
      <x:c r="F320" s="46"/>
      <x:c r="G320" s="46"/>
      <x:c r="H320" s="39"/>
      <x:c r="I320" s="39"/>
      <x:c r="J320" s="40"/>
      <x:c r="K320" s="40" t="str">
        <x:f>IFERROR(D320/C320,"")</x:f>
      </x:c>
    </x:row>
    <x:row r="321">
      <x:c r="A321" s="38" t="str"/>
      <x:c r="B321" s="38" t="str"/>
      <x:c r="C321" s="39"/>
      <x:c r="D321" s="39"/>
      <x:c r="E321" s="39" t="str">
        <x:f>IF(C321="","",C321-D321)</x:f>
      </x:c>
      <x:c r="F321" s="46"/>
      <x:c r="G321" s="46"/>
      <x:c r="H321" s="39"/>
      <x:c r="I321" s="39"/>
      <x:c r="J321" s="40"/>
      <x:c r="K321" s="40" t="str">
        <x:f>IFERROR(D321/C321,"")</x:f>
      </x:c>
    </x:row>
    <x:row r="322">
      <x:c r="A322" s="38" t="str"/>
      <x:c r="B322" s="38" t="str"/>
      <x:c r="C322" s="39"/>
      <x:c r="D322" s="39"/>
      <x:c r="E322" s="39" t="str">
        <x:f>IF(C322="","",C322-D322)</x:f>
      </x:c>
      <x:c r="F322" s="46"/>
      <x:c r="G322" s="46"/>
      <x:c r="H322" s="39"/>
      <x:c r="I322" s="39"/>
      <x:c r="J322" s="40"/>
      <x:c r="K322" s="40" t="str">
        <x:f>IFERROR(D322/C322,"")</x:f>
      </x:c>
    </x:row>
    <x:row r="323">
      <x:c r="A323" s="38" t="str"/>
      <x:c r="B323" s="38" t="str"/>
      <x:c r="C323" s="39"/>
      <x:c r="D323" s="39"/>
      <x:c r="E323" s="39" t="str">
        <x:f>IF(C323="","",C323-D323)</x:f>
      </x:c>
      <x:c r="F323" s="46"/>
      <x:c r="G323" s="46"/>
      <x:c r="H323" s="39"/>
      <x:c r="I323" s="39"/>
      <x:c r="J323" s="40"/>
      <x:c r="K323" s="40" t="str">
        <x:f>IFERROR(D323/C323,"")</x:f>
      </x:c>
    </x:row>
    <x:row r="324">
      <x:c r="A324" s="38" t="str"/>
      <x:c r="B324" s="38" t="str"/>
      <x:c r="C324" s="39"/>
      <x:c r="D324" s="39"/>
      <x:c r="E324" s="39" t="str">
        <x:f>IF(C324="","",C324-D324)</x:f>
      </x:c>
      <x:c r="F324" s="46"/>
      <x:c r="G324" s="46"/>
      <x:c r="H324" s="39"/>
      <x:c r="I324" s="39"/>
      <x:c r="J324" s="40"/>
      <x:c r="K324" s="40" t="str">
        <x:f>IFERROR(D324/C324,"")</x:f>
      </x:c>
    </x:row>
    <x:row r="325">
      <x:c r="A325" s="38" t="str"/>
      <x:c r="B325" s="38" t="str"/>
      <x:c r="C325" s="39"/>
      <x:c r="D325" s="39"/>
      <x:c r="E325" s="39" t="str">
        <x:f>IF(C325="","",C325-D325)</x:f>
      </x:c>
      <x:c r="F325" s="46"/>
      <x:c r="G325" s="46"/>
      <x:c r="H325" s="39"/>
      <x:c r="I325" s="39"/>
      <x:c r="J325" s="40"/>
      <x:c r="K325" s="40" t="str">
        <x:f>IFERROR(D325/C325,"")</x:f>
      </x:c>
    </x:row>
    <x:row r="326">
      <x:c r="A326" s="38" t="str"/>
      <x:c r="B326" s="38" t="str"/>
      <x:c r="C326" s="39"/>
      <x:c r="D326" s="39"/>
      <x:c r="E326" s="39" t="str">
        <x:f>IF(C326="","",C326-D326)</x:f>
      </x:c>
      <x:c r="F326" s="46"/>
      <x:c r="G326" s="46"/>
      <x:c r="H326" s="39"/>
      <x:c r="I326" s="39"/>
      <x:c r="J326" s="40"/>
      <x:c r="K326" s="40" t="str">
        <x:f>IFERROR(D326/C326,"")</x:f>
      </x:c>
    </x:row>
    <x:row r="327">
      <x:c r="A327" s="38" t="str"/>
      <x:c r="B327" s="38" t="str"/>
      <x:c r="C327" s="39"/>
      <x:c r="D327" s="39"/>
      <x:c r="E327" s="39" t="str">
        <x:f>IF(C327="","",C327-D327)</x:f>
      </x:c>
      <x:c r="F327" s="46"/>
      <x:c r="G327" s="46"/>
      <x:c r="H327" s="39"/>
      <x:c r="I327" s="39"/>
      <x:c r="J327" s="40"/>
      <x:c r="K327" s="40" t="str">
        <x:f>IFERROR(D327/C327,"")</x:f>
      </x:c>
    </x:row>
    <x:row r="328">
      <x:c r="A328" s="38" t="str"/>
      <x:c r="B328" s="38" t="str"/>
      <x:c r="C328" s="39"/>
      <x:c r="D328" s="39"/>
      <x:c r="E328" s="39" t="str">
        <x:f>IF(C328="","",C328-D328)</x:f>
      </x:c>
      <x:c r="F328" s="46"/>
      <x:c r="G328" s="46"/>
      <x:c r="H328" s="39"/>
      <x:c r="I328" s="39"/>
      <x:c r="J328" s="40"/>
      <x:c r="K328" s="40" t="str">
        <x:f>IFERROR(D328/C328,"")</x:f>
      </x:c>
    </x:row>
    <x:row r="329">
      <x:c r="A329" s="38" t="str"/>
      <x:c r="B329" s="38" t="str"/>
      <x:c r="C329" s="39"/>
      <x:c r="D329" s="39"/>
      <x:c r="E329" s="39" t="str">
        <x:f>IF(C329="","",C329-D329)</x:f>
      </x:c>
      <x:c r="F329" s="46"/>
      <x:c r="G329" s="46"/>
      <x:c r="H329" s="39"/>
      <x:c r="I329" s="39"/>
      <x:c r="J329" s="40"/>
      <x:c r="K329" s="40" t="str">
        <x:f>IFERROR(D329/C329,"")</x:f>
      </x:c>
    </x:row>
    <x:row r="330">
      <x:c r="A330" s="38" t="str"/>
      <x:c r="B330" s="38" t="str"/>
      <x:c r="C330" s="39"/>
      <x:c r="D330" s="39"/>
      <x:c r="E330" s="39" t="str">
        <x:f>IF(C330="","",C330-D330)</x:f>
      </x:c>
      <x:c r="F330" s="46"/>
      <x:c r="G330" s="46"/>
      <x:c r="H330" s="39"/>
      <x:c r="I330" s="39"/>
      <x:c r="J330" s="40"/>
      <x:c r="K330" s="40" t="str">
        <x:f>IFERROR(D330/C330,"")</x:f>
      </x:c>
    </x:row>
    <x:row r="331">
      <x:c r="A331" s="38" t="str"/>
      <x:c r="B331" s="38" t="str"/>
      <x:c r="C331" s="39"/>
      <x:c r="D331" s="39"/>
      <x:c r="E331" s="39" t="str">
        <x:f>IF(C331="","",C331-D331)</x:f>
      </x:c>
      <x:c r="F331" s="46"/>
      <x:c r="G331" s="46"/>
      <x:c r="H331" s="39"/>
      <x:c r="I331" s="39"/>
      <x:c r="J331" s="40"/>
      <x:c r="K331" s="40" t="str">
        <x:f>IFERROR(D331/C331,"")</x:f>
      </x:c>
    </x:row>
    <x:row r="332">
      <x:c r="A332" s="38" t="str"/>
      <x:c r="B332" s="38" t="str"/>
      <x:c r="C332" s="39"/>
      <x:c r="D332" s="39"/>
      <x:c r="E332" s="39" t="str">
        <x:f>IF(C332="","",C332-D332)</x:f>
      </x:c>
      <x:c r="F332" s="46"/>
      <x:c r="G332" s="46"/>
      <x:c r="H332" s="39"/>
      <x:c r="I332" s="39"/>
      <x:c r="J332" s="40"/>
      <x:c r="K332" s="40" t="str">
        <x:f>IFERROR(D332/C332,"")</x:f>
      </x:c>
    </x:row>
    <x:row r="333">
      <x:c r="A333" s="38" t="str"/>
      <x:c r="B333" s="38" t="str"/>
      <x:c r="C333" s="39"/>
      <x:c r="D333" s="39"/>
      <x:c r="E333" s="39" t="str">
        <x:f>IF(C333="","",C333-D333)</x:f>
      </x:c>
      <x:c r="F333" s="46"/>
      <x:c r="G333" s="46"/>
      <x:c r="H333" s="39"/>
      <x:c r="I333" s="39"/>
      <x:c r="J333" s="40"/>
      <x:c r="K333" s="40" t="str">
        <x:f>IFERROR(D333/C333,"")</x:f>
      </x:c>
    </x:row>
    <x:row r="334">
      <x:c r="A334" s="38" t="str"/>
      <x:c r="B334" s="38" t="str"/>
      <x:c r="C334" s="39"/>
      <x:c r="D334" s="39"/>
      <x:c r="E334" s="39" t="str">
        <x:f>IF(C334="","",C334-D334)</x:f>
      </x:c>
      <x:c r="F334" s="46"/>
      <x:c r="G334" s="46"/>
      <x:c r="H334" s="39"/>
      <x:c r="I334" s="39"/>
      <x:c r="J334" s="40"/>
      <x:c r="K334" s="40" t="str">
        <x:f>IFERROR(D334/C334,"")</x:f>
      </x:c>
    </x:row>
    <x:row r="335">
      <x:c r="A335" s="38" t="str"/>
      <x:c r="B335" s="38" t="str"/>
      <x:c r="C335" s="39"/>
      <x:c r="D335" s="39"/>
      <x:c r="E335" s="39" t="str">
        <x:f>IF(C335="","",C335-D335)</x:f>
      </x:c>
      <x:c r="F335" s="46"/>
      <x:c r="G335" s="46"/>
      <x:c r="H335" s="39"/>
      <x:c r="I335" s="39"/>
      <x:c r="J335" s="40"/>
      <x:c r="K335" s="40" t="str">
        <x:f>IFERROR(D335/C335,"")</x:f>
      </x:c>
    </x:row>
    <x:row r="336">
      <x:c r="A336" s="38" t="str"/>
      <x:c r="B336" s="38" t="str"/>
      <x:c r="C336" s="39"/>
      <x:c r="D336" s="39"/>
      <x:c r="E336" s="39" t="str">
        <x:f>IF(C336="","",C336-D336)</x:f>
      </x:c>
      <x:c r="F336" s="46"/>
      <x:c r="G336" s="46"/>
      <x:c r="H336" s="39"/>
      <x:c r="I336" s="39"/>
      <x:c r="J336" s="40"/>
      <x:c r="K336" s="40" t="str">
        <x:f>IFERROR(D336/C336,"")</x:f>
      </x:c>
    </x:row>
    <x:row r="337">
      <x:c r="A337" s="38" t="str"/>
      <x:c r="B337" s="38" t="str"/>
      <x:c r="C337" s="39"/>
      <x:c r="D337" s="39"/>
      <x:c r="E337" s="39" t="str">
        <x:f>IF(C337="","",C337-D337)</x:f>
      </x:c>
      <x:c r="F337" s="46"/>
      <x:c r="G337" s="46"/>
      <x:c r="H337" s="39"/>
      <x:c r="I337" s="39"/>
      <x:c r="J337" s="40"/>
      <x:c r="K337" s="40" t="str">
        <x:f>IFERROR(D337/C337,"")</x:f>
      </x:c>
    </x:row>
    <x:row r="338">
      <x:c r="A338" s="38" t="str"/>
      <x:c r="B338" s="38" t="str"/>
      <x:c r="C338" s="39"/>
      <x:c r="D338" s="39"/>
      <x:c r="E338" s="39" t="str">
        <x:f>IF(C338="","",C338-D338)</x:f>
      </x:c>
      <x:c r="F338" s="46"/>
      <x:c r="G338" s="46"/>
      <x:c r="H338" s="39"/>
      <x:c r="I338" s="39"/>
      <x:c r="J338" s="40"/>
      <x:c r="K338" s="40" t="str">
        <x:f>IFERROR(D338/C338,"")</x:f>
      </x:c>
    </x:row>
    <x:row r="339">
      <x:c r="A339" s="38" t="str"/>
      <x:c r="B339" s="38" t="str"/>
      <x:c r="C339" s="39"/>
      <x:c r="D339" s="39"/>
      <x:c r="E339" s="39" t="str">
        <x:f>IF(C339="","",C339-D339)</x:f>
      </x:c>
      <x:c r="F339" s="46"/>
      <x:c r="G339" s="46"/>
      <x:c r="H339" s="39"/>
      <x:c r="I339" s="39"/>
      <x:c r="J339" s="40"/>
      <x:c r="K339" s="40" t="str">
        <x:f>IFERROR(D339/C339,"")</x:f>
      </x:c>
    </x:row>
    <x:row r="340">
      <x:c r="A340" s="38" t="str"/>
      <x:c r="B340" s="38" t="str"/>
      <x:c r="C340" s="39"/>
      <x:c r="D340" s="39"/>
      <x:c r="E340" s="39" t="str">
        <x:f>IF(C340="","",C340-D340)</x:f>
      </x:c>
      <x:c r="F340" s="46"/>
      <x:c r="G340" s="46"/>
      <x:c r="H340" s="39"/>
      <x:c r="I340" s="39"/>
      <x:c r="J340" s="40"/>
      <x:c r="K340" s="40" t="str">
        <x:f>IFERROR(D340/C340,"")</x:f>
      </x:c>
    </x:row>
    <x:row r="341">
      <x:c r="A341" s="38" t="str"/>
      <x:c r="B341" s="38" t="str"/>
      <x:c r="C341" s="39"/>
      <x:c r="D341" s="39"/>
      <x:c r="E341" s="39" t="str">
        <x:f>IF(C341="","",C341-D341)</x:f>
      </x:c>
      <x:c r="F341" s="46"/>
      <x:c r="G341" s="46"/>
      <x:c r="H341" s="39"/>
      <x:c r="I341" s="39"/>
      <x:c r="J341" s="40"/>
      <x:c r="K341" s="40" t="str">
        <x:f>IFERROR(D341/C341,"")</x:f>
      </x:c>
    </x:row>
    <x:row r="342">
      <x:c r="A342" s="38" t="str"/>
      <x:c r="B342" s="38" t="str"/>
      <x:c r="C342" s="39"/>
      <x:c r="D342" s="39"/>
      <x:c r="E342" s="39" t="str">
        <x:f>IF(C342="","",C342-D342)</x:f>
      </x:c>
      <x:c r="F342" s="46"/>
      <x:c r="G342" s="46"/>
      <x:c r="H342" s="39"/>
      <x:c r="I342" s="39"/>
      <x:c r="J342" s="40"/>
      <x:c r="K342" s="40" t="str">
        <x:f>IFERROR(D342/C342,"")</x:f>
      </x:c>
    </x:row>
    <x:row r="343">
      <x:c r="A343" s="38" t="str"/>
      <x:c r="B343" s="38" t="str"/>
      <x:c r="C343" s="39"/>
      <x:c r="D343" s="39"/>
      <x:c r="E343" s="39" t="str">
        <x:f>IF(C343="","",C343-D343)</x:f>
      </x:c>
      <x:c r="F343" s="46"/>
      <x:c r="G343" s="46"/>
      <x:c r="H343" s="39"/>
      <x:c r="I343" s="39"/>
      <x:c r="J343" s="40"/>
      <x:c r="K343" s="40" t="str">
        <x:f>IFERROR(D343/C343,"")</x:f>
      </x:c>
    </x:row>
    <x:row r="344">
      <x:c r="A344" s="38" t="str"/>
      <x:c r="B344" s="38" t="str"/>
      <x:c r="C344" s="39"/>
      <x:c r="D344" s="39"/>
      <x:c r="E344" s="39" t="str">
        <x:f>IF(C344="","",C344-D344)</x:f>
      </x:c>
      <x:c r="F344" s="46"/>
      <x:c r="G344" s="46"/>
      <x:c r="H344" s="39"/>
      <x:c r="I344" s="39"/>
      <x:c r="J344" s="40"/>
      <x:c r="K344" s="40" t="str">
        <x:f>IFERROR(D344/C344,"")</x:f>
      </x:c>
    </x:row>
    <x:row r="345">
      <x:c r="A345" s="38" t="str"/>
      <x:c r="B345" s="38" t="str"/>
      <x:c r="C345" s="39"/>
      <x:c r="D345" s="39"/>
      <x:c r="E345" s="39" t="str">
        <x:f>IF(C345="","",C345-D345)</x:f>
      </x:c>
      <x:c r="F345" s="46"/>
      <x:c r="G345" s="46"/>
      <x:c r="H345" s="39"/>
      <x:c r="I345" s="39"/>
      <x:c r="J345" s="40"/>
      <x:c r="K345" s="40" t="str">
        <x:f>IFERROR(D345/C345,"")</x:f>
      </x:c>
    </x:row>
    <x:row r="346">
      <x:c r="A346" s="38" t="str"/>
      <x:c r="B346" s="38" t="str"/>
      <x:c r="C346" s="39"/>
      <x:c r="D346" s="39"/>
      <x:c r="E346" s="39" t="str">
        <x:f>IF(C346="","",C346-D346)</x:f>
      </x:c>
      <x:c r="F346" s="46"/>
      <x:c r="G346" s="46"/>
      <x:c r="H346" s="39"/>
      <x:c r="I346" s="39"/>
      <x:c r="J346" s="40"/>
      <x:c r="K346" s="40" t="str">
        <x:f>IFERROR(D346/C346,"")</x:f>
      </x:c>
    </x:row>
    <x:row r="347">
      <x:c r="A347" s="38" t="str"/>
      <x:c r="B347" s="38" t="str"/>
      <x:c r="C347" s="39"/>
      <x:c r="D347" s="39"/>
      <x:c r="E347" s="39" t="str">
        <x:f>IF(C347="","",C347-D347)</x:f>
      </x:c>
      <x:c r="F347" s="46"/>
      <x:c r="G347" s="46"/>
      <x:c r="H347" s="39"/>
      <x:c r="I347" s="39"/>
      <x:c r="J347" s="40"/>
      <x:c r="K347" s="40" t="str">
        <x:f>IFERROR(D347/C347,"")</x:f>
      </x:c>
    </x:row>
    <x:row r="348">
      <x:c r="A348" s="38" t="str"/>
      <x:c r="B348" s="38" t="str"/>
      <x:c r="C348" s="39"/>
      <x:c r="D348" s="39"/>
      <x:c r="E348" s="39" t="str">
        <x:f>IF(C348="","",C348-D348)</x:f>
      </x:c>
      <x:c r="F348" s="46"/>
      <x:c r="G348" s="46"/>
      <x:c r="H348" s="39"/>
      <x:c r="I348" s="39"/>
      <x:c r="J348" s="40"/>
      <x:c r="K348" s="40" t="str">
        <x:f>IFERROR(D348/C348,"")</x:f>
      </x:c>
    </x:row>
    <x:row r="349">
      <x:c r="A349" s="38" t="str"/>
      <x:c r="B349" s="38" t="str"/>
      <x:c r="C349" s="39"/>
      <x:c r="D349" s="39"/>
      <x:c r="E349" s="39" t="str">
        <x:f>IF(C349="","",C349-D349)</x:f>
      </x:c>
      <x:c r="F349" s="46"/>
      <x:c r="G349" s="46"/>
      <x:c r="H349" s="39"/>
      <x:c r="I349" s="39"/>
      <x:c r="J349" s="40"/>
      <x:c r="K349" s="40" t="str">
        <x:f>IFERROR(D349/C349,"")</x:f>
      </x:c>
    </x:row>
    <x:row r="350">
      <x:c r="A350" s="38" t="str"/>
      <x:c r="B350" s="38" t="str"/>
      <x:c r="C350" s="39"/>
      <x:c r="D350" s="39"/>
      <x:c r="E350" s="39" t="str">
        <x:f>IF(C350="","",C350-D350)</x:f>
      </x:c>
      <x:c r="F350" s="46"/>
      <x:c r="G350" s="46"/>
      <x:c r="H350" s="39"/>
      <x:c r="I350" s="39"/>
      <x:c r="J350" s="40"/>
      <x:c r="K350" s="40" t="str">
        <x:f>IFERROR(D350/C350,"")</x:f>
      </x:c>
    </x:row>
    <x:row r="351">
      <x:c r="A351" s="38" t="str"/>
      <x:c r="B351" s="38" t="str"/>
      <x:c r="C351" s="39"/>
      <x:c r="D351" s="39"/>
      <x:c r="E351" s="39" t="str">
        <x:f>IF(C351="","",C351-D351)</x:f>
      </x:c>
      <x:c r="F351" s="46"/>
      <x:c r="G351" s="46"/>
      <x:c r="H351" s="39"/>
      <x:c r="I351" s="39"/>
      <x:c r="J351" s="40"/>
      <x:c r="K351" s="40" t="str">
        <x:f>IFERROR(D351/C351,"")</x:f>
      </x:c>
    </x:row>
    <x:row r="352">
      <x:c r="A352" s="38" t="str"/>
      <x:c r="B352" s="38" t="str"/>
      <x:c r="C352" s="39"/>
      <x:c r="D352" s="39"/>
      <x:c r="E352" s="39" t="str">
        <x:f>IF(C352="","",C352-D352)</x:f>
      </x:c>
      <x:c r="F352" s="46"/>
      <x:c r="G352" s="46"/>
      <x:c r="H352" s="39"/>
      <x:c r="I352" s="39"/>
      <x:c r="J352" s="40"/>
      <x:c r="K352" s="40" t="str">
        <x:f>IFERROR(D352/C352,"")</x:f>
      </x:c>
    </x:row>
    <x:row r="353">
      <x:c r="A353" s="38" t="str"/>
      <x:c r="B353" s="38" t="str"/>
      <x:c r="C353" s="39"/>
      <x:c r="D353" s="39"/>
      <x:c r="E353" s="39" t="str">
        <x:f>IF(C353="","",C353-D353)</x:f>
      </x:c>
      <x:c r="F353" s="46"/>
      <x:c r="G353" s="46"/>
      <x:c r="H353" s="39"/>
      <x:c r="I353" s="39"/>
      <x:c r="J353" s="40"/>
      <x:c r="K353" s="40" t="str">
        <x:f>IFERROR(D353/C353,"")</x:f>
      </x:c>
    </x:row>
    <x:row r="354">
      <x:c r="A354" s="38" t="str"/>
      <x:c r="B354" s="38" t="str"/>
      <x:c r="C354" s="39"/>
      <x:c r="D354" s="39"/>
      <x:c r="E354" s="39" t="str">
        <x:f>IF(C354="","",C354-D354)</x:f>
      </x:c>
      <x:c r="F354" s="46"/>
      <x:c r="G354" s="46"/>
      <x:c r="H354" s="39"/>
      <x:c r="I354" s="39"/>
      <x:c r="J354" s="40"/>
      <x:c r="K354" s="40" t="str">
        <x:f>IFERROR(D354/C354,"")</x:f>
      </x:c>
    </x:row>
    <x:row r="355">
      <x:c r="A355" s="38" t="str"/>
      <x:c r="B355" s="38" t="str"/>
      <x:c r="C355" s="39"/>
      <x:c r="D355" s="39"/>
      <x:c r="E355" s="39" t="str">
        <x:f>IF(C355="","",C355-D355)</x:f>
      </x:c>
      <x:c r="F355" s="46"/>
      <x:c r="G355" s="46"/>
      <x:c r="H355" s="39"/>
      <x:c r="I355" s="39"/>
      <x:c r="J355" s="40"/>
      <x:c r="K355" s="40" t="str">
        <x:f>IFERROR(D355/C355,"")</x:f>
      </x:c>
    </x:row>
    <x:row r="356">
      <x:c r="A356" s="38" t="str"/>
      <x:c r="B356" s="38" t="str"/>
      <x:c r="C356" s="39"/>
      <x:c r="D356" s="39"/>
      <x:c r="E356" s="39" t="str">
        <x:f>IF(C356="","",C356-D356)</x:f>
      </x:c>
      <x:c r="F356" s="46"/>
      <x:c r="G356" s="46"/>
      <x:c r="H356" s="39"/>
      <x:c r="I356" s="39"/>
      <x:c r="J356" s="40"/>
      <x:c r="K356" s="40" t="str">
        <x:f>IFERROR(D356/C356,"")</x:f>
      </x:c>
    </x:row>
    <x:row r="357">
      <x:c r="A357" s="38" t="str"/>
      <x:c r="B357" s="38" t="str"/>
      <x:c r="C357" s="39"/>
      <x:c r="D357" s="39"/>
      <x:c r="E357" s="39" t="str">
        <x:f>IF(C357="","",C357-D357)</x:f>
      </x:c>
      <x:c r="F357" s="46"/>
      <x:c r="G357" s="46"/>
      <x:c r="H357" s="39"/>
      <x:c r="I357" s="39"/>
      <x:c r="J357" s="40"/>
      <x:c r="K357" s="40" t="str">
        <x:f>IFERROR(D357/C357,"")</x:f>
      </x:c>
    </x:row>
    <x:row r="358">
      <x:c r="A358" s="38" t="str"/>
      <x:c r="B358" s="38" t="str"/>
      <x:c r="C358" s="39"/>
      <x:c r="D358" s="39"/>
      <x:c r="E358" s="39" t="str">
        <x:f>IF(C358="","",C358-D358)</x:f>
      </x:c>
      <x:c r="F358" s="46"/>
      <x:c r="G358" s="46"/>
      <x:c r="H358" s="39"/>
      <x:c r="I358" s="39"/>
      <x:c r="J358" s="40"/>
      <x:c r="K358" s="40" t="str">
        <x:f>IFERROR(D358/C358,"")</x:f>
      </x:c>
    </x:row>
    <x:row r="359">
      <x:c r="A359" s="38" t="str"/>
      <x:c r="B359" s="38" t="str"/>
      <x:c r="C359" s="39"/>
      <x:c r="D359" s="39"/>
      <x:c r="E359" s="39" t="str">
        <x:f>IF(C359="","",C359-D359)</x:f>
      </x:c>
      <x:c r="F359" s="46"/>
      <x:c r="G359" s="46"/>
      <x:c r="H359" s="39"/>
      <x:c r="I359" s="39"/>
      <x:c r="J359" s="40"/>
      <x:c r="K359" s="40" t="str">
        <x:f>IFERROR(D359/C359,"")</x:f>
      </x:c>
    </x:row>
    <x:row r="360">
      <x:c r="A360" s="38" t="str"/>
      <x:c r="B360" s="38" t="str"/>
      <x:c r="C360" s="39"/>
      <x:c r="D360" s="39"/>
      <x:c r="E360" s="39" t="str">
        <x:f>IF(C360="","",C360-D360)</x:f>
      </x:c>
      <x:c r="F360" s="46"/>
      <x:c r="G360" s="46"/>
      <x:c r="H360" s="39"/>
      <x:c r="I360" s="39"/>
      <x:c r="J360" s="40"/>
      <x:c r="K360" s="40" t="str">
        <x:f>IFERROR(D360/C360,"")</x:f>
      </x:c>
    </x:row>
    <x:row r="361">
      <x:c r="A361" s="38" t="str"/>
      <x:c r="B361" s="38" t="str"/>
      <x:c r="C361" s="39"/>
      <x:c r="D361" s="39"/>
      <x:c r="E361" s="39" t="str">
        <x:f>IF(C361="","",C361-D361)</x:f>
      </x:c>
      <x:c r="F361" s="46"/>
      <x:c r="G361" s="46"/>
      <x:c r="H361" s="39"/>
      <x:c r="I361" s="39"/>
      <x:c r="J361" s="40"/>
      <x:c r="K361" s="40" t="str">
        <x:f>IFERROR(D361/C361,"")</x:f>
      </x:c>
    </x:row>
    <x:row r="362">
      <x:c r="A362" s="38" t="str"/>
      <x:c r="B362" s="38" t="str"/>
      <x:c r="C362" s="39"/>
      <x:c r="D362" s="39"/>
      <x:c r="E362" s="39" t="str">
        <x:f>IF(C362="","",C362-D362)</x:f>
      </x:c>
      <x:c r="F362" s="46"/>
      <x:c r="G362" s="46"/>
      <x:c r="H362" s="39"/>
      <x:c r="I362" s="39"/>
      <x:c r="J362" s="40"/>
      <x:c r="K362" s="40" t="str">
        <x:f>IFERROR(D362/C362,"")</x:f>
      </x:c>
    </x:row>
    <x:row r="363">
      <x:c r="A363" s="38" t="str"/>
      <x:c r="B363" s="38" t="str"/>
      <x:c r="C363" s="39"/>
      <x:c r="D363" s="39"/>
      <x:c r="E363" s="39" t="str">
        <x:f>IF(C363="","",C363-D363)</x:f>
      </x:c>
      <x:c r="F363" s="46"/>
      <x:c r="G363" s="46"/>
      <x:c r="H363" s="39"/>
      <x:c r="I363" s="39"/>
      <x:c r="J363" s="40"/>
      <x:c r="K363" s="40" t="str">
        <x:f>IFERROR(D363/C363,"")</x:f>
      </x:c>
    </x:row>
    <x:row r="364">
      <x:c r="A364" s="38" t="str"/>
      <x:c r="B364" s="38" t="str"/>
      <x:c r="C364" s="39"/>
      <x:c r="D364" s="39"/>
      <x:c r="E364" s="39" t="str">
        <x:f>IF(C364="","",C364-D364)</x:f>
      </x:c>
      <x:c r="F364" s="46"/>
      <x:c r="G364" s="46"/>
      <x:c r="H364" s="39"/>
      <x:c r="I364" s="39"/>
      <x:c r="J364" s="40"/>
      <x:c r="K364" s="40" t="str">
        <x:f>IFERROR(D364/C364,"")</x:f>
      </x:c>
    </x:row>
    <x:row r="365">
      <x:c r="A365" s="38" t="str"/>
      <x:c r="B365" s="38" t="str"/>
      <x:c r="C365" s="39"/>
      <x:c r="D365" s="39"/>
      <x:c r="E365" s="39" t="str">
        <x:f>IF(C365="","",C365-D365)</x:f>
      </x:c>
      <x:c r="F365" s="46"/>
      <x:c r="G365" s="46"/>
      <x:c r="H365" s="39"/>
      <x:c r="I365" s="39"/>
      <x:c r="J365" s="40"/>
      <x:c r="K365" s="40" t="str">
        <x:f>IFERROR(D365/C365,"")</x:f>
      </x:c>
    </x:row>
    <x:row r="366">
      <x:c r="A366" s="38" t="str"/>
      <x:c r="B366" s="38" t="str"/>
      <x:c r="C366" s="39"/>
      <x:c r="D366" s="39"/>
      <x:c r="E366" s="39" t="str">
        <x:f>IF(C366="","",C366-D366)</x:f>
      </x:c>
      <x:c r="F366" s="46"/>
      <x:c r="G366" s="46"/>
      <x:c r="H366" s="39"/>
      <x:c r="I366" s="39"/>
      <x:c r="J366" s="40"/>
      <x:c r="K366" s="40" t="str">
        <x:f>IFERROR(D366/C366,"")</x:f>
      </x:c>
    </x:row>
    <x:row r="367">
      <x:c r="A367" s="38" t="str"/>
      <x:c r="B367" s="38" t="str"/>
      <x:c r="C367" s="39"/>
      <x:c r="D367" s="39"/>
      <x:c r="E367" s="39" t="str">
        <x:f>IF(C367="","",C367-D367)</x:f>
      </x:c>
      <x:c r="F367" s="46"/>
      <x:c r="G367" s="46"/>
      <x:c r="H367" s="39"/>
      <x:c r="I367" s="39"/>
      <x:c r="J367" s="40"/>
      <x:c r="K367" s="40" t="str">
        <x:f>IFERROR(D367/C367,"")</x:f>
      </x:c>
    </x:row>
    <x:row r="368">
      <x:c r="A368" s="38" t="str"/>
      <x:c r="B368" s="38" t="str"/>
      <x:c r="C368" s="39"/>
      <x:c r="D368" s="39"/>
      <x:c r="E368" s="39" t="str">
        <x:f>IF(C368="","",C368-D368)</x:f>
      </x:c>
      <x:c r="F368" s="46"/>
      <x:c r="G368" s="46"/>
      <x:c r="H368" s="39"/>
      <x:c r="I368" s="39"/>
      <x:c r="J368" s="40"/>
      <x:c r="K368" s="40" t="str">
        <x:f>IFERROR(D368/C368,"")</x:f>
      </x:c>
    </x:row>
    <x:row r="369">
      <x:c r="A369" s="38" t="str"/>
      <x:c r="B369" s="38" t="str"/>
      <x:c r="C369" s="39"/>
      <x:c r="D369" s="39"/>
      <x:c r="E369" s="39" t="str">
        <x:f>IF(C369="","",C369-D369)</x:f>
      </x:c>
      <x:c r="F369" s="46"/>
      <x:c r="G369" s="46"/>
      <x:c r="H369" s="39"/>
      <x:c r="I369" s="39"/>
      <x:c r="J369" s="40"/>
      <x:c r="K369" s="40" t="str">
        <x:f>IFERROR(D369/C369,"")</x:f>
      </x:c>
    </x:row>
    <x:row r="370">
      <x:c r="A370" s="38" t="str"/>
      <x:c r="B370" s="38" t="str"/>
      <x:c r="C370" s="39"/>
      <x:c r="D370" s="39"/>
      <x:c r="E370" s="39" t="str">
        <x:f>IF(C370="","",C370-D370)</x:f>
      </x:c>
      <x:c r="F370" s="46"/>
      <x:c r="G370" s="46"/>
      <x:c r="H370" s="39"/>
      <x:c r="I370" s="39"/>
      <x:c r="J370" s="40"/>
      <x:c r="K370" s="40" t="str">
        <x:f>IFERROR(D370/C370,"")</x:f>
      </x:c>
    </x:row>
    <x:row r="371">
      <x:c r="A371" s="38" t="str"/>
      <x:c r="B371" s="38" t="str"/>
      <x:c r="C371" s="39"/>
      <x:c r="D371" s="39"/>
      <x:c r="E371" s="39" t="str">
        <x:f>IF(C371="","",C371-D371)</x:f>
      </x:c>
      <x:c r="F371" s="46"/>
      <x:c r="G371" s="46"/>
      <x:c r="H371" s="39"/>
      <x:c r="I371" s="39"/>
      <x:c r="J371" s="40"/>
      <x:c r="K371" s="40" t="str">
        <x:f>IFERROR(D371/C371,"")</x:f>
      </x:c>
    </x:row>
    <x:row r="372">
      <x:c r="A372" s="38" t="str"/>
      <x:c r="B372" s="38" t="str"/>
      <x:c r="C372" s="39"/>
      <x:c r="D372" s="39"/>
      <x:c r="E372" s="39" t="str">
        <x:f>IF(C372="","",C372-D372)</x:f>
      </x:c>
      <x:c r="F372" s="46"/>
      <x:c r="G372" s="46"/>
      <x:c r="H372" s="39"/>
      <x:c r="I372" s="39"/>
      <x:c r="J372" s="40"/>
      <x:c r="K372" s="40" t="str">
        <x:f>IFERROR(D372/C372,"")</x:f>
      </x:c>
    </x:row>
    <x:row r="373">
      <x:c r="A373" s="38" t="str"/>
      <x:c r="B373" s="38" t="str"/>
      <x:c r="C373" s="39"/>
      <x:c r="D373" s="39"/>
      <x:c r="E373" s="39" t="str">
        <x:f>IF(C373="","",C373-D373)</x:f>
      </x:c>
      <x:c r="F373" s="46"/>
      <x:c r="G373" s="46"/>
      <x:c r="H373" s="39"/>
      <x:c r="I373" s="39"/>
      <x:c r="J373" s="40"/>
      <x:c r="K373" s="40" t="str">
        <x:f>IFERROR(D373/C373,"")</x:f>
      </x:c>
    </x:row>
    <x:row r="374">
      <x:c r="A374" s="38" t="str"/>
      <x:c r="B374" s="38" t="str"/>
      <x:c r="C374" s="39"/>
      <x:c r="D374" s="39"/>
      <x:c r="E374" s="39" t="str">
        <x:f>IF(C374="","",C374-D374)</x:f>
      </x:c>
      <x:c r="F374" s="46"/>
      <x:c r="G374" s="46"/>
      <x:c r="H374" s="39"/>
      <x:c r="I374" s="39"/>
      <x:c r="J374" s="40"/>
      <x:c r="K374" s="40" t="str">
        <x:f>IFERROR(D374/C374,"")</x:f>
      </x:c>
    </x:row>
    <x:row r="375">
      <x:c r="A375" s="38" t="str"/>
      <x:c r="B375" s="38" t="str"/>
      <x:c r="C375" s="39"/>
      <x:c r="D375" s="39"/>
      <x:c r="E375" s="39" t="str">
        <x:f>IF(C375="","",C375-D375)</x:f>
      </x:c>
      <x:c r="F375" s="46"/>
      <x:c r="G375" s="46"/>
      <x:c r="H375" s="39"/>
      <x:c r="I375" s="39"/>
      <x:c r="J375" s="40"/>
      <x:c r="K375" s="40" t="str">
        <x:f>IFERROR(D375/C375,"")</x:f>
      </x:c>
    </x:row>
    <x:row r="376">
      <x:c r="A376" s="38" t="str"/>
      <x:c r="B376" s="38" t="str"/>
      <x:c r="C376" s="39"/>
      <x:c r="D376" s="39"/>
      <x:c r="E376" s="39" t="str">
        <x:f>IF(C376="","",C376-D376)</x:f>
      </x:c>
      <x:c r="F376" s="46"/>
      <x:c r="G376" s="46"/>
      <x:c r="H376" s="39"/>
      <x:c r="I376" s="39"/>
      <x:c r="J376" s="40"/>
      <x:c r="K376" s="40" t="str">
        <x:f>IFERROR(D376/C376,"")</x:f>
      </x:c>
    </x:row>
    <x:row r="377">
      <x:c r="A377" s="38" t="str"/>
      <x:c r="B377" s="38" t="str"/>
      <x:c r="C377" s="39"/>
      <x:c r="D377" s="39"/>
      <x:c r="E377" s="39" t="str">
        <x:f>IF(C377="","",C377-D377)</x:f>
      </x:c>
      <x:c r="F377" s="46"/>
      <x:c r="G377" s="46"/>
      <x:c r="H377" s="39"/>
      <x:c r="I377" s="39"/>
      <x:c r="J377" s="40"/>
      <x:c r="K377" s="40" t="str">
        <x:f>IFERROR(D377/C377,"")</x:f>
      </x:c>
    </x:row>
    <x:row r="378">
      <x:c r="A378" s="38" t="str"/>
      <x:c r="B378" s="38" t="str"/>
      <x:c r="C378" s="39"/>
      <x:c r="D378" s="39"/>
      <x:c r="E378" s="39" t="str">
        <x:f>IF(C378="","",C378-D378)</x:f>
      </x:c>
      <x:c r="F378" s="46"/>
      <x:c r="G378" s="46"/>
      <x:c r="H378" s="39"/>
      <x:c r="I378" s="39"/>
      <x:c r="J378" s="40"/>
      <x:c r="K378" s="40" t="str">
        <x:f>IFERROR(D378/C378,"")</x:f>
      </x:c>
    </x:row>
    <x:row r="379">
      <x:c r="A379" s="38" t="str"/>
      <x:c r="B379" s="38" t="str"/>
      <x:c r="C379" s="39"/>
      <x:c r="D379" s="39"/>
      <x:c r="E379" s="39" t="str">
        <x:f>IF(C379="","",C379-D379)</x:f>
      </x:c>
      <x:c r="F379" s="46"/>
      <x:c r="G379" s="46"/>
      <x:c r="H379" s="39"/>
      <x:c r="I379" s="39"/>
      <x:c r="J379" s="40"/>
      <x:c r="K379" s="40" t="str">
        <x:f>IFERROR(D379/C379,"")</x:f>
      </x:c>
    </x:row>
    <x:row r="380">
      <x:c r="A380" s="38" t="str"/>
      <x:c r="B380" s="38" t="str"/>
      <x:c r="C380" s="39"/>
      <x:c r="D380" s="39"/>
      <x:c r="E380" s="39" t="str">
        <x:f>IF(C380="","",C380-D380)</x:f>
      </x:c>
      <x:c r="F380" s="46"/>
      <x:c r="G380" s="46"/>
      <x:c r="H380" s="39"/>
      <x:c r="I380" s="39"/>
      <x:c r="J380" s="40"/>
      <x:c r="K380" s="40" t="str">
        <x:f>IFERROR(D380/C380,"")</x:f>
      </x:c>
    </x:row>
    <x:row r="381">
      <x:c r="A381" s="38" t="str"/>
      <x:c r="B381" s="38" t="str"/>
      <x:c r="C381" s="39"/>
      <x:c r="D381" s="39"/>
      <x:c r="E381" s="39" t="str">
        <x:f>IF(C381="","",C381-D381)</x:f>
      </x:c>
      <x:c r="F381" s="46"/>
      <x:c r="G381" s="46"/>
      <x:c r="H381" s="39"/>
      <x:c r="I381" s="39"/>
      <x:c r="J381" s="40"/>
      <x:c r="K381" s="40" t="str">
        <x:f>IFERROR(D381/C381,"")</x:f>
      </x:c>
    </x:row>
    <x:row r="382">
      <x:c r="A382" s="38" t="str"/>
      <x:c r="B382" s="38" t="str"/>
      <x:c r="C382" s="39"/>
      <x:c r="D382" s="39"/>
      <x:c r="E382" s="39" t="str">
        <x:f>IF(C382="","",C382-D382)</x:f>
      </x:c>
      <x:c r="F382" s="46"/>
      <x:c r="G382" s="46"/>
      <x:c r="H382" s="39"/>
      <x:c r="I382" s="39"/>
      <x:c r="J382" s="40"/>
      <x:c r="K382" s="40" t="str">
        <x:f>IFERROR(D382/C382,"")</x:f>
      </x:c>
    </x:row>
    <x:row r="383">
      <x:c r="A383" s="38" t="str"/>
      <x:c r="B383" s="38" t="str"/>
      <x:c r="C383" s="39"/>
      <x:c r="D383" s="39"/>
      <x:c r="E383" s="39" t="str">
        <x:f>IF(C383="","",C383-D383)</x:f>
      </x:c>
      <x:c r="F383" s="46"/>
      <x:c r="G383" s="46"/>
      <x:c r="H383" s="39"/>
      <x:c r="I383" s="39"/>
      <x:c r="J383" s="40"/>
      <x:c r="K383" s="40" t="str">
        <x:f>IFERROR(D383/C383,"")</x:f>
      </x:c>
    </x:row>
    <x:row r="384">
      <x:c r="A384" s="38" t="str"/>
      <x:c r="B384" s="38" t="str"/>
      <x:c r="C384" s="39"/>
      <x:c r="D384" s="39"/>
      <x:c r="E384" s="39" t="str">
        <x:f>IF(C384="","",C384-D384)</x:f>
      </x:c>
      <x:c r="F384" s="46"/>
      <x:c r="G384" s="46"/>
      <x:c r="H384" s="39"/>
      <x:c r="I384" s="39"/>
      <x:c r="J384" s="40"/>
      <x:c r="K384" s="40" t="str">
        <x:f>IFERROR(D384/C384,"")</x:f>
      </x:c>
    </x:row>
    <x:row r="385">
      <x:c r="A385" s="38" t="str"/>
      <x:c r="B385" s="38" t="str"/>
      <x:c r="C385" s="39"/>
      <x:c r="D385" s="39"/>
      <x:c r="E385" s="39" t="str">
        <x:f>IF(C385="","",C385-D385)</x:f>
      </x:c>
      <x:c r="F385" s="46"/>
      <x:c r="G385" s="46"/>
      <x:c r="H385" s="39"/>
      <x:c r="I385" s="39"/>
      <x:c r="J385" s="40"/>
      <x:c r="K385" s="40" t="str">
        <x:f>IFERROR(D385/C385,"")</x:f>
      </x:c>
    </x:row>
    <x:row r="386">
      <x:c r="A386" s="38" t="str"/>
      <x:c r="B386" s="38" t="str"/>
      <x:c r="C386" s="39"/>
      <x:c r="D386" s="39"/>
      <x:c r="E386" s="39" t="str">
        <x:f>IF(C386="","",C386-D386)</x:f>
      </x:c>
      <x:c r="F386" s="46"/>
      <x:c r="G386" s="46"/>
      <x:c r="H386" s="39"/>
      <x:c r="I386" s="39"/>
      <x:c r="J386" s="40"/>
      <x:c r="K386" s="40" t="str">
        <x:f>IFERROR(D386/C386,"")</x:f>
      </x:c>
    </x:row>
    <x:row r="387">
      <x:c r="A387" s="38" t="str"/>
      <x:c r="B387" s="38" t="str"/>
      <x:c r="C387" s="39"/>
      <x:c r="D387" s="39"/>
      <x:c r="E387" s="39" t="str">
        <x:f>IF(C387="","",C387-D387)</x:f>
      </x:c>
      <x:c r="F387" s="46"/>
      <x:c r="G387" s="46"/>
      <x:c r="H387" s="39"/>
      <x:c r="I387" s="39"/>
      <x:c r="J387" s="40"/>
      <x:c r="K387" s="40" t="str">
        <x:f>IFERROR(D387/C387,"")</x:f>
      </x:c>
    </x:row>
    <x:row r="388">
      <x:c r="A388" s="38" t="str"/>
      <x:c r="B388" s="38" t="str"/>
      <x:c r="C388" s="39"/>
      <x:c r="D388" s="39"/>
      <x:c r="E388" s="39" t="str">
        <x:f>IF(C388="","",C388-D388)</x:f>
      </x:c>
      <x:c r="F388" s="46"/>
      <x:c r="G388" s="46"/>
      <x:c r="H388" s="39"/>
      <x:c r="I388" s="39"/>
      <x:c r="J388" s="40"/>
      <x:c r="K388" s="40" t="str">
        <x:f>IFERROR(D388/C388,"")</x:f>
      </x:c>
    </x:row>
    <x:row r="389">
      <x:c r="A389" s="38" t="str"/>
      <x:c r="B389" s="38" t="str"/>
      <x:c r="C389" s="39"/>
      <x:c r="D389" s="39"/>
      <x:c r="E389" s="39" t="str">
        <x:f>IF(C389="","",C389-D389)</x:f>
      </x:c>
      <x:c r="F389" s="46"/>
      <x:c r="G389" s="46"/>
      <x:c r="H389" s="39"/>
      <x:c r="I389" s="39"/>
      <x:c r="J389" s="40"/>
      <x:c r="K389" s="40" t="str">
        <x:f>IFERROR(D389/C389,"")</x:f>
      </x:c>
    </x:row>
    <x:row r="390">
      <x:c r="A390" s="38" t="str"/>
      <x:c r="B390" s="38" t="str"/>
      <x:c r="C390" s="39"/>
      <x:c r="D390" s="39"/>
      <x:c r="E390" s="39" t="str">
        <x:f>IF(C390="","",C390-D390)</x:f>
      </x:c>
      <x:c r="F390" s="46"/>
      <x:c r="G390" s="46"/>
      <x:c r="H390" s="39"/>
      <x:c r="I390" s="39"/>
      <x:c r="J390" s="40"/>
      <x:c r="K390" s="40" t="str">
        <x:f>IFERROR(D390/C390,"")</x:f>
      </x:c>
    </x:row>
    <x:row r="391">
      <x:c r="A391" s="38" t="str"/>
      <x:c r="B391" s="38" t="str"/>
      <x:c r="C391" s="39"/>
      <x:c r="D391" s="39"/>
      <x:c r="E391" s="39" t="str">
        <x:f>IF(C391="","",C391-D391)</x:f>
      </x:c>
      <x:c r="F391" s="46"/>
      <x:c r="G391" s="46"/>
      <x:c r="H391" s="39"/>
      <x:c r="I391" s="39"/>
      <x:c r="J391" s="40"/>
      <x:c r="K391" s="40" t="str">
        <x:f>IFERROR(D391/C391,"")</x:f>
      </x:c>
    </x:row>
    <x:row r="392">
      <x:c r="A392" s="38" t="str"/>
      <x:c r="B392" s="38" t="str"/>
      <x:c r="C392" s="39"/>
      <x:c r="D392" s="39"/>
      <x:c r="E392" s="39" t="str">
        <x:f>IF(C392="","",C392-D392)</x:f>
      </x:c>
      <x:c r="F392" s="46"/>
      <x:c r="G392" s="46"/>
      <x:c r="H392" s="39"/>
      <x:c r="I392" s="39"/>
      <x:c r="J392" s="40"/>
      <x:c r="K392" s="40" t="str">
        <x:f>IFERROR(D392/C392,"")</x:f>
      </x:c>
    </x:row>
    <x:row r="393">
      <x:c r="A393" s="38" t="str"/>
      <x:c r="B393" s="38" t="str"/>
      <x:c r="C393" s="39"/>
      <x:c r="D393" s="39"/>
      <x:c r="E393" s="39" t="str">
        <x:f>IF(C393="","",C393-D393)</x:f>
      </x:c>
      <x:c r="F393" s="46"/>
      <x:c r="G393" s="46"/>
      <x:c r="H393" s="39"/>
      <x:c r="I393" s="39"/>
      <x:c r="J393" s="40"/>
      <x:c r="K393" s="40" t="str">
        <x:f>IFERROR(D393/C393,"")</x:f>
      </x:c>
    </x:row>
    <x:row r="394">
      <x:c r="A394" s="38" t="str"/>
      <x:c r="B394" s="38" t="str"/>
      <x:c r="C394" s="39"/>
      <x:c r="D394" s="39"/>
      <x:c r="E394" s="39" t="str">
        <x:f>IF(C394="","",C394-D394)</x:f>
      </x:c>
      <x:c r="F394" s="46"/>
      <x:c r="G394" s="46"/>
      <x:c r="H394" s="39"/>
      <x:c r="I394" s="39"/>
      <x:c r="J394" s="40"/>
      <x:c r="K394" s="40" t="str">
        <x:f>IFERROR(D394/C394,"")</x:f>
      </x:c>
    </x:row>
    <x:row r="395">
      <x:c r="A395" s="38" t="str"/>
      <x:c r="B395" s="38" t="str"/>
      <x:c r="C395" s="39"/>
      <x:c r="D395" s="39"/>
      <x:c r="E395" s="39" t="str">
        <x:f>IF(C395="","",C395-D395)</x:f>
      </x:c>
      <x:c r="F395" s="46"/>
      <x:c r="G395" s="46"/>
      <x:c r="H395" s="39"/>
      <x:c r="I395" s="39"/>
      <x:c r="J395" s="40"/>
      <x:c r="K395" s="40" t="str">
        <x:f>IFERROR(D395/C395,"")</x:f>
      </x:c>
    </x:row>
    <x:row r="396">
      <x:c r="A396" s="38" t="str"/>
      <x:c r="B396" s="38" t="str"/>
      <x:c r="C396" s="39"/>
      <x:c r="D396" s="39"/>
      <x:c r="E396" s="39" t="str">
        <x:f>IF(C396="","",C396-D396)</x:f>
      </x:c>
      <x:c r="F396" s="46"/>
      <x:c r="G396" s="46"/>
      <x:c r="H396" s="39"/>
      <x:c r="I396" s="39"/>
      <x:c r="J396" s="40"/>
      <x:c r="K396" s="40" t="str">
        <x:f>IFERROR(D396/C396,"")</x:f>
      </x:c>
    </x:row>
    <x:row r="397">
      <x:c r="A397" s="38" t="str"/>
      <x:c r="B397" s="38" t="str"/>
      <x:c r="C397" s="39"/>
      <x:c r="D397" s="39"/>
      <x:c r="E397" s="39" t="str">
        <x:f>IF(C397="","",C397-D397)</x:f>
      </x:c>
      <x:c r="F397" s="46"/>
      <x:c r="G397" s="46"/>
      <x:c r="H397" s="39"/>
      <x:c r="I397" s="39"/>
      <x:c r="J397" s="40"/>
      <x:c r="K397" s="40" t="str">
        <x:f>IFERROR(D397/C397,"")</x:f>
      </x:c>
    </x:row>
    <x:row r="398">
      <x:c r="A398" s="38" t="str"/>
      <x:c r="B398" s="38" t="str"/>
      <x:c r="C398" s="39"/>
      <x:c r="D398" s="39"/>
      <x:c r="E398" s="39" t="str">
        <x:f>IF(C398="","",C398-D398)</x:f>
      </x:c>
      <x:c r="F398" s="46"/>
      <x:c r="G398" s="46"/>
      <x:c r="H398" s="39"/>
      <x:c r="I398" s="39"/>
      <x:c r="J398" s="40"/>
      <x:c r="K398" s="40" t="str">
        <x:f>IFERROR(D398/C398,"")</x:f>
      </x:c>
    </x:row>
    <x:row r="399">
      <x:c r="A399" s="38" t="str"/>
      <x:c r="B399" s="38" t="str"/>
      <x:c r="C399" s="39"/>
      <x:c r="D399" s="39"/>
      <x:c r="E399" s="39" t="str">
        <x:f>IF(C399="","",C399-D399)</x:f>
      </x:c>
      <x:c r="F399" s="46"/>
      <x:c r="G399" s="46"/>
      <x:c r="H399" s="39"/>
      <x:c r="I399" s="39"/>
      <x:c r="J399" s="40"/>
      <x:c r="K399" s="40" t="str">
        <x:f>IFERROR(D399/C399,"")</x:f>
      </x:c>
    </x:row>
    <x:row r="400">
      <x:c r="A400" s="38" t="str"/>
      <x:c r="B400" s="38" t="str"/>
      <x:c r="C400" s="39"/>
      <x:c r="D400" s="39"/>
      <x:c r="E400" s="39" t="str">
        <x:f>IF(C400="","",C400-D400)</x:f>
      </x:c>
      <x:c r="F400" s="46"/>
      <x:c r="G400" s="46"/>
      <x:c r="H400" s="39"/>
      <x:c r="I400" s="39"/>
      <x:c r="J400" s="40"/>
      <x:c r="K400" s="40" t="str">
        <x:f>IFERROR(D400/C400,"")</x:f>
      </x:c>
    </x:row>
    <x:row r="401">
      <x:c r="A401" s="38" t="str"/>
      <x:c r="B401" s="38" t="str"/>
      <x:c r="C401" s="39"/>
      <x:c r="D401" s="39"/>
      <x:c r="E401" s="39" t="str">
        <x:f>IF(C401="","",C401-D401)</x:f>
      </x:c>
      <x:c r="F401" s="46"/>
      <x:c r="G401" s="46"/>
      <x:c r="H401" s="39"/>
      <x:c r="I401" s="39"/>
      <x:c r="J401" s="40"/>
      <x:c r="K401" s="40" t="str">
        <x:f>IFERROR(D401/C401,"")</x:f>
      </x:c>
    </x:row>
    <x:row r="402">
      <x:c r="A402" s="38" t="str"/>
      <x:c r="B402" s="38" t="str"/>
      <x:c r="C402" s="39"/>
      <x:c r="D402" s="39"/>
      <x:c r="E402" s="39" t="str">
        <x:f>IF(C402="","",C402-D402)</x:f>
      </x:c>
      <x:c r="F402" s="46"/>
      <x:c r="G402" s="46"/>
      <x:c r="H402" s="39"/>
      <x:c r="I402" s="39"/>
      <x:c r="J402" s="40"/>
      <x:c r="K402" s="40" t="str">
        <x:f>IFERROR(D402/C402,"")</x:f>
      </x:c>
    </x:row>
    <x:row r="403">
      <x:c r="A403" s="38" t="str"/>
      <x:c r="B403" s="38" t="str"/>
      <x:c r="C403" s="39"/>
      <x:c r="D403" s="39"/>
      <x:c r="E403" s="39" t="str">
        <x:f>IF(C403="","",C403-D403)</x:f>
      </x:c>
      <x:c r="F403" s="46"/>
      <x:c r="G403" s="46"/>
      <x:c r="H403" s="39"/>
      <x:c r="I403" s="39"/>
      <x:c r="J403" s="40"/>
      <x:c r="K403" s="40" t="str">
        <x:f>IFERROR(D403/C403,"")</x:f>
      </x:c>
    </x:row>
    <x:row r="404">
      <x:c r="A404" s="38" t="str"/>
      <x:c r="B404" s="38" t="str"/>
      <x:c r="C404" s="39"/>
      <x:c r="D404" s="39"/>
      <x:c r="E404" s="39" t="str">
        <x:f>IF(C404="","",C404-D404)</x:f>
      </x:c>
      <x:c r="F404" s="46"/>
      <x:c r="G404" s="46"/>
      <x:c r="H404" s="39"/>
      <x:c r="I404" s="39"/>
      <x:c r="J404" s="40"/>
      <x:c r="K404" s="40" t="str">
        <x:f>IFERROR(D404/C404,"")</x:f>
      </x:c>
    </x:row>
    <x:row r="405">
      <x:c r="A405" s="38" t="str"/>
      <x:c r="B405" s="38" t="str"/>
      <x:c r="C405" s="39"/>
      <x:c r="D405" s="39"/>
      <x:c r="E405" s="39" t="str">
        <x:f>IF(C405="","",C405-D405)</x:f>
      </x:c>
      <x:c r="F405" s="46"/>
      <x:c r="G405" s="46"/>
      <x:c r="H405" s="39"/>
      <x:c r="I405" s="39"/>
      <x:c r="J405" s="40"/>
      <x:c r="K405" s="40" t="str">
        <x:f>IFERROR(D405/C405,"")</x:f>
      </x:c>
    </x:row>
    <x:row r="406">
      <x:c r="A406" s="38" t="str"/>
      <x:c r="B406" s="38" t="str"/>
      <x:c r="C406" s="39"/>
      <x:c r="D406" s="39"/>
      <x:c r="E406" s="39" t="str">
        <x:f>IF(C406="","",C406-D406)</x:f>
      </x:c>
      <x:c r="F406" s="46"/>
      <x:c r="G406" s="46"/>
      <x:c r="H406" s="39"/>
      <x:c r="I406" s="39"/>
      <x:c r="J406" s="40"/>
      <x:c r="K406" s="40" t="str">
        <x:f>IFERROR(D406/C406,"")</x:f>
      </x:c>
    </x:row>
    <x:row r="407">
      <x:c r="A407" s="38" t="str"/>
      <x:c r="B407" s="38" t="str"/>
      <x:c r="C407" s="39"/>
      <x:c r="D407" s="39"/>
      <x:c r="E407" s="39" t="str">
        <x:f>IF(C407="","",C407-D407)</x:f>
      </x:c>
      <x:c r="F407" s="46"/>
      <x:c r="G407" s="46"/>
      <x:c r="H407" s="39"/>
      <x:c r="I407" s="39"/>
      <x:c r="J407" s="40"/>
      <x:c r="K407" s="40" t="str">
        <x:f>IFERROR(D407/C407,"")</x:f>
      </x:c>
    </x:row>
    <x:row r="408">
      <x:c r="A408" s="38" t="str"/>
      <x:c r="B408" s="38" t="str"/>
      <x:c r="C408" s="39"/>
      <x:c r="D408" s="39"/>
      <x:c r="E408" s="39" t="str">
        <x:f>IF(C408="","",C408-D408)</x:f>
      </x:c>
      <x:c r="F408" s="46"/>
      <x:c r="G408" s="46"/>
      <x:c r="H408" s="39"/>
      <x:c r="I408" s="39"/>
      <x:c r="J408" s="40"/>
      <x:c r="K408" s="40" t="str">
        <x:f>IFERROR(D408/C408,"")</x:f>
      </x:c>
    </x:row>
    <x:row r="409">
      <x:c r="A409" s="38" t="str"/>
      <x:c r="B409" s="38" t="str"/>
      <x:c r="C409" s="39"/>
      <x:c r="D409" s="39"/>
      <x:c r="E409" s="39" t="str">
        <x:f>IF(C409="","",C409-D409)</x:f>
      </x:c>
      <x:c r="F409" s="46"/>
      <x:c r="G409" s="46"/>
      <x:c r="H409" s="39"/>
      <x:c r="I409" s="39"/>
      <x:c r="J409" s="40"/>
      <x:c r="K409" s="40" t="str">
        <x:f>IFERROR(D409/C409,"")</x:f>
      </x:c>
    </x:row>
    <x:row r="410">
      <x:c r="A410" s="38" t="str"/>
      <x:c r="B410" s="38" t="str"/>
      <x:c r="C410" s="39"/>
      <x:c r="D410" s="39"/>
      <x:c r="E410" s="39" t="str">
        <x:f>IF(C410="","",C410-D410)</x:f>
      </x:c>
      <x:c r="F410" s="46"/>
      <x:c r="G410" s="46"/>
      <x:c r="H410" s="39"/>
      <x:c r="I410" s="39"/>
      <x:c r="J410" s="40"/>
      <x:c r="K410" s="40" t="str">
        <x:f>IFERROR(D410/C410,"")</x:f>
      </x:c>
    </x:row>
    <x:row r="411">
      <x:c r="A411" s="38" t="str"/>
      <x:c r="B411" s="38" t="str"/>
      <x:c r="C411" s="39"/>
      <x:c r="D411" s="39"/>
      <x:c r="E411" s="39" t="str">
        <x:f>IF(C411="","",C411-D411)</x:f>
      </x:c>
      <x:c r="F411" s="46"/>
      <x:c r="G411" s="46"/>
      <x:c r="H411" s="39"/>
      <x:c r="I411" s="39"/>
      <x:c r="J411" s="40"/>
      <x:c r="K411" s="40" t="str">
        <x:f>IFERROR(D411/C411,"")</x:f>
      </x:c>
    </x:row>
    <x:row r="412">
      <x:c r="A412" s="38" t="str"/>
      <x:c r="B412" s="38" t="str"/>
      <x:c r="C412" s="39"/>
      <x:c r="D412" s="39"/>
      <x:c r="E412" s="39" t="str">
        <x:f>IF(C412="","",C412-D412)</x:f>
      </x:c>
      <x:c r="F412" s="46"/>
      <x:c r="G412" s="46"/>
      <x:c r="H412" s="39"/>
      <x:c r="I412" s="39"/>
      <x:c r="J412" s="40"/>
      <x:c r="K412" s="40" t="str">
        <x:f>IFERROR(D412/C412,"")</x:f>
      </x:c>
    </x:row>
    <x:row r="413">
      <x:c r="A413" s="38" t="str"/>
      <x:c r="B413" s="38" t="str"/>
      <x:c r="C413" s="39"/>
      <x:c r="D413" s="39"/>
      <x:c r="E413" s="39" t="str">
        <x:f>IF(C413="","",C413-D413)</x:f>
      </x:c>
      <x:c r="F413" s="46"/>
      <x:c r="G413" s="46"/>
      <x:c r="H413" s="39"/>
      <x:c r="I413" s="39"/>
      <x:c r="J413" s="40"/>
      <x:c r="K413" s="40" t="str">
        <x:f>IFERROR(D413/C413,"")</x:f>
      </x:c>
    </x:row>
    <x:row r="414">
      <x:c r="A414" s="38" t="str"/>
      <x:c r="B414" s="38" t="str"/>
      <x:c r="C414" s="39"/>
      <x:c r="D414" s="39"/>
      <x:c r="E414" s="39" t="str">
        <x:f>IF(C414="","",C414-D414)</x:f>
      </x:c>
      <x:c r="F414" s="46"/>
      <x:c r="G414" s="46"/>
      <x:c r="H414" s="39"/>
      <x:c r="I414" s="39"/>
      <x:c r="J414" s="40"/>
      <x:c r="K414" s="40" t="str">
        <x:f>IFERROR(D414/C414,"")</x:f>
      </x:c>
    </x:row>
    <x:row r="415">
      <x:c r="A415" s="38" t="str"/>
      <x:c r="B415" s="38" t="str"/>
      <x:c r="C415" s="39"/>
      <x:c r="D415" s="39"/>
      <x:c r="E415" s="39" t="str">
        <x:f>IF(C415="","",C415-D415)</x:f>
      </x:c>
      <x:c r="F415" s="46"/>
      <x:c r="G415" s="46"/>
      <x:c r="H415" s="39"/>
      <x:c r="I415" s="39"/>
      <x:c r="J415" s="40"/>
      <x:c r="K415" s="40" t="str">
        <x:f>IFERROR(D415/C415,"")</x:f>
      </x:c>
    </x:row>
    <x:row r="416">
      <x:c r="A416" s="38" t="str"/>
      <x:c r="B416" s="38" t="str"/>
      <x:c r="C416" s="39"/>
      <x:c r="D416" s="39"/>
      <x:c r="E416" s="39" t="str">
        <x:f>IF(C416="","",C416-D416)</x:f>
      </x:c>
      <x:c r="F416" s="46"/>
      <x:c r="G416" s="46"/>
      <x:c r="H416" s="39"/>
      <x:c r="I416" s="39"/>
      <x:c r="J416" s="40"/>
      <x:c r="K416" s="40" t="str">
        <x:f>IFERROR(D416/C416,"")</x:f>
      </x:c>
    </x:row>
    <x:row r="417">
      <x:c r="A417" s="38" t="str"/>
      <x:c r="B417" s="38" t="str"/>
      <x:c r="C417" s="39"/>
      <x:c r="D417" s="39"/>
      <x:c r="E417" s="39" t="str">
        <x:f>IF(C417="","",C417-D417)</x:f>
      </x:c>
      <x:c r="F417" s="46"/>
      <x:c r="G417" s="46"/>
      <x:c r="H417" s="39"/>
      <x:c r="I417" s="39"/>
      <x:c r="J417" s="40"/>
      <x:c r="K417" s="40" t="str">
        <x:f>IFERROR(D417/C417,"")</x:f>
      </x:c>
    </x:row>
    <x:row r="418">
      <x:c r="A418" s="38" t="str"/>
      <x:c r="B418" s="38" t="str"/>
      <x:c r="C418" s="39"/>
      <x:c r="D418" s="39"/>
      <x:c r="E418" s="39" t="str">
        <x:f>IF(C418="","",C418-D418)</x:f>
      </x:c>
      <x:c r="F418" s="46"/>
      <x:c r="G418" s="46"/>
      <x:c r="H418" s="39"/>
      <x:c r="I418" s="39"/>
      <x:c r="J418" s="40"/>
      <x:c r="K418" s="40" t="str">
        <x:f>IFERROR(D418/C418,"")</x:f>
      </x:c>
    </x:row>
    <x:row r="419">
      <x:c r="A419" s="38" t="str"/>
      <x:c r="B419" s="38" t="str"/>
      <x:c r="C419" s="39"/>
      <x:c r="D419" s="39"/>
      <x:c r="E419" s="39" t="str">
        <x:f>IF(C419="","",C419-D419)</x:f>
      </x:c>
      <x:c r="F419" s="46"/>
      <x:c r="G419" s="46"/>
      <x:c r="H419" s="39"/>
      <x:c r="I419" s="39"/>
      <x:c r="J419" s="40"/>
      <x:c r="K419" s="40" t="str">
        <x:f>IFERROR(D419/C419,"")</x:f>
      </x:c>
    </x:row>
    <x:row r="420">
      <x:c r="A420" s="38" t="str"/>
      <x:c r="B420" s="38" t="str"/>
      <x:c r="C420" s="39"/>
      <x:c r="D420" s="39"/>
      <x:c r="E420" s="39" t="str">
        <x:f>IF(C420="","",C420-D420)</x:f>
      </x:c>
      <x:c r="F420" s="46"/>
      <x:c r="G420" s="46"/>
      <x:c r="H420" s="39"/>
      <x:c r="I420" s="39"/>
      <x:c r="J420" s="40"/>
      <x:c r="K420" s="40" t="str">
        <x:f>IFERROR(D420/C420,"")</x:f>
      </x:c>
    </x:row>
    <x:row r="421">
      <x:c r="A421" s="38" t="str"/>
      <x:c r="B421" s="38" t="str"/>
      <x:c r="C421" s="39"/>
      <x:c r="D421" s="39"/>
      <x:c r="E421" s="39" t="str">
        <x:f>IF(C421="","",C421-D421)</x:f>
      </x:c>
      <x:c r="F421" s="46"/>
      <x:c r="G421" s="46"/>
      <x:c r="H421" s="39"/>
      <x:c r="I421" s="39"/>
      <x:c r="J421" s="40"/>
      <x:c r="K421" s="40" t="str">
        <x:f>IFERROR(D421/C421,"")</x:f>
      </x:c>
    </x:row>
    <x:row r="422">
      <x:c r="A422" s="38" t="str"/>
      <x:c r="B422" s="38" t="str"/>
      <x:c r="C422" s="39"/>
      <x:c r="D422" s="39"/>
      <x:c r="E422" s="39" t="str">
        <x:f>IF(C422="","",C422-D422)</x:f>
      </x:c>
      <x:c r="F422" s="46"/>
      <x:c r="G422" s="46"/>
      <x:c r="H422" s="39"/>
      <x:c r="I422" s="39"/>
      <x:c r="J422" s="40"/>
      <x:c r="K422" s="40" t="str">
        <x:f>IFERROR(D422/C422,"")</x:f>
      </x:c>
    </x:row>
    <x:row r="423">
      <x:c r="A423" s="38" t="str"/>
      <x:c r="B423" s="38" t="str"/>
      <x:c r="C423" s="39"/>
      <x:c r="D423" s="39"/>
      <x:c r="E423" s="39" t="str">
        <x:f>IF(C423="","",C423-D423)</x:f>
      </x:c>
      <x:c r="F423" s="46"/>
      <x:c r="G423" s="46"/>
      <x:c r="H423" s="39"/>
      <x:c r="I423" s="39"/>
      <x:c r="J423" s="40"/>
      <x:c r="K423" s="40" t="str">
        <x:f>IFERROR(D423/C423,"")</x:f>
      </x:c>
    </x:row>
    <x:row r="424">
      <x:c r="A424" s="38" t="str"/>
      <x:c r="B424" s="38" t="str"/>
      <x:c r="C424" s="39"/>
      <x:c r="D424" s="39"/>
      <x:c r="E424" s="39" t="str">
        <x:f>IF(C424="","",C424-D424)</x:f>
      </x:c>
      <x:c r="F424" s="46"/>
      <x:c r="G424" s="46"/>
      <x:c r="H424" s="39"/>
      <x:c r="I424" s="39"/>
      <x:c r="J424" s="40"/>
      <x:c r="K424" s="40" t="str">
        <x:f>IFERROR(D424/C424,"")</x:f>
      </x:c>
    </x:row>
    <x:row r="425">
      <x:c r="A425" s="38" t="str"/>
      <x:c r="B425" s="38" t="str"/>
      <x:c r="C425" s="39"/>
      <x:c r="D425" s="39"/>
      <x:c r="E425" s="39" t="str">
        <x:f>IF(C425="","",C425-D425)</x:f>
      </x:c>
      <x:c r="F425" s="46"/>
      <x:c r="G425" s="46"/>
      <x:c r="H425" s="39"/>
      <x:c r="I425" s="39"/>
      <x:c r="J425" s="40"/>
      <x:c r="K425" s="40" t="str">
        <x:f>IFERROR(D425/C425,"")</x:f>
      </x:c>
    </x:row>
    <x:row r="426">
      <x:c r="A426" s="38" t="str"/>
      <x:c r="B426" s="38" t="str"/>
      <x:c r="C426" s="39"/>
      <x:c r="D426" s="39"/>
      <x:c r="E426" s="39" t="str">
        <x:f>IF(C426="","",C426-D426)</x:f>
      </x:c>
      <x:c r="F426" s="46"/>
      <x:c r="G426" s="46"/>
      <x:c r="H426" s="39"/>
      <x:c r="I426" s="39"/>
      <x:c r="J426" s="40"/>
      <x:c r="K426" s="40" t="str">
        <x:f>IFERROR(D426/C426,"")</x:f>
      </x:c>
    </x:row>
    <x:row r="427">
      <x:c r="A427" s="38" t="str"/>
      <x:c r="B427" s="38" t="str"/>
      <x:c r="C427" s="39"/>
      <x:c r="D427" s="39"/>
      <x:c r="E427" s="39" t="str">
        <x:f>IF(C427="","",C427-D427)</x:f>
      </x:c>
      <x:c r="F427" s="46"/>
      <x:c r="G427" s="46"/>
      <x:c r="H427" s="39"/>
      <x:c r="I427" s="39"/>
      <x:c r="J427" s="40"/>
      <x:c r="K427" s="40" t="str">
        <x:f>IFERROR(D427/C427,"")</x:f>
      </x:c>
    </x:row>
    <x:row r="428">
      <x:c r="A428" s="38" t="str"/>
      <x:c r="B428" s="38" t="str"/>
      <x:c r="C428" s="39"/>
      <x:c r="D428" s="39"/>
      <x:c r="E428" s="39" t="str">
        <x:f>IF(C428="","",C428-D428)</x:f>
      </x:c>
      <x:c r="F428" s="46"/>
      <x:c r="G428" s="46"/>
      <x:c r="H428" s="39"/>
      <x:c r="I428" s="39"/>
      <x:c r="J428" s="40"/>
      <x:c r="K428" s="40" t="str">
        <x:f>IFERROR(D428/C428,"")</x:f>
      </x:c>
    </x:row>
    <x:row r="429">
      <x:c r="A429" s="38" t="str"/>
      <x:c r="B429" s="38" t="str"/>
      <x:c r="C429" s="39"/>
      <x:c r="D429" s="39"/>
      <x:c r="E429" s="39" t="str">
        <x:f>IF(C429="","",C429-D429)</x:f>
      </x:c>
      <x:c r="F429" s="46"/>
      <x:c r="G429" s="46"/>
      <x:c r="H429" s="39"/>
      <x:c r="I429" s="39"/>
      <x:c r="J429" s="40"/>
      <x:c r="K429" s="40" t="str">
        <x:f>IFERROR(D429/C429,"")</x:f>
      </x:c>
    </x:row>
    <x:row r="430">
      <x:c r="A430" s="38" t="str"/>
      <x:c r="B430" s="38" t="str"/>
      <x:c r="C430" s="39"/>
      <x:c r="D430" s="39"/>
      <x:c r="E430" s="39" t="str">
        <x:f>IF(C430="","",C430-D430)</x:f>
      </x:c>
      <x:c r="F430" s="46"/>
      <x:c r="G430" s="46"/>
      <x:c r="H430" s="39"/>
      <x:c r="I430" s="39"/>
      <x:c r="J430" s="40"/>
      <x:c r="K430" s="40" t="str">
        <x:f>IFERROR(D430/C430,"")</x:f>
      </x:c>
    </x:row>
    <x:row r="431">
      <x:c r="A431" s="38" t="str"/>
      <x:c r="B431" s="38" t="str"/>
      <x:c r="C431" s="39"/>
      <x:c r="D431" s="39"/>
      <x:c r="E431" s="39" t="str">
        <x:f>IF(C431="","",C431-D431)</x:f>
      </x:c>
      <x:c r="F431" s="46"/>
      <x:c r="G431" s="46"/>
      <x:c r="H431" s="39"/>
      <x:c r="I431" s="39"/>
      <x:c r="J431" s="40"/>
      <x:c r="K431" s="40" t="str">
        <x:f>IFERROR(D431/C431,"")</x:f>
      </x:c>
    </x:row>
    <x:row r="432">
      <x:c r="A432" s="38" t="str"/>
      <x:c r="B432" s="38" t="str"/>
      <x:c r="C432" s="39"/>
      <x:c r="D432" s="39"/>
      <x:c r="E432" s="39" t="str">
        <x:f>IF(C432="","",C432-D432)</x:f>
      </x:c>
      <x:c r="F432" s="46"/>
      <x:c r="G432" s="46"/>
      <x:c r="H432" s="39"/>
      <x:c r="I432" s="39"/>
      <x:c r="J432" s="40"/>
      <x:c r="K432" s="40" t="str">
        <x:f>IFERROR(D432/C432,"")</x:f>
      </x:c>
    </x:row>
    <x:row r="433">
      <x:c r="A433" s="38" t="str"/>
      <x:c r="B433" s="38" t="str"/>
      <x:c r="C433" s="39"/>
      <x:c r="D433" s="39"/>
      <x:c r="E433" s="39" t="str">
        <x:f>IF(C433="","",C433-D433)</x:f>
      </x:c>
      <x:c r="F433" s="46"/>
      <x:c r="G433" s="46"/>
      <x:c r="H433" s="39"/>
      <x:c r="I433" s="39"/>
      <x:c r="J433" s="40"/>
      <x:c r="K433" s="40" t="str">
        <x:f>IFERROR(D433/C433,"")</x:f>
      </x:c>
    </x:row>
    <x:row r="434">
      <x:c r="A434" s="38" t="str"/>
      <x:c r="B434" s="38" t="str"/>
      <x:c r="C434" s="39"/>
      <x:c r="D434" s="39"/>
      <x:c r="E434" s="39" t="str">
        <x:f>IF(C434="","",C434-D434)</x:f>
      </x:c>
      <x:c r="F434" s="46"/>
      <x:c r="G434" s="46"/>
      <x:c r="H434" s="39"/>
      <x:c r="I434" s="39"/>
      <x:c r="J434" s="40"/>
      <x:c r="K434" s="40" t="str">
        <x:f>IFERROR(D434/C434,"")</x:f>
      </x:c>
    </x:row>
    <x:row r="435">
      <x:c r="A435" s="38" t="str"/>
      <x:c r="B435" s="38" t="str"/>
      <x:c r="C435" s="39"/>
      <x:c r="D435" s="39"/>
      <x:c r="E435" s="39" t="str">
        <x:f>IF(C435="","",C435-D435)</x:f>
      </x:c>
      <x:c r="F435" s="46"/>
      <x:c r="G435" s="46"/>
      <x:c r="H435" s="39"/>
      <x:c r="I435" s="39"/>
      <x:c r="J435" s="40"/>
      <x:c r="K435" s="40" t="str">
        <x:f>IFERROR(D435/C435,"")</x:f>
      </x:c>
    </x:row>
    <x:row r="436">
      <x:c r="A436" s="38" t="str"/>
      <x:c r="B436" s="38" t="str"/>
      <x:c r="C436" s="39"/>
      <x:c r="D436" s="39"/>
      <x:c r="E436" s="39" t="str">
        <x:f>IF(C436="","",C436-D436)</x:f>
      </x:c>
      <x:c r="F436" s="46"/>
      <x:c r="G436" s="46"/>
      <x:c r="H436" s="39"/>
      <x:c r="I436" s="39"/>
      <x:c r="J436" s="40"/>
      <x:c r="K436" s="40" t="str">
        <x:f>IFERROR(D436/C436,"")</x:f>
      </x:c>
    </x:row>
    <x:row r="437">
      <x:c r="A437" s="38" t="str"/>
      <x:c r="B437" s="38" t="str"/>
      <x:c r="C437" s="39"/>
      <x:c r="D437" s="39"/>
      <x:c r="E437" s="39" t="str">
        <x:f>IF(C437="","",C437-D437)</x:f>
      </x:c>
      <x:c r="F437" s="46"/>
      <x:c r="G437" s="46"/>
      <x:c r="H437" s="39"/>
      <x:c r="I437" s="39"/>
      <x:c r="J437" s="40"/>
      <x:c r="K437" s="40" t="str">
        <x:f>IFERROR(D437/C437,"")</x:f>
      </x:c>
    </x:row>
    <x:row r="438">
      <x:c r="A438" s="38" t="str"/>
      <x:c r="B438" s="38" t="str"/>
      <x:c r="C438" s="39"/>
      <x:c r="D438" s="39"/>
      <x:c r="E438" s="39" t="str">
        <x:f>IF(C438="","",C438-D438)</x:f>
      </x:c>
      <x:c r="F438" s="46"/>
      <x:c r="G438" s="46"/>
      <x:c r="H438" s="39"/>
      <x:c r="I438" s="39"/>
      <x:c r="J438" s="40"/>
      <x:c r="K438" s="40" t="str">
        <x:f>IFERROR(D438/C438,"")</x:f>
      </x:c>
    </x:row>
    <x:row r="439">
      <x:c r="A439" s="38" t="str"/>
      <x:c r="B439" s="38" t="str"/>
      <x:c r="C439" s="39"/>
      <x:c r="D439" s="39"/>
      <x:c r="E439" s="39" t="str">
        <x:f>IF(C439="","",C439-D439)</x:f>
      </x:c>
      <x:c r="F439" s="46"/>
      <x:c r="G439" s="46"/>
      <x:c r="H439" s="39"/>
      <x:c r="I439" s="39"/>
      <x:c r="J439" s="40"/>
      <x:c r="K439" s="40" t="str">
        <x:f>IFERROR(D439/C439,"")</x:f>
      </x:c>
    </x:row>
    <x:row r="440">
      <x:c r="A440" s="38" t="str"/>
      <x:c r="B440" s="38" t="str"/>
      <x:c r="C440" s="39"/>
      <x:c r="D440" s="39"/>
      <x:c r="E440" s="39" t="str">
        <x:f>IF(C440="","",C440-D440)</x:f>
      </x:c>
      <x:c r="F440" s="46"/>
      <x:c r="G440" s="46"/>
      <x:c r="H440" s="39"/>
      <x:c r="I440" s="39"/>
      <x:c r="J440" s="40"/>
      <x:c r="K440" s="40" t="str">
        <x:f>IFERROR(D440/C440,"")</x:f>
      </x:c>
    </x:row>
    <x:row r="441">
      <x:c r="A441" s="38" t="str"/>
      <x:c r="B441" s="38" t="str"/>
      <x:c r="C441" s="39"/>
      <x:c r="D441" s="39"/>
      <x:c r="E441" s="39" t="str">
        <x:f>IF(C441="","",C441-D441)</x:f>
      </x:c>
      <x:c r="F441" s="46"/>
      <x:c r="G441" s="46"/>
      <x:c r="H441" s="39"/>
      <x:c r="I441" s="39"/>
      <x:c r="J441" s="40"/>
      <x:c r="K441" s="40" t="str">
        <x:f>IFERROR(D441/C441,"")</x:f>
      </x:c>
    </x:row>
    <x:row r="442">
      <x:c r="A442" s="38" t="str"/>
      <x:c r="B442" s="38" t="str"/>
      <x:c r="C442" s="39"/>
      <x:c r="D442" s="39"/>
      <x:c r="E442" s="39" t="str">
        <x:f>IF(C442="","",C442-D442)</x:f>
      </x:c>
      <x:c r="F442" s="46"/>
      <x:c r="G442" s="46"/>
      <x:c r="H442" s="39"/>
      <x:c r="I442" s="39"/>
      <x:c r="J442" s="40"/>
      <x:c r="K442" s="40" t="str">
        <x:f>IFERROR(D442/C442,"")</x:f>
      </x:c>
    </x:row>
    <x:row r="443">
      <x:c r="A443" s="38" t="str"/>
      <x:c r="B443" s="38" t="str"/>
      <x:c r="C443" s="39"/>
      <x:c r="D443" s="39"/>
      <x:c r="E443" s="39" t="str">
        <x:f>IF(C443="","",C443-D443)</x:f>
      </x:c>
      <x:c r="F443" s="46"/>
      <x:c r="G443" s="46"/>
      <x:c r="H443" s="39"/>
      <x:c r="I443" s="39"/>
      <x:c r="J443" s="40"/>
      <x:c r="K443" s="40" t="str">
        <x:f>IFERROR(D443/C443,"")</x:f>
      </x:c>
    </x:row>
    <x:row r="444">
      <x:c r="A444" s="38" t="str"/>
      <x:c r="B444" s="38" t="str"/>
      <x:c r="C444" s="39"/>
      <x:c r="D444" s="39"/>
      <x:c r="E444" s="39" t="str">
        <x:f>IF(C444="","",C444-D444)</x:f>
      </x:c>
      <x:c r="F444" s="46"/>
      <x:c r="G444" s="46"/>
      <x:c r="H444" s="39"/>
      <x:c r="I444" s="39"/>
      <x:c r="J444" s="40"/>
      <x:c r="K444" s="40" t="str">
        <x:f>IFERROR(D444/C444,"")</x:f>
      </x:c>
    </x:row>
    <x:row r="445">
      <x:c r="A445" s="38" t="str"/>
      <x:c r="B445" s="38" t="str"/>
      <x:c r="C445" s="39"/>
      <x:c r="D445" s="39"/>
      <x:c r="E445" s="39" t="str">
        <x:f>IF(C445="","",C445-D445)</x:f>
      </x:c>
      <x:c r="F445" s="46"/>
      <x:c r="G445" s="46"/>
      <x:c r="H445" s="39"/>
      <x:c r="I445" s="39"/>
      <x:c r="J445" s="40"/>
      <x:c r="K445" s="40" t="str">
        <x:f>IFERROR(D445/C445,"")</x:f>
      </x:c>
    </x:row>
    <x:row r="446">
      <x:c r="A446" s="38" t="str"/>
      <x:c r="B446" s="38" t="str"/>
      <x:c r="C446" s="39"/>
      <x:c r="D446" s="39"/>
      <x:c r="E446" s="39" t="str">
        <x:f>IF(C446="","",C446-D446)</x:f>
      </x:c>
      <x:c r="F446" s="46"/>
      <x:c r="G446" s="46"/>
      <x:c r="H446" s="39"/>
      <x:c r="I446" s="39"/>
      <x:c r="J446" s="40"/>
      <x:c r="K446" s="40" t="str">
        <x:f>IFERROR(D446/C446,"")</x:f>
      </x:c>
    </x:row>
    <x:row r="447">
      <x:c r="A447" s="38" t="str"/>
      <x:c r="B447" s="38" t="str"/>
      <x:c r="C447" s="39"/>
      <x:c r="D447" s="39"/>
      <x:c r="E447" s="39" t="str">
        <x:f>IF(C447="","",C447-D447)</x:f>
      </x:c>
      <x:c r="F447" s="46"/>
      <x:c r="G447" s="46"/>
      <x:c r="H447" s="39"/>
      <x:c r="I447" s="39"/>
      <x:c r="J447" s="40"/>
      <x:c r="K447" s="40" t="str">
        <x:f>IFERROR(D447/C447,"")</x:f>
      </x:c>
    </x:row>
    <x:row r="448">
      <x:c r="A448" s="38" t="str"/>
      <x:c r="B448" s="38" t="str"/>
      <x:c r="C448" s="39"/>
      <x:c r="D448" s="39"/>
      <x:c r="E448" s="39" t="str">
        <x:f>IF(C448="","",C448-D448)</x:f>
      </x:c>
      <x:c r="F448" s="46"/>
      <x:c r="G448" s="46"/>
      <x:c r="H448" s="39"/>
      <x:c r="I448" s="39"/>
      <x:c r="J448" s="40"/>
      <x:c r="K448" s="40" t="str">
        <x:f>IFERROR(D448/C448,"")</x:f>
      </x:c>
    </x:row>
    <x:row r="449">
      <x:c r="A449" s="38" t="str"/>
      <x:c r="B449" s="38" t="str"/>
      <x:c r="C449" s="39"/>
      <x:c r="D449" s="39"/>
      <x:c r="E449" s="39" t="str">
        <x:f>IF(C449="","",C449-D449)</x:f>
      </x:c>
      <x:c r="F449" s="46"/>
      <x:c r="G449" s="46"/>
      <x:c r="H449" s="39"/>
      <x:c r="I449" s="39"/>
      <x:c r="J449" s="40"/>
      <x:c r="K449" s="40" t="str">
        <x:f>IFERROR(D449/C449,"")</x:f>
      </x:c>
    </x:row>
    <x:row r="450">
      <x:c r="A450" s="38" t="str"/>
      <x:c r="B450" s="38" t="str"/>
      <x:c r="C450" s="39"/>
      <x:c r="D450" s="39"/>
      <x:c r="E450" s="39" t="str">
        <x:f>IF(C450="","",C450-D450)</x:f>
      </x:c>
      <x:c r="F450" s="46"/>
      <x:c r="G450" s="46"/>
      <x:c r="H450" s="39"/>
      <x:c r="I450" s="39"/>
      <x:c r="J450" s="40"/>
      <x:c r="K450" s="40" t="str">
        <x:f>IFERROR(D450/C450,"")</x:f>
      </x:c>
    </x:row>
    <x:row r="451">
      <x:c r="A451" s="38" t="str"/>
      <x:c r="B451" s="38" t="str"/>
      <x:c r="C451" s="39"/>
      <x:c r="D451" s="39"/>
      <x:c r="E451" s="39" t="str">
        <x:f>IF(C451="","",C451-D451)</x:f>
      </x:c>
      <x:c r="F451" s="46"/>
      <x:c r="G451" s="46"/>
      <x:c r="H451" s="39"/>
      <x:c r="I451" s="39"/>
      <x:c r="J451" s="40"/>
      <x:c r="K451" s="40" t="str">
        <x:f>IFERROR(D451/C451,"")</x:f>
      </x:c>
    </x:row>
    <x:row r="452">
      <x:c r="A452" s="38" t="str"/>
      <x:c r="B452" s="38" t="str"/>
      <x:c r="C452" s="39"/>
      <x:c r="D452" s="39"/>
      <x:c r="E452" s="39" t="str">
        <x:f>IF(C452="","",C452-D452)</x:f>
      </x:c>
      <x:c r="F452" s="46"/>
      <x:c r="G452" s="46"/>
      <x:c r="H452" s="39"/>
      <x:c r="I452" s="39"/>
      <x:c r="J452" s="40"/>
      <x:c r="K452" s="40" t="str">
        <x:f>IFERROR(D452/C452,"")</x:f>
      </x:c>
    </x:row>
    <x:row r="453">
      <x:c r="A453" s="38" t="str"/>
      <x:c r="B453" s="38" t="str"/>
      <x:c r="C453" s="39"/>
      <x:c r="D453" s="39"/>
      <x:c r="E453" s="39" t="str">
        <x:f>IF(C453="","",C453-D453)</x:f>
      </x:c>
      <x:c r="F453" s="46"/>
      <x:c r="G453" s="46"/>
      <x:c r="H453" s="39"/>
      <x:c r="I453" s="39"/>
      <x:c r="J453" s="40"/>
      <x:c r="K453" s="40" t="str">
        <x:f>IFERROR(D453/C453,"")</x:f>
      </x:c>
    </x:row>
    <x:row r="454">
      <x:c r="A454" s="38" t="str"/>
      <x:c r="B454" s="38" t="str"/>
      <x:c r="C454" s="39"/>
      <x:c r="D454" s="39"/>
      <x:c r="E454" s="39" t="str">
        <x:f>IF(C454="","",C454-D454)</x:f>
      </x:c>
      <x:c r="F454" s="46"/>
      <x:c r="G454" s="46"/>
      <x:c r="H454" s="39"/>
      <x:c r="I454" s="39"/>
      <x:c r="J454" s="40"/>
      <x:c r="K454" s="40" t="str">
        <x:f>IFERROR(D454/C454,"")</x:f>
      </x:c>
    </x:row>
    <x:row r="455">
      <x:c r="A455" s="38" t="str"/>
      <x:c r="B455" s="38" t="str"/>
      <x:c r="C455" s="39"/>
      <x:c r="D455" s="39"/>
      <x:c r="E455" s="39" t="str">
        <x:f>IF(C455="","",C455-D455)</x:f>
      </x:c>
      <x:c r="F455" s="46"/>
      <x:c r="G455" s="46"/>
      <x:c r="H455" s="39"/>
      <x:c r="I455" s="39"/>
      <x:c r="J455" s="40"/>
      <x:c r="K455" s="40" t="str">
        <x:f>IFERROR(D455/C455,"")</x:f>
      </x:c>
    </x:row>
    <x:row r="456">
      <x:c r="A456" s="38" t="str"/>
      <x:c r="B456" s="38" t="str"/>
      <x:c r="C456" s="39"/>
      <x:c r="D456" s="39"/>
      <x:c r="E456" s="39" t="str">
        <x:f>IF(C456="","",C456-D456)</x:f>
      </x:c>
      <x:c r="F456" s="46"/>
      <x:c r="G456" s="46"/>
      <x:c r="H456" s="39"/>
      <x:c r="I456" s="39"/>
      <x:c r="J456" s="40"/>
      <x:c r="K456" s="40" t="str">
        <x:f>IFERROR(D456/C456,"")</x:f>
      </x:c>
    </x:row>
    <x:row r="457">
      <x:c r="A457" s="38" t="str"/>
      <x:c r="B457" s="38" t="str"/>
      <x:c r="C457" s="39"/>
      <x:c r="D457" s="39"/>
      <x:c r="E457" s="39" t="str">
        <x:f>IF(C457="","",C457-D457)</x:f>
      </x:c>
      <x:c r="F457" s="46"/>
      <x:c r="G457" s="46"/>
      <x:c r="H457" s="39"/>
      <x:c r="I457" s="39"/>
      <x:c r="J457" s="40"/>
      <x:c r="K457" s="40" t="str">
        <x:f>IFERROR(D457/C457,"")</x:f>
      </x:c>
    </x:row>
    <x:row r="458">
      <x:c r="A458" s="38" t="str"/>
      <x:c r="B458" s="38" t="str"/>
      <x:c r="C458" s="39"/>
      <x:c r="D458" s="39"/>
      <x:c r="E458" s="39" t="str">
        <x:f>IF(C458="","",C458-D458)</x:f>
      </x:c>
      <x:c r="F458" s="46"/>
      <x:c r="G458" s="46"/>
      <x:c r="H458" s="39"/>
      <x:c r="I458" s="39"/>
      <x:c r="J458" s="40"/>
      <x:c r="K458" s="40" t="str">
        <x:f>IFERROR(D458/C458,"")</x:f>
      </x:c>
    </x:row>
    <x:row r="459">
      <x:c r="A459" s="38" t="str"/>
      <x:c r="B459" s="38" t="str"/>
      <x:c r="C459" s="39"/>
      <x:c r="D459" s="39"/>
      <x:c r="E459" s="39" t="str">
        <x:f>IF(C459="","",C459-D459)</x:f>
      </x:c>
      <x:c r="F459" s="46"/>
      <x:c r="G459" s="46"/>
      <x:c r="H459" s="39"/>
      <x:c r="I459" s="39"/>
      <x:c r="J459" s="40"/>
      <x:c r="K459" s="40" t="str">
        <x:f>IFERROR(D459/C459,"")</x:f>
      </x:c>
    </x:row>
    <x:row r="460">
      <x:c r="A460" s="38" t="str"/>
      <x:c r="B460" s="38" t="str"/>
      <x:c r="C460" s="39"/>
      <x:c r="D460" s="39"/>
      <x:c r="E460" s="39" t="str">
        <x:f>IF(C460="","",C460-D460)</x:f>
      </x:c>
      <x:c r="F460" s="46"/>
      <x:c r="G460" s="46"/>
      <x:c r="H460" s="39"/>
      <x:c r="I460" s="39"/>
      <x:c r="J460" s="40"/>
      <x:c r="K460" s="40" t="str">
        <x:f>IFERROR(D460/C460,"")</x:f>
      </x:c>
    </x:row>
    <x:row r="461">
      <x:c r="A461" s="38" t="str"/>
      <x:c r="B461" s="38" t="str"/>
      <x:c r="C461" s="39"/>
      <x:c r="D461" s="39"/>
      <x:c r="E461" s="39" t="str">
        <x:f>IF(C461="","",C461-D461)</x:f>
      </x:c>
      <x:c r="F461" s="46"/>
      <x:c r="G461" s="46"/>
      <x:c r="H461" s="39"/>
      <x:c r="I461" s="39"/>
      <x:c r="J461" s="40"/>
      <x:c r="K461" s="40" t="str">
        <x:f>IFERROR(D461/C461,"")</x:f>
      </x:c>
    </x:row>
    <x:row r="462">
      <x:c r="A462" s="38" t="str"/>
      <x:c r="B462" s="38" t="str"/>
      <x:c r="C462" s="39"/>
      <x:c r="D462" s="39"/>
      <x:c r="E462" s="39" t="str">
        <x:f>IF(C462="","",C462-D462)</x:f>
      </x:c>
      <x:c r="F462" s="46"/>
      <x:c r="G462" s="46"/>
      <x:c r="H462" s="39"/>
      <x:c r="I462" s="39"/>
      <x:c r="J462" s="40"/>
      <x:c r="K462" s="40" t="str">
        <x:f>IFERROR(D462/C462,"")</x:f>
      </x:c>
    </x:row>
    <x:row r="463">
      <x:c r="A463" s="38" t="str"/>
      <x:c r="B463" s="38" t="str"/>
      <x:c r="C463" s="39"/>
      <x:c r="D463" s="39"/>
      <x:c r="E463" s="39" t="str">
        <x:f>IF(C463="","",C463-D463)</x:f>
      </x:c>
      <x:c r="F463" s="46"/>
      <x:c r="G463" s="46"/>
      <x:c r="H463" s="39"/>
      <x:c r="I463" s="39"/>
      <x:c r="J463" s="40"/>
      <x:c r="K463" s="40" t="str">
        <x:f>IFERROR(D463/C463,"")</x:f>
      </x:c>
    </x:row>
    <x:row r="464">
      <x:c r="A464" s="38" t="str"/>
      <x:c r="B464" s="38" t="str"/>
      <x:c r="C464" s="39"/>
      <x:c r="D464" s="39"/>
      <x:c r="E464" s="39" t="str">
        <x:f>IF(C464="","",C464-D464)</x:f>
      </x:c>
      <x:c r="F464" s="46"/>
      <x:c r="G464" s="46"/>
      <x:c r="H464" s="39"/>
      <x:c r="I464" s="39"/>
      <x:c r="J464" s="40"/>
      <x:c r="K464" s="40" t="str">
        <x:f>IFERROR(D464/C464,"")</x:f>
      </x:c>
    </x:row>
    <x:row r="465">
      <x:c r="A465" s="38" t="str"/>
      <x:c r="B465" s="38" t="str"/>
      <x:c r="C465" s="39"/>
      <x:c r="D465" s="39"/>
      <x:c r="E465" s="39" t="str">
        <x:f>IF(C465="","",C465-D465)</x:f>
      </x:c>
      <x:c r="F465" s="46"/>
      <x:c r="G465" s="46"/>
      <x:c r="H465" s="39"/>
      <x:c r="I465" s="39"/>
      <x:c r="J465" s="40"/>
      <x:c r="K465" s="40" t="str">
        <x:f>IFERROR(D465/C465,"")</x:f>
      </x:c>
    </x:row>
    <x:row r="466">
      <x:c r="A466" s="38" t="str"/>
      <x:c r="B466" s="38" t="str"/>
      <x:c r="C466" s="39"/>
      <x:c r="D466" s="39"/>
      <x:c r="E466" s="39" t="str">
        <x:f>IF(C466="","",C466-D466)</x:f>
      </x:c>
      <x:c r="F466" s="46"/>
      <x:c r="G466" s="46"/>
      <x:c r="H466" s="39"/>
      <x:c r="I466" s="39"/>
      <x:c r="J466" s="40"/>
      <x:c r="K466" s="40" t="str">
        <x:f>IFERROR(D466/C466,"")</x:f>
      </x:c>
    </x:row>
    <x:row r="467">
      <x:c r="A467" s="38" t="str"/>
      <x:c r="B467" s="38" t="str"/>
      <x:c r="C467" s="39"/>
      <x:c r="D467" s="39"/>
      <x:c r="E467" s="39" t="str">
        <x:f>IF(C467="","",C467-D467)</x:f>
      </x:c>
      <x:c r="F467" s="46"/>
      <x:c r="G467" s="46"/>
      <x:c r="H467" s="39"/>
      <x:c r="I467" s="39"/>
      <x:c r="J467" s="40"/>
      <x:c r="K467" s="40" t="str">
        <x:f>IFERROR(D467/C467,"")</x:f>
      </x:c>
    </x:row>
    <x:row r="468">
      <x:c r="A468" s="38" t="str"/>
      <x:c r="B468" s="38" t="str"/>
      <x:c r="C468" s="39"/>
      <x:c r="D468" s="39"/>
      <x:c r="E468" s="39" t="str">
        <x:f>IF(C468="","",C468-D468)</x:f>
      </x:c>
      <x:c r="F468" s="46"/>
      <x:c r="G468" s="46"/>
      <x:c r="H468" s="39"/>
      <x:c r="I468" s="39"/>
      <x:c r="J468" s="40"/>
      <x:c r="K468" s="40" t="str">
        <x:f>IFERROR(D468/C468,"")</x:f>
      </x:c>
    </x:row>
    <x:row r="469">
      <x:c r="A469" s="38" t="str"/>
      <x:c r="B469" s="38" t="str"/>
      <x:c r="C469" s="39"/>
      <x:c r="D469" s="39"/>
      <x:c r="E469" s="39" t="str">
        <x:f>IF(C469="","",C469-D469)</x:f>
      </x:c>
      <x:c r="F469" s="46"/>
      <x:c r="G469" s="46"/>
      <x:c r="H469" s="39"/>
      <x:c r="I469" s="39"/>
      <x:c r="J469" s="40"/>
      <x:c r="K469" s="40" t="str">
        <x:f>IFERROR(D469/C469,"")</x:f>
      </x:c>
    </x:row>
    <x:row r="470">
      <x:c r="A470" s="38" t="str"/>
      <x:c r="B470" s="38" t="str"/>
      <x:c r="C470" s="39"/>
      <x:c r="D470" s="39"/>
      <x:c r="E470" s="39" t="str">
        <x:f>IF(C470="","",C470-D470)</x:f>
      </x:c>
      <x:c r="F470" s="46"/>
      <x:c r="G470" s="46"/>
      <x:c r="H470" s="39"/>
      <x:c r="I470" s="39"/>
      <x:c r="J470" s="40"/>
      <x:c r="K470" s="40" t="str">
        <x:f>IFERROR(D470/C470,"")</x:f>
      </x:c>
    </x:row>
    <x:row r="471">
      <x:c r="A471" s="38" t="str"/>
      <x:c r="B471" s="38" t="str"/>
      <x:c r="C471" s="39"/>
      <x:c r="D471" s="39"/>
      <x:c r="E471" s="39" t="str">
        <x:f>IF(C471="","",C471-D471)</x:f>
      </x:c>
      <x:c r="F471" s="46"/>
      <x:c r="G471" s="46"/>
      <x:c r="H471" s="39"/>
      <x:c r="I471" s="39"/>
      <x:c r="J471" s="40"/>
      <x:c r="K471" s="40" t="str">
        <x:f>IFERROR(D471/C471,"")</x:f>
      </x:c>
    </x:row>
    <x:row r="472">
      <x:c r="A472" s="38" t="str"/>
      <x:c r="B472" s="38" t="str"/>
      <x:c r="C472" s="39"/>
      <x:c r="D472" s="39"/>
      <x:c r="E472" s="39" t="str">
        <x:f>IF(C472="","",C472-D472)</x:f>
      </x:c>
      <x:c r="F472" s="46"/>
      <x:c r="G472" s="46"/>
      <x:c r="H472" s="39"/>
      <x:c r="I472" s="39"/>
      <x:c r="J472" s="40"/>
      <x:c r="K472" s="40" t="str">
        <x:f>IFERROR(D472/C472,"")</x:f>
      </x:c>
    </x:row>
    <x:row r="473">
      <x:c r="A473" s="38" t="str"/>
      <x:c r="B473" s="38" t="str"/>
      <x:c r="C473" s="39"/>
      <x:c r="D473" s="39"/>
      <x:c r="E473" s="39" t="str">
        <x:f>IF(C473="","",C473-D473)</x:f>
      </x:c>
      <x:c r="F473" s="46"/>
      <x:c r="G473" s="46"/>
      <x:c r="H473" s="39"/>
      <x:c r="I473" s="39"/>
      <x:c r="J473" s="40"/>
      <x:c r="K473" s="40" t="str">
        <x:f>IFERROR(D473/C473,"")</x:f>
      </x:c>
    </x:row>
    <x:row r="474">
      <x:c r="A474" s="38" t="str"/>
      <x:c r="B474" s="38" t="str"/>
      <x:c r="C474" s="39"/>
      <x:c r="D474" s="39"/>
      <x:c r="E474" s="39" t="str">
        <x:f>IF(C474="","",C474-D474)</x:f>
      </x:c>
      <x:c r="F474" s="46"/>
      <x:c r="G474" s="46"/>
      <x:c r="H474" s="39"/>
      <x:c r="I474" s="39"/>
      <x:c r="J474" s="40"/>
      <x:c r="K474" s="40" t="str">
        <x:f>IFERROR(D474/C474,"")</x:f>
      </x:c>
    </x:row>
    <x:row r="475">
      <x:c r="A475" s="38" t="str"/>
      <x:c r="B475" s="38" t="str"/>
      <x:c r="C475" s="39"/>
      <x:c r="D475" s="39"/>
      <x:c r="E475" s="39" t="str">
        <x:f>IF(C475="","",C475-D475)</x:f>
      </x:c>
      <x:c r="F475" s="46"/>
      <x:c r="G475" s="46"/>
      <x:c r="H475" s="39"/>
      <x:c r="I475" s="39"/>
      <x:c r="J475" s="40"/>
      <x:c r="K475" s="40" t="str">
        <x:f>IFERROR(D475/C475,"")</x:f>
      </x:c>
    </x:row>
    <x:row r="476">
      <x:c r="A476" s="38" t="str"/>
      <x:c r="B476" s="38" t="str"/>
      <x:c r="C476" s="39"/>
      <x:c r="D476" s="39"/>
      <x:c r="E476" s="39" t="str">
        <x:f>IF(C476="","",C476-D476)</x:f>
      </x:c>
      <x:c r="F476" s="46"/>
      <x:c r="G476" s="46"/>
      <x:c r="H476" s="39"/>
      <x:c r="I476" s="39"/>
      <x:c r="J476" s="40"/>
      <x:c r="K476" s="40" t="str">
        <x:f>IFERROR(D476/C476,"")</x:f>
      </x:c>
    </x:row>
    <x:row r="477">
      <x:c r="A477" s="38" t="str"/>
      <x:c r="B477" s="38" t="str"/>
      <x:c r="C477" s="39"/>
      <x:c r="D477" s="39"/>
      <x:c r="E477" s="39" t="str">
        <x:f>IF(C477="","",C477-D477)</x:f>
      </x:c>
      <x:c r="F477" s="46"/>
      <x:c r="G477" s="46"/>
      <x:c r="H477" s="39"/>
      <x:c r="I477" s="39"/>
      <x:c r="J477" s="40"/>
      <x:c r="K477" s="40" t="str">
        <x:f>IFERROR(D477/C477,"")</x:f>
      </x:c>
    </x:row>
    <x:row r="478">
      <x:c r="A478" s="38" t="str"/>
      <x:c r="B478" s="38" t="str"/>
      <x:c r="C478" s="39"/>
      <x:c r="D478" s="39"/>
      <x:c r="E478" s="39" t="str">
        <x:f>IF(C478="","",C478-D478)</x:f>
      </x:c>
      <x:c r="F478" s="46"/>
      <x:c r="G478" s="46"/>
      <x:c r="H478" s="39"/>
      <x:c r="I478" s="39"/>
      <x:c r="J478" s="40"/>
      <x:c r="K478" s="40" t="str">
        <x:f>IFERROR(D478/C478,"")</x:f>
      </x:c>
    </x:row>
    <x:row r="479">
      <x:c r="A479" s="38" t="str"/>
      <x:c r="B479" s="38" t="str"/>
      <x:c r="C479" s="39"/>
      <x:c r="D479" s="39"/>
      <x:c r="E479" s="39" t="str">
        <x:f>IF(C479="","",C479-D479)</x:f>
      </x:c>
      <x:c r="F479" s="46"/>
      <x:c r="G479" s="46"/>
      <x:c r="H479" s="39"/>
      <x:c r="I479" s="39"/>
      <x:c r="J479" s="40"/>
      <x:c r="K479" s="40" t="str">
        <x:f>IFERROR(D479/C479,"")</x:f>
      </x:c>
    </x:row>
    <x:row r="480">
      <x:c r="A480" s="38" t="str"/>
      <x:c r="B480" s="38" t="str"/>
      <x:c r="C480" s="39"/>
      <x:c r="D480" s="39"/>
      <x:c r="E480" s="39" t="str">
        <x:f>IF(C480="","",C480-D480)</x:f>
      </x:c>
      <x:c r="F480" s="46"/>
      <x:c r="G480" s="46"/>
      <x:c r="H480" s="39"/>
      <x:c r="I480" s="39"/>
      <x:c r="J480" s="40"/>
      <x:c r="K480" s="40" t="str">
        <x:f>IFERROR(D480/C480,"")</x:f>
      </x:c>
    </x:row>
    <x:row r="481">
      <x:c r="A481" s="38" t="str"/>
      <x:c r="B481" s="38" t="str"/>
      <x:c r="C481" s="39"/>
      <x:c r="D481" s="39"/>
      <x:c r="E481" s="39" t="str">
        <x:f>IF(C481="","",C481-D481)</x:f>
      </x:c>
      <x:c r="F481" s="46"/>
      <x:c r="G481" s="46"/>
      <x:c r="H481" s="39"/>
      <x:c r="I481" s="39"/>
      <x:c r="J481" s="40"/>
      <x:c r="K481" s="40" t="str">
        <x:f>IFERROR(D481/C481,"")</x:f>
      </x:c>
    </x:row>
    <x:row r="482">
      <x:c r="A482" s="38" t="str"/>
      <x:c r="B482" s="38" t="str"/>
      <x:c r="C482" s="39"/>
      <x:c r="D482" s="39"/>
      <x:c r="E482" s="39" t="str">
        <x:f>IF(C482="","",C482-D482)</x:f>
      </x:c>
      <x:c r="F482" s="46"/>
      <x:c r="G482" s="46"/>
      <x:c r="H482" s="39"/>
      <x:c r="I482" s="39"/>
      <x:c r="J482" s="40"/>
      <x:c r="K482" s="40" t="str">
        <x:f>IFERROR(D482/C482,"")</x:f>
      </x:c>
    </x:row>
    <x:row r="483">
      <x:c r="A483" s="38" t="str"/>
      <x:c r="B483" s="38" t="str"/>
      <x:c r="C483" s="39"/>
      <x:c r="D483" s="39"/>
      <x:c r="E483" s="39" t="str">
        <x:f>IF(C483="","",C483-D483)</x:f>
      </x:c>
      <x:c r="F483" s="46"/>
      <x:c r="G483" s="46"/>
      <x:c r="H483" s="39"/>
      <x:c r="I483" s="39"/>
      <x:c r="J483" s="40"/>
      <x:c r="K483" s="40" t="str">
        <x:f>IFERROR(D483/C483,"")</x:f>
      </x:c>
    </x:row>
    <x:row r="484">
      <x:c r="A484" s="38" t="str"/>
      <x:c r="B484" s="38" t="str"/>
      <x:c r="C484" s="39"/>
      <x:c r="D484" s="39"/>
      <x:c r="E484" s="39" t="str">
        <x:f>IF(C484="","",C484-D484)</x:f>
      </x:c>
      <x:c r="F484" s="46"/>
      <x:c r="G484" s="46"/>
      <x:c r="H484" s="39"/>
      <x:c r="I484" s="39"/>
      <x:c r="J484" s="40"/>
      <x:c r="K484" s="40" t="str">
        <x:f>IFERROR(D484/C484,"")</x:f>
      </x:c>
    </x:row>
    <x:row r="485">
      <x:c r="A485" s="38" t="str"/>
      <x:c r="B485" s="38" t="str"/>
      <x:c r="C485" s="39"/>
      <x:c r="D485" s="39"/>
      <x:c r="E485" s="39" t="str">
        <x:f>IF(C485="","",C485-D485)</x:f>
      </x:c>
      <x:c r="F485" s="46"/>
      <x:c r="G485" s="46"/>
      <x:c r="H485" s="39"/>
      <x:c r="I485" s="39"/>
      <x:c r="J485" s="40"/>
      <x:c r="K485" s="40" t="str">
        <x:f>IFERROR(D485/C485,"")</x:f>
      </x:c>
    </x:row>
    <x:row r="486">
      <x:c r="A486" s="38" t="str"/>
      <x:c r="B486" s="38" t="str"/>
      <x:c r="C486" s="39"/>
      <x:c r="D486" s="39"/>
      <x:c r="E486" s="39" t="str">
        <x:f>IF(C486="","",C486-D486)</x:f>
      </x:c>
      <x:c r="F486" s="46"/>
      <x:c r="G486" s="46"/>
      <x:c r="H486" s="39"/>
      <x:c r="I486" s="39"/>
      <x:c r="J486" s="40"/>
      <x:c r="K486" s="40" t="str">
        <x:f>IFERROR(D486/C486,"")</x:f>
      </x:c>
    </x:row>
    <x:row r="487">
      <x:c r="A487" s="38" t="str"/>
      <x:c r="B487" s="38" t="str"/>
      <x:c r="C487" s="39"/>
      <x:c r="D487" s="39"/>
      <x:c r="E487" s="39" t="str">
        <x:f>IF(C487="","",C487-D487)</x:f>
      </x:c>
      <x:c r="F487" s="46"/>
      <x:c r="G487" s="46"/>
      <x:c r="H487" s="39"/>
      <x:c r="I487" s="39"/>
      <x:c r="J487" s="40"/>
      <x:c r="K487" s="40" t="str">
        <x:f>IFERROR(D487/C487,"")</x:f>
      </x:c>
    </x:row>
    <x:row r="488">
      <x:c r="A488" s="38" t="str"/>
      <x:c r="B488" s="38" t="str"/>
      <x:c r="C488" s="39"/>
      <x:c r="D488" s="39"/>
      <x:c r="E488" s="39" t="str">
        <x:f>IF(C488="","",C488-D488)</x:f>
      </x:c>
      <x:c r="F488" s="46"/>
      <x:c r="G488" s="46"/>
      <x:c r="H488" s="39"/>
      <x:c r="I488" s="39"/>
      <x:c r="J488" s="40"/>
      <x:c r="K488" s="40" t="str">
        <x:f>IFERROR(D488/C488,"")</x:f>
      </x:c>
    </x:row>
    <x:row r="489">
      <x:c r="A489" s="38" t="str"/>
      <x:c r="B489" s="38" t="str"/>
      <x:c r="C489" s="39"/>
      <x:c r="D489" s="39"/>
      <x:c r="E489" s="39" t="str">
        <x:f>IF(C489="","",C489-D489)</x:f>
      </x:c>
      <x:c r="F489" s="46"/>
      <x:c r="G489" s="46"/>
      <x:c r="H489" s="39"/>
      <x:c r="I489" s="39"/>
      <x:c r="J489" s="40"/>
      <x:c r="K489" s="40" t="str">
        <x:f>IFERROR(D489/C489,"")</x:f>
      </x:c>
    </x:row>
    <x:row r="490">
      <x:c r="A490" s="38" t="str"/>
      <x:c r="B490" s="38" t="str"/>
      <x:c r="C490" s="39"/>
      <x:c r="D490" s="39"/>
      <x:c r="E490" s="39" t="str">
        <x:f>IF(C490="","",C490-D490)</x:f>
      </x:c>
      <x:c r="F490" s="46"/>
      <x:c r="G490" s="46"/>
      <x:c r="H490" s="39"/>
      <x:c r="I490" s="39"/>
      <x:c r="J490" s="40"/>
      <x:c r="K490" s="40" t="str">
        <x:f>IFERROR(D490/C490,"")</x:f>
      </x:c>
    </x:row>
    <x:row r="491">
      <x:c r="A491" s="38" t="str"/>
      <x:c r="B491" s="38" t="str"/>
      <x:c r="C491" s="39"/>
      <x:c r="D491" s="39"/>
      <x:c r="E491" s="39" t="str">
        <x:f>IF(C491="","",C491-D491)</x:f>
      </x:c>
      <x:c r="F491" s="46"/>
      <x:c r="G491" s="46"/>
      <x:c r="H491" s="39"/>
      <x:c r="I491" s="39"/>
      <x:c r="J491" s="40"/>
      <x:c r="K491" s="40" t="str">
        <x:f>IFERROR(D491/C491,"")</x:f>
      </x:c>
    </x:row>
    <x:row r="492">
      <x:c r="A492" s="38" t="str"/>
      <x:c r="B492" s="38" t="str"/>
      <x:c r="C492" s="39"/>
      <x:c r="D492" s="39"/>
      <x:c r="E492" s="39" t="str">
        <x:f>IF(C492="","",C492-D492)</x:f>
      </x:c>
      <x:c r="F492" s="46"/>
      <x:c r="G492" s="46"/>
      <x:c r="H492" s="39"/>
      <x:c r="I492" s="39"/>
      <x:c r="J492" s="40"/>
      <x:c r="K492" s="40" t="str">
        <x:f>IFERROR(D492/C492,"")</x:f>
      </x:c>
    </x:row>
    <x:row r="493">
      <x:c r="A493" s="38" t="str"/>
      <x:c r="B493" s="38" t="str"/>
      <x:c r="C493" s="39"/>
      <x:c r="D493" s="39"/>
      <x:c r="E493" s="39" t="str">
        <x:f>IF(C493="","",C493-D493)</x:f>
      </x:c>
      <x:c r="F493" s="46"/>
      <x:c r="G493" s="46"/>
      <x:c r="H493" s="39"/>
      <x:c r="I493" s="39"/>
      <x:c r="J493" s="40"/>
      <x:c r="K493" s="40" t="str">
        <x:f>IFERROR(D493/C493,"")</x:f>
      </x:c>
    </x:row>
    <x:row r="494">
      <x:c r="A494" s="38" t="str"/>
      <x:c r="B494" s="38" t="str"/>
      <x:c r="C494" s="39"/>
      <x:c r="D494" s="39"/>
      <x:c r="E494" s="39" t="str">
        <x:f>IF(C494="","",C494-D494)</x:f>
      </x:c>
      <x:c r="F494" s="46"/>
      <x:c r="G494" s="46"/>
      <x:c r="H494" s="39"/>
      <x:c r="I494" s="39"/>
      <x:c r="J494" s="40"/>
      <x:c r="K494" s="40" t="str">
        <x:f>IFERROR(D494/C494,"")</x:f>
      </x:c>
    </x:row>
    <x:row r="495">
      <x:c r="A495" s="38" t="str"/>
      <x:c r="B495" s="38" t="str"/>
      <x:c r="C495" s="39"/>
      <x:c r="D495" s="39"/>
      <x:c r="E495" s="39" t="str">
        <x:f>IF(C495="","",C495-D495)</x:f>
      </x:c>
      <x:c r="F495" s="46"/>
      <x:c r="G495" s="46"/>
      <x:c r="H495" s="39"/>
      <x:c r="I495" s="39"/>
      <x:c r="J495" s="40"/>
      <x:c r="K495" s="40" t="str">
        <x:f>IFERROR(D495/C495,"")</x:f>
      </x:c>
    </x:row>
    <x:row r="496">
      <x:c r="A496" s="38" t="str"/>
      <x:c r="B496" s="38" t="str"/>
      <x:c r="C496" s="39"/>
      <x:c r="D496" s="39"/>
      <x:c r="E496" s="39" t="str">
        <x:f>IF(C496="","",C496-D496)</x:f>
      </x:c>
      <x:c r="F496" s="46"/>
      <x:c r="G496" s="46"/>
      <x:c r="H496" s="39"/>
      <x:c r="I496" s="39"/>
      <x:c r="J496" s="40"/>
      <x:c r="K496" s="40" t="str">
        <x:f>IFERROR(D496/C496,"")</x:f>
      </x:c>
    </x:row>
    <x:row r="497">
      <x:c r="A497" s="38" t="str"/>
      <x:c r="B497" s="38" t="str"/>
      <x:c r="C497" s="39"/>
      <x:c r="D497" s="39"/>
      <x:c r="E497" s="39" t="str">
        <x:f>IF(C497="","",C497-D497)</x:f>
      </x:c>
      <x:c r="F497" s="46"/>
      <x:c r="G497" s="46"/>
      <x:c r="H497" s="39"/>
      <x:c r="I497" s="39"/>
      <x:c r="J497" s="40"/>
      <x:c r="K497" s="40" t="str">
        <x:f>IFERROR(D497/C497,"")</x:f>
      </x:c>
    </x:row>
    <x:row r="498">
      <x:c r="A498" s="38" t="str"/>
      <x:c r="B498" s="38" t="str"/>
      <x:c r="C498" s="39"/>
      <x:c r="D498" s="39"/>
      <x:c r="E498" s="39" t="str">
        <x:f>IF(C498="","",C498-D498)</x:f>
      </x:c>
      <x:c r="F498" s="46"/>
      <x:c r="G498" s="46"/>
      <x:c r="H498" s="39"/>
      <x:c r="I498" s="39"/>
      <x:c r="J498" s="40"/>
      <x:c r="K498" s="40" t="str">
        <x:f>IFERROR(D498/C498,"")</x:f>
      </x:c>
    </x:row>
    <x:row r="499">
      <x:c r="A499" s="38" t="str"/>
      <x:c r="B499" s="38" t="str"/>
      <x:c r="C499" s="39"/>
      <x:c r="D499" s="39"/>
      <x:c r="E499" s="39" t="str">
        <x:f>IF(C499="","",C499-D499)</x:f>
      </x:c>
      <x:c r="F499" s="46"/>
      <x:c r="G499" s="46"/>
      <x:c r="H499" s="39"/>
      <x:c r="I499" s="39"/>
      <x:c r="J499" s="40"/>
      <x:c r="K499" s="40" t="str">
        <x:f>IFERROR(D499/C499,"")</x:f>
      </x:c>
    </x:row>
    <x:row r="500">
      <x:c r="A500" s="38" t="str"/>
      <x:c r="B500" s="38" t="str"/>
      <x:c r="C500" s="39"/>
      <x:c r="D500" s="39"/>
      <x:c r="E500" s="39" t="str">
        <x:f>IF(C500="","",C500-D500)</x:f>
      </x:c>
      <x:c r="F500" s="46"/>
      <x:c r="G500" s="46"/>
      <x:c r="H500" s="39"/>
      <x:c r="I500" s="39"/>
      <x:c r="J500" s="40"/>
      <x:c r="K500" s="40" t="str">
        <x:f>IFERROR(D500/C500,"")</x:f>
      </x:c>
    </x:row>
    <x:row r="501">
      <x:c r="A501" s="38" t="str"/>
      <x:c r="B501" s="38" t="str"/>
      <x:c r="C501" s="39"/>
      <x:c r="D501" s="39"/>
      <x:c r="E501" s="39" t="str">
        <x:f>IF(C501="","",C501-D501)</x:f>
      </x:c>
      <x:c r="F501" s="46"/>
      <x:c r="G501" s="46"/>
      <x:c r="H501" s="39"/>
      <x:c r="I501" s="39"/>
      <x:c r="J501" s="40"/>
      <x:c r="K501" s="40" t="str">
        <x:f>IFERROR(D501/C501,"")</x:f>
      </x:c>
    </x:row>
    <x:row r="502">
      <x:c r="A502" s="38" t="str"/>
      <x:c r="B502" s="38" t="str"/>
      <x:c r="C502" s="39"/>
      <x:c r="D502" s="39"/>
      <x:c r="E502" s="39" t="str">
        <x:f>IF(C502="","",C502-D502)</x:f>
      </x:c>
      <x:c r="F502" s="46"/>
      <x:c r="G502" s="46"/>
      <x:c r="H502" s="39"/>
      <x:c r="I502" s="39"/>
      <x:c r="J502" s="40"/>
      <x:c r="K502" s="40" t="str">
        <x:f>IFERROR(D502/C502,"")</x:f>
      </x:c>
    </x:row>
    <x:row r="503">
      <x:c r="A503" s="38" t="str"/>
      <x:c r="B503" s="38" t="str"/>
      <x:c r="C503" s="39"/>
      <x:c r="D503" s="39"/>
      <x:c r="E503" s="39" t="str">
        <x:f>IF(C503="","",C503-D503)</x:f>
      </x:c>
      <x:c r="F503" s="46"/>
      <x:c r="G503" s="46"/>
      <x:c r="H503" s="39"/>
      <x:c r="I503" s="39"/>
      <x:c r="J503" s="40"/>
      <x:c r="K503" s="40" t="str">
        <x:f>IFERROR(D503/C503,"")</x:f>
      </x:c>
    </x:row>
    <x:row r="504">
      <x:c r="A504" s="38" t="str"/>
      <x:c r="B504" s="38" t="str"/>
      <x:c r="C504" s="39"/>
      <x:c r="D504" s="39"/>
      <x:c r="E504" s="39" t="str">
        <x:f>IF(C504="","",C504-D504)</x:f>
      </x:c>
      <x:c r="F504" s="46"/>
      <x:c r="G504" s="46"/>
      <x:c r="H504" s="39"/>
      <x:c r="I504" s="39"/>
      <x:c r="J504" s="40"/>
      <x:c r="K504" s="40" t="str">
        <x:f>IFERROR(D504/C504,"")</x:f>
      </x:c>
    </x:row>
    <x:row r="505">
      <x:c r="A505" s="38" t="str"/>
      <x:c r="B505" s="38" t="str"/>
      <x:c r="C505" s="39"/>
      <x:c r="D505" s="39"/>
      <x:c r="E505" s="39" t="str">
        <x:f>IF(C505="","",C505-D505)</x:f>
      </x:c>
      <x:c r="F505" s="46"/>
      <x:c r="G505" s="46"/>
      <x:c r="H505" s="39"/>
      <x:c r="I505" s="39"/>
      <x:c r="J505" s="40"/>
      <x:c r="K505" s="40" t="str">
        <x:f>IFERROR(D505/C505,"")</x:f>
      </x:c>
    </x:row>
  </x:sheetData>
  <x:mergeCells>
    <x:mergeCell ref="A1:K1"/>
    <x:mergeCell ref="A2:K2"/>
  </x:mergeCells>
  <x:conditionalFormatting sqref="A6:K505">
    <x:cfRule type="expression" dxfId="5" priority="1">
      <x:formula>AND($K6&lt;&gt;"",$K6&gt;=0.8)</x:formula>
    </x:cfRule>
    <x:cfRule type="expression" dxfId="6" priority="2">
      <x:formula>AND($K6&gt;=0.5,$K6&lt;0.8)</x:formula>
    </x:cfRule>
    <x:cfRule type="expression" dxfId="7" priority="3">
      <x:formula>AND($K6&gt;=0.3,$K6&lt;0.5)</x:formula>
    </x:cfRule>
    <x:cfRule type="expression" dxfId="8" priority="4">
      <x:formula>AND($K6&lt;0.3,$K6&lt;&gt;"")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bf9f48806f48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.25" hidden="0" customWidth="1"/>
    <x:col min="3" max="3" width="14.380000114440918" hidden="0" customWidth="1"/>
    <x:col min="4" max="4" width="14.380000114440918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130000114440918" hidden="0" customWidth="1"/>
    <x:col min="10" max="10" width="12.5" hidden="0" customWidth="1"/>
    <x:col min="11" max="11" width="18.1299991607666" hidden="0" customWidth="1"/>
    <x:col min="12" max="12" width="15" hidden="0" customWidth="1"/>
  </x:cols>
  <x:sheetData>
    <x:row r="1" ht="28.5" customHeight="1">
      <x:c r="A1" s="34" t="str">
        <x:v>Control de Deudas y Cuotas</x:v>
      </x:c>
      <x:c r="B1" s="34" t="str">
        <x:v>Control de Deudas y Cuotas</x:v>
      </x:c>
      <x:c r="C1" s="34" t="str">
        <x:v>Control de Deudas y Cuotas</x:v>
      </x:c>
      <x:c r="D1" s="34" t="str">
        <x:v>Control de Deudas y Cuotas</x:v>
      </x:c>
      <x:c r="E1" s="34" t="str">
        <x:v>Control de Deudas y Cuotas</x:v>
      </x:c>
      <x:c r="F1" s="34" t="str">
        <x:v>Control de Deudas y Cuotas</x:v>
      </x:c>
      <x:c r="G1" s="34" t="str">
        <x:v>Control de Deudas y Cuotas</x:v>
      </x:c>
      <x:c r="H1" s="34" t="str">
        <x:v>Control de Deudas y Cuotas</x:v>
      </x:c>
      <x:c r="I1" s="34" t="str">
        <x:v>Control de Deudas y Cuotas</x:v>
      </x:c>
      <x:c r="J1" s="34" t="str">
        <x:v>Control de Deudas y Cuotas</x:v>
      </x:c>
      <x:c r="K1" s="34" t="str">
        <x:v>Control de Deudas y Cuotas</x:v>
      </x:c>
      <x:c r="L1" s="34" t="str">
        <x:v>Control de Deudas y Cuotas</x:v>
      </x:c>
    </x:row>
    <x:row r="2" ht="19.5" customHeight="1">
      <x:c r="A2" s="36" t="str">
        <x:v>Seguimiento de préstamos, cuotas, porcentaje cancelado y finalización estimada.</x:v>
      </x:c>
      <x:c r="B2" s="36" t="str">
        <x:v>Seguimiento de préstamos, cuotas, porcentaje cancelado y finalización estimada.</x:v>
      </x:c>
      <x:c r="C2" s="36" t="str">
        <x:v>Seguimiento de préstamos, cuotas, porcentaje cancelado y finalización estimada.</x:v>
      </x:c>
      <x:c r="D2" s="36" t="str">
        <x:v>Seguimiento de préstamos, cuotas, porcentaje cancelado y finalización estimada.</x:v>
      </x:c>
      <x:c r="E2" s="36" t="str">
        <x:v>Seguimiento de préstamos, cuotas, porcentaje cancelado y finalización estimada.</x:v>
      </x:c>
      <x:c r="F2" s="36" t="str">
        <x:v>Seguimiento de préstamos, cuotas, porcentaje cancelado y finalización estimada.</x:v>
      </x:c>
      <x:c r="G2" s="36" t="str">
        <x:v>Seguimiento de préstamos, cuotas, porcentaje cancelado y finalización estimada.</x:v>
      </x:c>
      <x:c r="H2" s="36" t="str">
        <x:v>Seguimiento de préstamos, cuotas, porcentaje cancelado y finalización estimada.</x:v>
      </x:c>
      <x:c r="I2" s="36" t="str">
        <x:v>Seguimiento de préstamos, cuotas, porcentaje cancelado y finalización estimada.</x:v>
      </x:c>
      <x:c r="J2" s="36" t="str">
        <x:v>Seguimiento de préstamos, cuotas, porcentaje cancelado y finalización estimada.</x:v>
      </x:c>
      <x:c r="K2" s="36" t="str">
        <x:v>Seguimiento de préstamos, cuotas, porcentaje cancelado y finalización estimada.</x:v>
      </x:c>
      <x:c r="L2" s="36" t="str">
        <x:v>Seguimiento de préstamos, cuotas, porcentaje cancelado y finalización estimada.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>
      <x:c r="A5" s="37" t="str">
        <x:v>Nombre de la deuda</x:v>
      </x:c>
      <x:c r="B5" s="37" t="str">
        <x:v>Acreedor</x:v>
      </x:c>
      <x:c r="C5" s="37" t="str">
        <x:v>Monto inicial</x:v>
      </x:c>
      <x:c r="D5" s="37" t="str">
        <x:v>Saldo pendiente</x:v>
      </x:c>
      <x:c r="E5" s="37" t="str">
        <x:v>Cuota mensual</x:v>
      </x:c>
      <x:c r="F5" s="37" t="str">
        <x:v>Fecha de pago</x:v>
      </x:c>
      <x:c r="G5" s="37" t="str">
        <x:v>Cuotas pagadas</x:v>
      </x:c>
      <x:c r="H5" s="37" t="str">
        <x:v>Cuotas restantes</x:v>
      </x:c>
      <x:c r="I5" s="37" t="str">
        <x:v>Tasa de interés</x:v>
      </x:c>
      <x:c r="J5" s="37" t="str">
        <x:v>% cancelado</x:v>
      </x:c>
      <x:c r="K5" s="37" t="str">
        <x:v>Fecha estimada finalización</x:v>
      </x:c>
      <x:c r="L5" s="37" t="str">
        <x:v>Progreso</x:v>
      </x:c>
    </x:row>
    <x:row r="6">
      <x:c r="A6" s="38" t="str">
        <x:v>Préstamo auto</x:v>
      </x:c>
      <x:c r="B6" s="38" t="str">
        <x:v>Financiera</x:v>
      </x:c>
      <x:c r="C6" s="39" t="n">
        <x:v>18000</x:v>
      </x:c>
      <x:c r="D6" s="39" t="n">
        <x:v>9600</x:v>
      </x:c>
      <x:c r="E6" s="39" t="n">
        <x:v>420</x:v>
      </x:c>
      <x:c r="F6" s="46" t="n">
        <x:v>46188</x:v>
      </x:c>
      <x:c r="G6" s="38" t="n">
        <x:v>20</x:v>
      </x:c>
      <x:c r="H6" s="38" t="n">
        <x:v>23</x:v>
      </x:c>
      <x:c r="I6" s="40" t="n">
        <x:v>0.075</x:v>
      </x:c>
      <x:c r="J6" s="40" t="n">
        <x:f>IFERROR((C6-D6)/C6,"")</x:f>
        <x:v>0.4666666666666667</x:v>
      </x:c>
      <x:c r="K6" s="46" t="n">
        <x:f>IF(OR(F6="",H6=""),"",EDATE(F6,H6))</x:f>
        <x:v>46888</x:v>
      </x:c>
      <x:c r="L6" s="40" t="n">
        <x:f>J6</x:f>
        <x:v>0.4666666666666667</x:v>
      </x:c>
    </x:row>
    <x:row r="7">
      <x:c r="A7" s="38" t="str">
        <x:v>Crédito personal</x:v>
      </x:c>
      <x:c r="B7" s="38" t="str">
        <x:v>Banco A</x:v>
      </x:c>
      <x:c r="C7" s="39" t="n">
        <x:v>6500</x:v>
      </x:c>
      <x:c r="D7" s="39" t="n">
        <x:v>4100</x:v>
      </x:c>
      <x:c r="E7" s="39" t="n">
        <x:v>260</x:v>
      </x:c>
      <x:c r="F7" s="46" t="n">
        <x:v>46201</x:v>
      </x:c>
      <x:c r="G7" s="38" t="n">
        <x:v>9</x:v>
      </x:c>
      <x:c r="H7" s="38" t="n">
        <x:v>16</x:v>
      </x:c>
      <x:c r="I7" s="40" t="n">
        <x:v>0.118</x:v>
      </x:c>
      <x:c r="J7" s="40" t="n">
        <x:f>IFERROR((C7-D7)/C7,"")</x:f>
        <x:v>0.36923076923076925</x:v>
      </x:c>
      <x:c r="K7" s="46" t="n">
        <x:f>IF(OR(F7="",H7=""),"",EDATE(F7,H7))</x:f>
        <x:v>46688</x:v>
      </x:c>
      <x:c r="L7" s="40" t="n">
        <x:f>J7</x:f>
        <x:v>0.36923076923076925</x:v>
      </x:c>
    </x:row>
    <x:row r="8">
      <x:c r="A8" s="38" t="str"/>
      <x:c r="B8" s="38" t="str"/>
      <x:c r="C8" s="39"/>
      <x:c r="D8" s="39"/>
      <x:c r="E8" s="39"/>
      <x:c r="F8" s="46"/>
      <x:c r="G8" s="38"/>
      <x:c r="H8" s="38"/>
      <x:c r="I8" s="40"/>
      <x:c r="J8" s="40" t="str">
        <x:f>IFERROR((C8-D8)/C8,"")</x:f>
      </x:c>
      <x:c r="K8" s="46" t="str">
        <x:f>IF(OR(F8="",H8=""),"",EDATE(F8,H8))</x:f>
      </x:c>
      <x:c r="L8" s="40" t="str">
        <x:f>J8</x:f>
      </x:c>
    </x:row>
    <x:row r="9">
      <x:c r="A9" s="38" t="str"/>
      <x:c r="B9" s="38" t="str"/>
      <x:c r="C9" s="39"/>
      <x:c r="D9" s="39"/>
      <x:c r="E9" s="39"/>
      <x:c r="F9" s="46"/>
      <x:c r="G9" s="38"/>
      <x:c r="H9" s="38"/>
      <x:c r="I9" s="40"/>
      <x:c r="J9" s="40" t="str">
        <x:f>IFERROR((C9-D9)/C9,"")</x:f>
      </x:c>
      <x:c r="K9" s="46" t="str">
        <x:f>IF(OR(F9="",H9=""),"",EDATE(F9,H9))</x:f>
      </x:c>
      <x:c r="L9" s="40" t="str">
        <x:f>J9</x:f>
      </x:c>
    </x:row>
    <x:row r="10">
      <x:c r="A10" s="38" t="str"/>
      <x:c r="B10" s="38" t="str"/>
      <x:c r="C10" s="39"/>
      <x:c r="D10" s="39"/>
      <x:c r="E10" s="39"/>
      <x:c r="F10" s="46"/>
      <x:c r="G10" s="38"/>
      <x:c r="H10" s="38"/>
      <x:c r="I10" s="40"/>
      <x:c r="J10" s="40" t="str">
        <x:f>IFERROR((C10-D10)/C10,"")</x:f>
      </x:c>
      <x:c r="K10" s="46" t="str">
        <x:f>IF(OR(F10="",H10=""),"",EDATE(F10,H10))</x:f>
      </x:c>
      <x:c r="L10" s="40" t="str">
        <x:f>J10</x:f>
      </x:c>
    </x:row>
    <x:row r="11">
      <x:c r="A11" s="38" t="str"/>
      <x:c r="B11" s="38" t="str"/>
      <x:c r="C11" s="39"/>
      <x:c r="D11" s="39"/>
      <x:c r="E11" s="39"/>
      <x:c r="F11" s="46"/>
      <x:c r="G11" s="38"/>
      <x:c r="H11" s="38"/>
      <x:c r="I11" s="40"/>
      <x:c r="J11" s="40" t="str">
        <x:f>IFERROR((C11-D11)/C11,"")</x:f>
      </x:c>
      <x:c r="K11" s="46" t="str">
        <x:f>IF(OR(F11="",H11=""),"",EDATE(F11,H11))</x:f>
      </x:c>
      <x:c r="L11" s="40" t="str">
        <x:f>J11</x:f>
      </x:c>
    </x:row>
    <x:row r="12">
      <x:c r="A12" s="38" t="str"/>
      <x:c r="B12" s="38" t="str"/>
      <x:c r="C12" s="39"/>
      <x:c r="D12" s="39"/>
      <x:c r="E12" s="39"/>
      <x:c r="F12" s="46"/>
      <x:c r="G12" s="38"/>
      <x:c r="H12" s="38"/>
      <x:c r="I12" s="40"/>
      <x:c r="J12" s="40" t="str">
        <x:f>IFERROR((C12-D12)/C12,"")</x:f>
      </x:c>
      <x:c r="K12" s="46" t="str">
        <x:f>IF(OR(F12="",H12=""),"",EDATE(F12,H12))</x:f>
      </x:c>
      <x:c r="L12" s="40" t="str">
        <x:f>J12</x:f>
      </x:c>
    </x:row>
    <x:row r="13">
      <x:c r="A13" s="38" t="str"/>
      <x:c r="B13" s="38" t="str"/>
      <x:c r="C13" s="39"/>
      <x:c r="D13" s="39"/>
      <x:c r="E13" s="39"/>
      <x:c r="F13" s="46"/>
      <x:c r="G13" s="38"/>
      <x:c r="H13" s="38"/>
      <x:c r="I13" s="40"/>
      <x:c r="J13" s="40" t="str">
        <x:f>IFERROR((C13-D13)/C13,"")</x:f>
      </x:c>
      <x:c r="K13" s="46" t="str">
        <x:f>IF(OR(F13="",H13=""),"",EDATE(F13,H13))</x:f>
      </x:c>
      <x:c r="L13" s="40" t="str">
        <x:f>J13</x:f>
      </x:c>
    </x:row>
    <x:row r="14">
      <x:c r="A14" s="38" t="str"/>
      <x:c r="B14" s="38" t="str"/>
      <x:c r="C14" s="39"/>
      <x:c r="D14" s="39"/>
      <x:c r="E14" s="39"/>
      <x:c r="F14" s="46"/>
      <x:c r="G14" s="38"/>
      <x:c r="H14" s="38"/>
      <x:c r="I14" s="40"/>
      <x:c r="J14" s="40" t="str">
        <x:f>IFERROR((C14-D14)/C14,"")</x:f>
      </x:c>
      <x:c r="K14" s="46" t="str">
        <x:f>IF(OR(F14="",H14=""),"",EDATE(F14,H14))</x:f>
      </x:c>
      <x:c r="L14" s="40" t="str">
        <x:f>J14</x:f>
      </x:c>
    </x:row>
    <x:row r="15">
      <x:c r="A15" s="38" t="str"/>
      <x:c r="B15" s="38" t="str"/>
      <x:c r="C15" s="39"/>
      <x:c r="D15" s="39"/>
      <x:c r="E15" s="39"/>
      <x:c r="F15" s="46"/>
      <x:c r="G15" s="38"/>
      <x:c r="H15" s="38"/>
      <x:c r="I15" s="40"/>
      <x:c r="J15" s="40" t="str">
        <x:f>IFERROR((C15-D15)/C15,"")</x:f>
      </x:c>
      <x:c r="K15" s="46" t="str">
        <x:f>IF(OR(F15="",H15=""),"",EDATE(F15,H15))</x:f>
      </x:c>
      <x:c r="L15" s="40" t="str">
        <x:f>J15</x:f>
      </x:c>
    </x:row>
    <x:row r="16">
      <x:c r="A16" s="38" t="str"/>
      <x:c r="B16" s="38" t="str"/>
      <x:c r="C16" s="39"/>
      <x:c r="D16" s="39"/>
      <x:c r="E16" s="39"/>
      <x:c r="F16" s="46"/>
      <x:c r="G16" s="38"/>
      <x:c r="H16" s="38"/>
      <x:c r="I16" s="40"/>
      <x:c r="J16" s="40" t="str">
        <x:f>IFERROR((C16-D16)/C16,"")</x:f>
      </x:c>
      <x:c r="K16" s="46" t="str">
        <x:f>IF(OR(F16="",H16=""),"",EDATE(F16,H16))</x:f>
      </x:c>
      <x:c r="L16" s="40" t="str">
        <x:f>J16</x:f>
      </x:c>
    </x:row>
    <x:row r="17">
      <x:c r="A17" s="38" t="str"/>
      <x:c r="B17" s="38" t="str"/>
      <x:c r="C17" s="39"/>
      <x:c r="D17" s="39"/>
      <x:c r="E17" s="39"/>
      <x:c r="F17" s="46"/>
      <x:c r="G17" s="38"/>
      <x:c r="H17" s="38"/>
      <x:c r="I17" s="40"/>
      <x:c r="J17" s="40" t="str">
        <x:f>IFERROR((C17-D17)/C17,"")</x:f>
      </x:c>
      <x:c r="K17" s="46" t="str">
        <x:f>IF(OR(F17="",H17=""),"",EDATE(F17,H17))</x:f>
      </x:c>
      <x:c r="L17" s="40" t="str">
        <x:f>J17</x:f>
      </x:c>
    </x:row>
    <x:row r="18">
      <x:c r="A18" s="38" t="str"/>
      <x:c r="B18" s="38" t="str"/>
      <x:c r="C18" s="39"/>
      <x:c r="D18" s="39"/>
      <x:c r="E18" s="39"/>
      <x:c r="F18" s="46"/>
      <x:c r="G18" s="38"/>
      <x:c r="H18" s="38"/>
      <x:c r="I18" s="40"/>
      <x:c r="J18" s="40" t="str">
        <x:f>IFERROR((C18-D18)/C18,"")</x:f>
      </x:c>
      <x:c r="K18" s="46" t="str">
        <x:f>IF(OR(F18="",H18=""),"",EDATE(F18,H18))</x:f>
      </x:c>
      <x:c r="L18" s="40" t="str">
        <x:f>J18</x:f>
      </x:c>
    </x:row>
    <x:row r="19">
      <x:c r="A19" s="38" t="str"/>
      <x:c r="B19" s="38" t="str"/>
      <x:c r="C19" s="39"/>
      <x:c r="D19" s="39"/>
      <x:c r="E19" s="39"/>
      <x:c r="F19" s="46"/>
      <x:c r="G19" s="38"/>
      <x:c r="H19" s="38"/>
      <x:c r="I19" s="40"/>
      <x:c r="J19" s="40" t="str">
        <x:f>IFERROR((C19-D19)/C19,"")</x:f>
      </x:c>
      <x:c r="K19" s="46" t="str">
        <x:f>IF(OR(F19="",H19=""),"",EDATE(F19,H19))</x:f>
      </x:c>
      <x:c r="L19" s="40" t="str">
        <x:f>J19</x:f>
      </x:c>
    </x:row>
    <x:row r="20">
      <x:c r="A20" s="38" t="str"/>
      <x:c r="B20" s="38" t="str"/>
      <x:c r="C20" s="39"/>
      <x:c r="D20" s="39"/>
      <x:c r="E20" s="39"/>
      <x:c r="F20" s="46"/>
      <x:c r="G20" s="38"/>
      <x:c r="H20" s="38"/>
      <x:c r="I20" s="40"/>
      <x:c r="J20" s="40" t="str">
        <x:f>IFERROR((C20-D20)/C20,"")</x:f>
      </x:c>
      <x:c r="K20" s="46" t="str">
        <x:f>IF(OR(F20="",H20=""),"",EDATE(F20,H20))</x:f>
      </x:c>
      <x:c r="L20" s="40" t="str">
        <x:f>J20</x:f>
      </x:c>
    </x:row>
    <x:row r="21">
      <x:c r="A21" s="38" t="str"/>
      <x:c r="B21" s="38" t="str"/>
      <x:c r="C21" s="39"/>
      <x:c r="D21" s="39"/>
      <x:c r="E21" s="39"/>
      <x:c r="F21" s="46"/>
      <x:c r="G21" s="38"/>
      <x:c r="H21" s="38"/>
      <x:c r="I21" s="40"/>
      <x:c r="J21" s="40" t="str">
        <x:f>IFERROR((C21-D21)/C21,"")</x:f>
      </x:c>
      <x:c r="K21" s="46" t="str">
        <x:f>IF(OR(F21="",H21=""),"",EDATE(F21,H21))</x:f>
      </x:c>
      <x:c r="L21" s="40" t="str">
        <x:f>J21</x:f>
      </x:c>
    </x:row>
    <x:row r="22">
      <x:c r="A22" s="38" t="str"/>
      <x:c r="B22" s="38" t="str"/>
      <x:c r="C22" s="39"/>
      <x:c r="D22" s="39"/>
      <x:c r="E22" s="39"/>
      <x:c r="F22" s="46"/>
      <x:c r="G22" s="38"/>
      <x:c r="H22" s="38"/>
      <x:c r="I22" s="40"/>
      <x:c r="J22" s="40" t="str">
        <x:f>IFERROR((C22-D22)/C22,"")</x:f>
      </x:c>
      <x:c r="K22" s="46" t="str">
        <x:f>IF(OR(F22="",H22=""),"",EDATE(F22,H22))</x:f>
      </x:c>
      <x:c r="L22" s="40" t="str">
        <x:f>J22</x:f>
      </x:c>
    </x:row>
    <x:row r="23">
      <x:c r="A23" s="38" t="str"/>
      <x:c r="B23" s="38" t="str"/>
      <x:c r="C23" s="39"/>
      <x:c r="D23" s="39"/>
      <x:c r="E23" s="39"/>
      <x:c r="F23" s="46"/>
      <x:c r="G23" s="38"/>
      <x:c r="H23" s="38"/>
      <x:c r="I23" s="40"/>
      <x:c r="J23" s="40" t="str">
        <x:f>IFERROR((C23-D23)/C23,"")</x:f>
      </x:c>
      <x:c r="K23" s="46" t="str">
        <x:f>IF(OR(F23="",H23=""),"",EDATE(F23,H23))</x:f>
      </x:c>
      <x:c r="L23" s="40" t="str">
        <x:f>J23</x:f>
      </x:c>
    </x:row>
    <x:row r="24">
      <x:c r="A24" s="38" t="str"/>
      <x:c r="B24" s="38" t="str"/>
      <x:c r="C24" s="39"/>
      <x:c r="D24" s="39"/>
      <x:c r="E24" s="39"/>
      <x:c r="F24" s="46"/>
      <x:c r="G24" s="38"/>
      <x:c r="H24" s="38"/>
      <x:c r="I24" s="40"/>
      <x:c r="J24" s="40" t="str">
        <x:f>IFERROR((C24-D24)/C24,"")</x:f>
      </x:c>
      <x:c r="K24" s="46" t="str">
        <x:f>IF(OR(F24="",H24=""),"",EDATE(F24,H24))</x:f>
      </x:c>
      <x:c r="L24" s="40" t="str">
        <x:f>J24</x:f>
      </x:c>
    </x:row>
    <x:row r="25">
      <x:c r="A25" s="38" t="str"/>
      <x:c r="B25" s="38" t="str"/>
      <x:c r="C25" s="39"/>
      <x:c r="D25" s="39"/>
      <x:c r="E25" s="39"/>
      <x:c r="F25" s="46"/>
      <x:c r="G25" s="38"/>
      <x:c r="H25" s="38"/>
      <x:c r="I25" s="40"/>
      <x:c r="J25" s="40" t="str">
        <x:f>IFERROR((C25-D25)/C25,"")</x:f>
      </x:c>
      <x:c r="K25" s="46" t="str">
        <x:f>IF(OR(F25="",H25=""),"",EDATE(F25,H25))</x:f>
      </x:c>
      <x:c r="L25" s="40" t="str">
        <x:f>J25</x:f>
      </x:c>
    </x:row>
    <x:row r="26">
      <x:c r="A26" s="38" t="str"/>
      <x:c r="B26" s="38" t="str"/>
      <x:c r="C26" s="39"/>
      <x:c r="D26" s="39"/>
      <x:c r="E26" s="39"/>
      <x:c r="F26" s="46"/>
      <x:c r="G26" s="38"/>
      <x:c r="H26" s="38"/>
      <x:c r="I26" s="40"/>
      <x:c r="J26" s="40" t="str">
        <x:f>IFERROR((C26-D26)/C26,"")</x:f>
      </x:c>
      <x:c r="K26" s="46" t="str">
        <x:f>IF(OR(F26="",H26=""),"",EDATE(F26,H26))</x:f>
      </x:c>
      <x:c r="L26" s="40" t="str">
        <x:f>J26</x:f>
      </x:c>
    </x:row>
    <x:row r="27">
      <x:c r="A27" s="38" t="str"/>
      <x:c r="B27" s="38" t="str"/>
      <x:c r="C27" s="39"/>
      <x:c r="D27" s="39"/>
      <x:c r="E27" s="39"/>
      <x:c r="F27" s="46"/>
      <x:c r="G27" s="38"/>
      <x:c r="H27" s="38"/>
      <x:c r="I27" s="40"/>
      <x:c r="J27" s="40" t="str">
        <x:f>IFERROR((C27-D27)/C27,"")</x:f>
      </x:c>
      <x:c r="K27" s="46" t="str">
        <x:f>IF(OR(F27="",H27=""),"",EDATE(F27,H27))</x:f>
      </x:c>
      <x:c r="L27" s="40" t="str">
        <x:f>J27</x:f>
      </x:c>
    </x:row>
    <x:row r="28">
      <x:c r="A28" s="38" t="str"/>
      <x:c r="B28" s="38" t="str"/>
      <x:c r="C28" s="39"/>
      <x:c r="D28" s="39"/>
      <x:c r="E28" s="39"/>
      <x:c r="F28" s="46"/>
      <x:c r="G28" s="38"/>
      <x:c r="H28" s="38"/>
      <x:c r="I28" s="40"/>
      <x:c r="J28" s="40" t="str">
        <x:f>IFERROR((C28-D28)/C28,"")</x:f>
      </x:c>
      <x:c r="K28" s="46" t="str">
        <x:f>IF(OR(F28="",H28=""),"",EDATE(F28,H28))</x:f>
      </x:c>
      <x:c r="L28" s="40" t="str">
        <x:f>J28</x:f>
      </x:c>
    </x:row>
    <x:row r="29">
      <x:c r="A29" s="38" t="str"/>
      <x:c r="B29" s="38" t="str"/>
      <x:c r="C29" s="39"/>
      <x:c r="D29" s="39"/>
      <x:c r="E29" s="39"/>
      <x:c r="F29" s="46"/>
      <x:c r="G29" s="38"/>
      <x:c r="H29" s="38"/>
      <x:c r="I29" s="40"/>
      <x:c r="J29" s="40" t="str">
        <x:f>IFERROR((C29-D29)/C29,"")</x:f>
      </x:c>
      <x:c r="K29" s="46" t="str">
        <x:f>IF(OR(F29="",H29=""),"",EDATE(F29,H29))</x:f>
      </x:c>
      <x:c r="L29" s="40" t="str">
        <x:f>J29</x:f>
      </x:c>
    </x:row>
    <x:row r="30">
      <x:c r="A30" s="38" t="str"/>
      <x:c r="B30" s="38" t="str"/>
      <x:c r="C30" s="39"/>
      <x:c r="D30" s="39"/>
      <x:c r="E30" s="39"/>
      <x:c r="F30" s="46"/>
      <x:c r="G30" s="38"/>
      <x:c r="H30" s="38"/>
      <x:c r="I30" s="40"/>
      <x:c r="J30" s="40" t="str">
        <x:f>IFERROR((C30-D30)/C30,"")</x:f>
      </x:c>
      <x:c r="K30" s="46" t="str">
        <x:f>IF(OR(F30="",H30=""),"",EDATE(F30,H30))</x:f>
      </x:c>
      <x:c r="L30" s="40" t="str">
        <x:f>J30</x:f>
      </x:c>
    </x:row>
    <x:row r="31">
      <x:c r="A31" s="38" t="str"/>
      <x:c r="B31" s="38" t="str"/>
      <x:c r="C31" s="39"/>
      <x:c r="D31" s="39"/>
      <x:c r="E31" s="39"/>
      <x:c r="F31" s="46"/>
      <x:c r="G31" s="38"/>
      <x:c r="H31" s="38"/>
      <x:c r="I31" s="40"/>
      <x:c r="J31" s="40" t="str">
        <x:f>IFERROR((C31-D31)/C31,"")</x:f>
      </x:c>
      <x:c r="K31" s="46" t="str">
        <x:f>IF(OR(F31="",H31=""),"",EDATE(F31,H31))</x:f>
      </x:c>
      <x:c r="L31" s="40" t="str">
        <x:f>J31</x:f>
      </x:c>
    </x:row>
    <x:row r="32">
      <x:c r="A32" s="38" t="str"/>
      <x:c r="B32" s="38" t="str"/>
      <x:c r="C32" s="39"/>
      <x:c r="D32" s="39"/>
      <x:c r="E32" s="39"/>
      <x:c r="F32" s="46"/>
      <x:c r="G32" s="38"/>
      <x:c r="H32" s="38"/>
      <x:c r="I32" s="40"/>
      <x:c r="J32" s="40" t="str">
        <x:f>IFERROR((C32-D32)/C32,"")</x:f>
      </x:c>
      <x:c r="K32" s="46" t="str">
        <x:f>IF(OR(F32="",H32=""),"",EDATE(F32,H32))</x:f>
      </x:c>
      <x:c r="L32" s="40" t="str">
        <x:f>J32</x:f>
      </x:c>
    </x:row>
    <x:row r="33">
      <x:c r="A33" s="38" t="str"/>
      <x:c r="B33" s="38" t="str"/>
      <x:c r="C33" s="39"/>
      <x:c r="D33" s="39"/>
      <x:c r="E33" s="39"/>
      <x:c r="F33" s="46"/>
      <x:c r="G33" s="38"/>
      <x:c r="H33" s="38"/>
      <x:c r="I33" s="40"/>
      <x:c r="J33" s="40" t="str">
        <x:f>IFERROR((C33-D33)/C33,"")</x:f>
      </x:c>
      <x:c r="K33" s="46" t="str">
        <x:f>IF(OR(F33="",H33=""),"",EDATE(F33,H33))</x:f>
      </x:c>
      <x:c r="L33" s="40" t="str">
        <x:f>J33</x:f>
      </x:c>
    </x:row>
    <x:row r="34">
      <x:c r="A34" s="38" t="str"/>
      <x:c r="B34" s="38" t="str"/>
      <x:c r="C34" s="39"/>
      <x:c r="D34" s="39"/>
      <x:c r="E34" s="39"/>
      <x:c r="F34" s="46"/>
      <x:c r="G34" s="38"/>
      <x:c r="H34" s="38"/>
      <x:c r="I34" s="40"/>
      <x:c r="J34" s="40" t="str">
        <x:f>IFERROR((C34-D34)/C34,"")</x:f>
      </x:c>
      <x:c r="K34" s="46" t="str">
        <x:f>IF(OR(F34="",H34=""),"",EDATE(F34,H34))</x:f>
      </x:c>
      <x:c r="L34" s="40" t="str">
        <x:f>J34</x:f>
      </x:c>
    </x:row>
    <x:row r="35">
      <x:c r="A35" s="38" t="str"/>
      <x:c r="B35" s="38" t="str"/>
      <x:c r="C35" s="39"/>
      <x:c r="D35" s="39"/>
      <x:c r="E35" s="39"/>
      <x:c r="F35" s="46"/>
      <x:c r="G35" s="38"/>
      <x:c r="H35" s="38"/>
      <x:c r="I35" s="40"/>
      <x:c r="J35" s="40" t="str">
        <x:f>IFERROR((C35-D35)/C35,"")</x:f>
      </x:c>
      <x:c r="K35" s="46" t="str">
        <x:f>IF(OR(F35="",H35=""),"",EDATE(F35,H35))</x:f>
      </x:c>
      <x:c r="L35" s="40" t="str">
        <x:f>J35</x:f>
      </x:c>
    </x:row>
    <x:row r="36">
      <x:c r="A36" s="38" t="str"/>
      <x:c r="B36" s="38" t="str"/>
      <x:c r="C36" s="39"/>
      <x:c r="D36" s="39"/>
      <x:c r="E36" s="39"/>
      <x:c r="F36" s="46"/>
      <x:c r="G36" s="38"/>
      <x:c r="H36" s="38"/>
      <x:c r="I36" s="40"/>
      <x:c r="J36" s="40" t="str">
        <x:f>IFERROR((C36-D36)/C36,"")</x:f>
      </x:c>
      <x:c r="K36" s="46" t="str">
        <x:f>IF(OR(F36="",H36=""),"",EDATE(F36,H36))</x:f>
      </x:c>
      <x:c r="L36" s="40" t="str">
        <x:f>J36</x:f>
      </x:c>
    </x:row>
    <x:row r="37">
      <x:c r="A37" s="38" t="str"/>
      <x:c r="B37" s="38" t="str"/>
      <x:c r="C37" s="39"/>
      <x:c r="D37" s="39"/>
      <x:c r="E37" s="39"/>
      <x:c r="F37" s="46"/>
      <x:c r="G37" s="38"/>
      <x:c r="H37" s="38"/>
      <x:c r="I37" s="40"/>
      <x:c r="J37" s="40" t="str">
        <x:f>IFERROR((C37-D37)/C37,"")</x:f>
      </x:c>
      <x:c r="K37" s="46" t="str">
        <x:f>IF(OR(F37="",H37=""),"",EDATE(F37,H37))</x:f>
      </x:c>
      <x:c r="L37" s="40" t="str">
        <x:f>J37</x:f>
      </x:c>
    </x:row>
    <x:row r="38">
      <x:c r="A38" s="38" t="str"/>
      <x:c r="B38" s="38" t="str"/>
      <x:c r="C38" s="39"/>
      <x:c r="D38" s="39"/>
      <x:c r="E38" s="39"/>
      <x:c r="F38" s="46"/>
      <x:c r="G38" s="38"/>
      <x:c r="H38" s="38"/>
      <x:c r="I38" s="40"/>
      <x:c r="J38" s="40" t="str">
        <x:f>IFERROR((C38-D38)/C38,"")</x:f>
      </x:c>
      <x:c r="K38" s="46" t="str">
        <x:f>IF(OR(F38="",H38=""),"",EDATE(F38,H38))</x:f>
      </x:c>
      <x:c r="L38" s="40" t="str">
        <x:f>J38</x:f>
      </x:c>
    </x:row>
    <x:row r="39">
      <x:c r="A39" s="38" t="str"/>
      <x:c r="B39" s="38" t="str"/>
      <x:c r="C39" s="39"/>
      <x:c r="D39" s="39"/>
      <x:c r="E39" s="39"/>
      <x:c r="F39" s="46"/>
      <x:c r="G39" s="38"/>
      <x:c r="H39" s="38"/>
      <x:c r="I39" s="40"/>
      <x:c r="J39" s="40" t="str">
        <x:f>IFERROR((C39-D39)/C39,"")</x:f>
      </x:c>
      <x:c r="K39" s="46" t="str">
        <x:f>IF(OR(F39="",H39=""),"",EDATE(F39,H39))</x:f>
      </x:c>
      <x:c r="L39" s="40" t="str">
        <x:f>J39</x:f>
      </x:c>
    </x:row>
    <x:row r="40">
      <x:c r="A40" s="38" t="str"/>
      <x:c r="B40" s="38" t="str"/>
      <x:c r="C40" s="39"/>
      <x:c r="D40" s="39"/>
      <x:c r="E40" s="39"/>
      <x:c r="F40" s="46"/>
      <x:c r="G40" s="38"/>
      <x:c r="H40" s="38"/>
      <x:c r="I40" s="40"/>
      <x:c r="J40" s="40" t="str">
        <x:f>IFERROR((C40-D40)/C40,"")</x:f>
      </x:c>
      <x:c r="K40" s="46" t="str">
        <x:f>IF(OR(F40="",H40=""),"",EDATE(F40,H40))</x:f>
      </x:c>
      <x:c r="L40" s="40" t="str">
        <x:f>J40</x:f>
      </x:c>
    </x:row>
    <x:row r="41">
      <x:c r="A41" s="38" t="str"/>
      <x:c r="B41" s="38" t="str"/>
      <x:c r="C41" s="39"/>
      <x:c r="D41" s="39"/>
      <x:c r="E41" s="39"/>
      <x:c r="F41" s="46"/>
      <x:c r="G41" s="38"/>
      <x:c r="H41" s="38"/>
      <x:c r="I41" s="40"/>
      <x:c r="J41" s="40" t="str">
        <x:f>IFERROR((C41-D41)/C41,"")</x:f>
      </x:c>
      <x:c r="K41" s="46" t="str">
        <x:f>IF(OR(F41="",H41=""),"",EDATE(F41,H41))</x:f>
      </x:c>
      <x:c r="L41" s="40" t="str">
        <x:f>J41</x:f>
      </x:c>
    </x:row>
    <x:row r="42">
      <x:c r="A42" s="38" t="str"/>
      <x:c r="B42" s="38" t="str"/>
      <x:c r="C42" s="39"/>
      <x:c r="D42" s="39"/>
      <x:c r="E42" s="39"/>
      <x:c r="F42" s="46"/>
      <x:c r="G42" s="38"/>
      <x:c r="H42" s="38"/>
      <x:c r="I42" s="40"/>
      <x:c r="J42" s="40" t="str">
        <x:f>IFERROR((C42-D42)/C42,"")</x:f>
      </x:c>
      <x:c r="K42" s="46" t="str">
        <x:f>IF(OR(F42="",H42=""),"",EDATE(F42,H42))</x:f>
      </x:c>
      <x:c r="L42" s="40" t="str">
        <x:f>J42</x:f>
      </x:c>
    </x:row>
    <x:row r="43">
      <x:c r="A43" s="38" t="str"/>
      <x:c r="B43" s="38" t="str"/>
      <x:c r="C43" s="39"/>
      <x:c r="D43" s="39"/>
      <x:c r="E43" s="39"/>
      <x:c r="F43" s="46"/>
      <x:c r="G43" s="38"/>
      <x:c r="H43" s="38"/>
      <x:c r="I43" s="40"/>
      <x:c r="J43" s="40" t="str">
        <x:f>IFERROR((C43-D43)/C43,"")</x:f>
      </x:c>
      <x:c r="K43" s="46" t="str">
        <x:f>IF(OR(F43="",H43=""),"",EDATE(F43,H43))</x:f>
      </x:c>
      <x:c r="L43" s="40" t="str">
        <x:f>J43</x:f>
      </x:c>
    </x:row>
    <x:row r="44">
      <x:c r="A44" s="38" t="str"/>
      <x:c r="B44" s="38" t="str"/>
      <x:c r="C44" s="39"/>
      <x:c r="D44" s="39"/>
      <x:c r="E44" s="39"/>
      <x:c r="F44" s="46"/>
      <x:c r="G44" s="38"/>
      <x:c r="H44" s="38"/>
      <x:c r="I44" s="40"/>
      <x:c r="J44" s="40" t="str">
        <x:f>IFERROR((C44-D44)/C44,"")</x:f>
      </x:c>
      <x:c r="K44" s="46" t="str">
        <x:f>IF(OR(F44="",H44=""),"",EDATE(F44,H44))</x:f>
      </x:c>
      <x:c r="L44" s="40" t="str">
        <x:f>J44</x:f>
      </x:c>
    </x:row>
    <x:row r="45">
      <x:c r="A45" s="38" t="str"/>
      <x:c r="B45" s="38" t="str"/>
      <x:c r="C45" s="39"/>
      <x:c r="D45" s="39"/>
      <x:c r="E45" s="39"/>
      <x:c r="F45" s="46"/>
      <x:c r="G45" s="38"/>
      <x:c r="H45" s="38"/>
      <x:c r="I45" s="40"/>
      <x:c r="J45" s="40" t="str">
        <x:f>IFERROR((C45-D45)/C45,"")</x:f>
      </x:c>
      <x:c r="K45" s="46" t="str">
        <x:f>IF(OR(F45="",H45=""),"",EDATE(F45,H45))</x:f>
      </x:c>
      <x:c r="L45" s="40" t="str">
        <x:f>J45</x:f>
      </x:c>
    </x:row>
    <x:row r="46">
      <x:c r="A46" s="38" t="str"/>
      <x:c r="B46" s="38" t="str"/>
      <x:c r="C46" s="39"/>
      <x:c r="D46" s="39"/>
      <x:c r="E46" s="39"/>
      <x:c r="F46" s="46"/>
      <x:c r="G46" s="38"/>
      <x:c r="H46" s="38"/>
      <x:c r="I46" s="40"/>
      <x:c r="J46" s="40" t="str">
        <x:f>IFERROR((C46-D46)/C46,"")</x:f>
      </x:c>
      <x:c r="K46" s="46" t="str">
        <x:f>IF(OR(F46="",H46=""),"",EDATE(F46,H46))</x:f>
      </x:c>
      <x:c r="L46" s="40" t="str">
        <x:f>J46</x:f>
      </x:c>
    </x:row>
    <x:row r="47">
      <x:c r="A47" s="38" t="str"/>
      <x:c r="B47" s="38" t="str"/>
      <x:c r="C47" s="39"/>
      <x:c r="D47" s="39"/>
      <x:c r="E47" s="39"/>
      <x:c r="F47" s="46"/>
      <x:c r="G47" s="38"/>
      <x:c r="H47" s="38"/>
      <x:c r="I47" s="40"/>
      <x:c r="J47" s="40" t="str">
        <x:f>IFERROR((C47-D47)/C47,"")</x:f>
      </x:c>
      <x:c r="K47" s="46" t="str">
        <x:f>IF(OR(F47="",H47=""),"",EDATE(F47,H47))</x:f>
      </x:c>
      <x:c r="L47" s="40" t="str">
        <x:f>J47</x:f>
      </x:c>
    </x:row>
    <x:row r="48">
      <x:c r="A48" s="38" t="str"/>
      <x:c r="B48" s="38" t="str"/>
      <x:c r="C48" s="39"/>
      <x:c r="D48" s="39"/>
      <x:c r="E48" s="39"/>
      <x:c r="F48" s="46"/>
      <x:c r="G48" s="38"/>
      <x:c r="H48" s="38"/>
      <x:c r="I48" s="40"/>
      <x:c r="J48" s="40" t="str">
        <x:f>IFERROR((C48-D48)/C48,"")</x:f>
      </x:c>
      <x:c r="K48" s="46" t="str">
        <x:f>IF(OR(F48="",H48=""),"",EDATE(F48,H48))</x:f>
      </x:c>
      <x:c r="L48" s="40" t="str">
        <x:f>J48</x:f>
      </x:c>
    </x:row>
    <x:row r="49">
      <x:c r="A49" s="38" t="str"/>
      <x:c r="B49" s="38" t="str"/>
      <x:c r="C49" s="39"/>
      <x:c r="D49" s="39"/>
      <x:c r="E49" s="39"/>
      <x:c r="F49" s="46"/>
      <x:c r="G49" s="38"/>
      <x:c r="H49" s="38"/>
      <x:c r="I49" s="40"/>
      <x:c r="J49" s="40" t="str">
        <x:f>IFERROR((C49-D49)/C49,"")</x:f>
      </x:c>
      <x:c r="K49" s="46" t="str">
        <x:f>IF(OR(F49="",H49=""),"",EDATE(F49,H49))</x:f>
      </x:c>
      <x:c r="L49" s="40" t="str">
        <x:f>J49</x:f>
      </x:c>
    </x:row>
    <x:row r="50">
      <x:c r="A50" s="38" t="str"/>
      <x:c r="B50" s="38" t="str"/>
      <x:c r="C50" s="39"/>
      <x:c r="D50" s="39"/>
      <x:c r="E50" s="39"/>
      <x:c r="F50" s="46"/>
      <x:c r="G50" s="38"/>
      <x:c r="H50" s="38"/>
      <x:c r="I50" s="40"/>
      <x:c r="J50" s="40" t="str">
        <x:f>IFERROR((C50-D50)/C50,"")</x:f>
      </x:c>
      <x:c r="K50" s="46" t="str">
        <x:f>IF(OR(F50="",H50=""),"",EDATE(F50,H50))</x:f>
      </x:c>
      <x:c r="L50" s="40" t="str">
        <x:f>J50</x:f>
      </x:c>
    </x:row>
    <x:row r="51">
      <x:c r="A51" s="38" t="str"/>
      <x:c r="B51" s="38" t="str"/>
      <x:c r="C51" s="39"/>
      <x:c r="D51" s="39"/>
      <x:c r="E51" s="39"/>
      <x:c r="F51" s="46"/>
      <x:c r="G51" s="38"/>
      <x:c r="H51" s="38"/>
      <x:c r="I51" s="40"/>
      <x:c r="J51" s="40" t="str">
        <x:f>IFERROR((C51-D51)/C51,"")</x:f>
      </x:c>
      <x:c r="K51" s="46" t="str">
        <x:f>IF(OR(F51="",H51=""),"",EDATE(F51,H51))</x:f>
      </x:c>
      <x:c r="L51" s="40" t="str">
        <x:f>J51</x:f>
      </x:c>
    </x:row>
    <x:row r="52">
      <x:c r="A52" s="38" t="str"/>
      <x:c r="B52" s="38" t="str"/>
      <x:c r="C52" s="39"/>
      <x:c r="D52" s="39"/>
      <x:c r="E52" s="39"/>
      <x:c r="F52" s="46"/>
      <x:c r="G52" s="38"/>
      <x:c r="H52" s="38"/>
      <x:c r="I52" s="40"/>
      <x:c r="J52" s="40" t="str">
        <x:f>IFERROR((C52-D52)/C52,"")</x:f>
      </x:c>
      <x:c r="K52" s="46" t="str">
        <x:f>IF(OR(F52="",H52=""),"",EDATE(F52,H52))</x:f>
      </x:c>
      <x:c r="L52" s="40" t="str">
        <x:f>J52</x:f>
      </x:c>
    </x:row>
    <x:row r="53">
      <x:c r="A53" s="38" t="str"/>
      <x:c r="B53" s="38" t="str"/>
      <x:c r="C53" s="39"/>
      <x:c r="D53" s="39"/>
      <x:c r="E53" s="39"/>
      <x:c r="F53" s="46"/>
      <x:c r="G53" s="38"/>
      <x:c r="H53" s="38"/>
      <x:c r="I53" s="40"/>
      <x:c r="J53" s="40" t="str">
        <x:f>IFERROR((C53-D53)/C53,"")</x:f>
      </x:c>
      <x:c r="K53" s="46" t="str">
        <x:f>IF(OR(F53="",H53=""),"",EDATE(F53,H53))</x:f>
      </x:c>
      <x:c r="L53" s="40" t="str">
        <x:f>J53</x:f>
      </x:c>
    </x:row>
    <x:row r="54">
      <x:c r="A54" s="38" t="str"/>
      <x:c r="B54" s="38" t="str"/>
      <x:c r="C54" s="39"/>
      <x:c r="D54" s="39"/>
      <x:c r="E54" s="39"/>
      <x:c r="F54" s="46"/>
      <x:c r="G54" s="38"/>
      <x:c r="H54" s="38"/>
      <x:c r="I54" s="40"/>
      <x:c r="J54" s="40" t="str">
        <x:f>IFERROR((C54-D54)/C54,"")</x:f>
      </x:c>
      <x:c r="K54" s="46" t="str">
        <x:f>IF(OR(F54="",H54=""),"",EDATE(F54,H54))</x:f>
      </x:c>
      <x:c r="L54" s="40" t="str">
        <x:f>J54</x:f>
      </x:c>
    </x:row>
    <x:row r="55">
      <x:c r="A55" s="38" t="str"/>
      <x:c r="B55" s="38" t="str"/>
      <x:c r="C55" s="39"/>
      <x:c r="D55" s="39"/>
      <x:c r="E55" s="39"/>
      <x:c r="F55" s="46"/>
      <x:c r="G55" s="38"/>
      <x:c r="H55" s="38"/>
      <x:c r="I55" s="40"/>
      <x:c r="J55" s="40" t="str">
        <x:f>IFERROR((C55-D55)/C55,"")</x:f>
      </x:c>
      <x:c r="K55" s="46" t="str">
        <x:f>IF(OR(F55="",H55=""),"",EDATE(F55,H55))</x:f>
      </x:c>
      <x:c r="L55" s="40" t="str">
        <x:f>J55</x:f>
      </x:c>
    </x:row>
    <x:row r="56">
      <x:c r="A56" s="38" t="str"/>
      <x:c r="B56" s="38" t="str"/>
      <x:c r="C56" s="39"/>
      <x:c r="D56" s="39"/>
      <x:c r="E56" s="39"/>
      <x:c r="F56" s="46"/>
      <x:c r="G56" s="38"/>
      <x:c r="H56" s="38"/>
      <x:c r="I56" s="40"/>
      <x:c r="J56" s="40" t="str">
        <x:f>IFERROR((C56-D56)/C56,"")</x:f>
      </x:c>
      <x:c r="K56" s="46" t="str">
        <x:f>IF(OR(F56="",H56=""),"",EDATE(F56,H56))</x:f>
      </x:c>
      <x:c r="L56" s="40" t="str">
        <x:f>J56</x:f>
      </x:c>
    </x:row>
    <x:row r="57">
      <x:c r="A57" s="38" t="str"/>
      <x:c r="B57" s="38" t="str"/>
      <x:c r="C57" s="39"/>
      <x:c r="D57" s="39"/>
      <x:c r="E57" s="39"/>
      <x:c r="F57" s="46"/>
      <x:c r="G57" s="38"/>
      <x:c r="H57" s="38"/>
      <x:c r="I57" s="40"/>
      <x:c r="J57" s="40" t="str">
        <x:f>IFERROR((C57-D57)/C57,"")</x:f>
      </x:c>
      <x:c r="K57" s="46" t="str">
        <x:f>IF(OR(F57="",H57=""),"",EDATE(F57,H57))</x:f>
      </x:c>
      <x:c r="L57" s="40" t="str">
        <x:f>J57</x:f>
      </x:c>
    </x:row>
    <x:row r="58">
      <x:c r="A58" s="38" t="str"/>
      <x:c r="B58" s="38" t="str"/>
      <x:c r="C58" s="39"/>
      <x:c r="D58" s="39"/>
      <x:c r="E58" s="39"/>
      <x:c r="F58" s="46"/>
      <x:c r="G58" s="38"/>
      <x:c r="H58" s="38"/>
      <x:c r="I58" s="40"/>
      <x:c r="J58" s="40" t="str">
        <x:f>IFERROR((C58-D58)/C58,"")</x:f>
      </x:c>
      <x:c r="K58" s="46" t="str">
        <x:f>IF(OR(F58="",H58=""),"",EDATE(F58,H58))</x:f>
      </x:c>
      <x:c r="L58" s="40" t="str">
        <x:f>J58</x:f>
      </x:c>
    </x:row>
    <x:row r="59">
      <x:c r="A59" s="38" t="str"/>
      <x:c r="B59" s="38" t="str"/>
      <x:c r="C59" s="39"/>
      <x:c r="D59" s="39"/>
      <x:c r="E59" s="39"/>
      <x:c r="F59" s="46"/>
      <x:c r="G59" s="38"/>
      <x:c r="H59" s="38"/>
      <x:c r="I59" s="40"/>
      <x:c r="J59" s="40" t="str">
        <x:f>IFERROR((C59-D59)/C59,"")</x:f>
      </x:c>
      <x:c r="K59" s="46" t="str">
        <x:f>IF(OR(F59="",H59=""),"",EDATE(F59,H59))</x:f>
      </x:c>
      <x:c r="L59" s="40" t="str">
        <x:f>J59</x:f>
      </x:c>
    </x:row>
    <x:row r="60">
      <x:c r="A60" s="38" t="str"/>
      <x:c r="B60" s="38" t="str"/>
      <x:c r="C60" s="39"/>
      <x:c r="D60" s="39"/>
      <x:c r="E60" s="39"/>
      <x:c r="F60" s="46"/>
      <x:c r="G60" s="38"/>
      <x:c r="H60" s="38"/>
      <x:c r="I60" s="40"/>
      <x:c r="J60" s="40" t="str">
        <x:f>IFERROR((C60-D60)/C60,"")</x:f>
      </x:c>
      <x:c r="K60" s="46" t="str">
        <x:f>IF(OR(F60="",H60=""),"",EDATE(F60,H60))</x:f>
      </x:c>
      <x:c r="L60" s="40" t="str">
        <x:f>J60</x:f>
      </x:c>
    </x:row>
    <x:row r="61">
      <x:c r="A61" s="38" t="str"/>
      <x:c r="B61" s="38" t="str"/>
      <x:c r="C61" s="39"/>
      <x:c r="D61" s="39"/>
      <x:c r="E61" s="39"/>
      <x:c r="F61" s="46"/>
      <x:c r="G61" s="38"/>
      <x:c r="H61" s="38"/>
      <x:c r="I61" s="40"/>
      <x:c r="J61" s="40" t="str">
        <x:f>IFERROR((C61-D61)/C61,"")</x:f>
      </x:c>
      <x:c r="K61" s="46" t="str">
        <x:f>IF(OR(F61="",H61=""),"",EDATE(F61,H61))</x:f>
      </x:c>
      <x:c r="L61" s="40" t="str">
        <x:f>J61</x:f>
      </x:c>
    </x:row>
    <x:row r="62">
      <x:c r="A62" s="38" t="str"/>
      <x:c r="B62" s="38" t="str"/>
      <x:c r="C62" s="39"/>
      <x:c r="D62" s="39"/>
      <x:c r="E62" s="39"/>
      <x:c r="F62" s="46"/>
      <x:c r="G62" s="38"/>
      <x:c r="H62" s="38"/>
      <x:c r="I62" s="40"/>
      <x:c r="J62" s="40" t="str">
        <x:f>IFERROR((C62-D62)/C62,"")</x:f>
      </x:c>
      <x:c r="K62" s="46" t="str">
        <x:f>IF(OR(F62="",H62=""),"",EDATE(F62,H62))</x:f>
      </x:c>
      <x:c r="L62" s="40" t="str">
        <x:f>J62</x:f>
      </x:c>
    </x:row>
    <x:row r="63">
      <x:c r="A63" s="38" t="str"/>
      <x:c r="B63" s="38" t="str"/>
      <x:c r="C63" s="39"/>
      <x:c r="D63" s="39"/>
      <x:c r="E63" s="39"/>
      <x:c r="F63" s="46"/>
      <x:c r="G63" s="38"/>
      <x:c r="H63" s="38"/>
      <x:c r="I63" s="40"/>
      <x:c r="J63" s="40" t="str">
        <x:f>IFERROR((C63-D63)/C63,"")</x:f>
      </x:c>
      <x:c r="K63" s="46" t="str">
        <x:f>IF(OR(F63="",H63=""),"",EDATE(F63,H63))</x:f>
      </x:c>
      <x:c r="L63" s="40" t="str">
        <x:f>J63</x:f>
      </x:c>
    </x:row>
    <x:row r="64">
      <x:c r="A64" s="38" t="str"/>
      <x:c r="B64" s="38" t="str"/>
      <x:c r="C64" s="39"/>
      <x:c r="D64" s="39"/>
      <x:c r="E64" s="39"/>
      <x:c r="F64" s="46"/>
      <x:c r="G64" s="38"/>
      <x:c r="H64" s="38"/>
      <x:c r="I64" s="40"/>
      <x:c r="J64" s="40" t="str">
        <x:f>IFERROR((C64-D64)/C64,"")</x:f>
      </x:c>
      <x:c r="K64" s="46" t="str">
        <x:f>IF(OR(F64="",H64=""),"",EDATE(F64,H64))</x:f>
      </x:c>
      <x:c r="L64" s="40" t="str">
        <x:f>J64</x:f>
      </x:c>
    </x:row>
    <x:row r="65">
      <x:c r="A65" s="38" t="str"/>
      <x:c r="B65" s="38" t="str"/>
      <x:c r="C65" s="39"/>
      <x:c r="D65" s="39"/>
      <x:c r="E65" s="39"/>
      <x:c r="F65" s="46"/>
      <x:c r="G65" s="38"/>
      <x:c r="H65" s="38"/>
      <x:c r="I65" s="40"/>
      <x:c r="J65" s="40" t="str">
        <x:f>IFERROR((C65-D65)/C65,"")</x:f>
      </x:c>
      <x:c r="K65" s="46" t="str">
        <x:f>IF(OR(F65="",H65=""),"",EDATE(F65,H65))</x:f>
      </x:c>
      <x:c r="L65" s="40" t="str">
        <x:f>J65</x:f>
      </x:c>
    </x:row>
    <x:row r="66">
      <x:c r="A66" s="38" t="str"/>
      <x:c r="B66" s="38" t="str"/>
      <x:c r="C66" s="39"/>
      <x:c r="D66" s="39"/>
      <x:c r="E66" s="39"/>
      <x:c r="F66" s="46"/>
      <x:c r="G66" s="38"/>
      <x:c r="H66" s="38"/>
      <x:c r="I66" s="40"/>
      <x:c r="J66" s="40" t="str">
        <x:f>IFERROR((C66-D66)/C66,"")</x:f>
      </x:c>
      <x:c r="K66" s="46" t="str">
        <x:f>IF(OR(F66="",H66=""),"",EDATE(F66,H66))</x:f>
      </x:c>
      <x:c r="L66" s="40" t="str">
        <x:f>J66</x:f>
      </x:c>
    </x:row>
    <x:row r="67">
      <x:c r="A67" s="38" t="str"/>
      <x:c r="B67" s="38" t="str"/>
      <x:c r="C67" s="39"/>
      <x:c r="D67" s="39"/>
      <x:c r="E67" s="39"/>
      <x:c r="F67" s="46"/>
      <x:c r="G67" s="38"/>
      <x:c r="H67" s="38"/>
      <x:c r="I67" s="40"/>
      <x:c r="J67" s="40" t="str">
        <x:f>IFERROR((C67-D67)/C67,"")</x:f>
      </x:c>
      <x:c r="K67" s="46" t="str">
        <x:f>IF(OR(F67="",H67=""),"",EDATE(F67,H67))</x:f>
      </x:c>
      <x:c r="L67" s="40" t="str">
        <x:f>J67</x:f>
      </x:c>
    </x:row>
    <x:row r="68">
      <x:c r="A68" s="38" t="str"/>
      <x:c r="B68" s="38" t="str"/>
      <x:c r="C68" s="39"/>
      <x:c r="D68" s="39"/>
      <x:c r="E68" s="39"/>
      <x:c r="F68" s="46"/>
      <x:c r="G68" s="38"/>
      <x:c r="H68" s="38"/>
      <x:c r="I68" s="40"/>
      <x:c r="J68" s="40" t="str">
        <x:f>IFERROR((C68-D68)/C68,"")</x:f>
      </x:c>
      <x:c r="K68" s="46" t="str">
        <x:f>IF(OR(F68="",H68=""),"",EDATE(F68,H68))</x:f>
      </x:c>
      <x:c r="L68" s="40" t="str">
        <x:f>J68</x:f>
      </x:c>
    </x:row>
    <x:row r="69">
      <x:c r="A69" s="38" t="str"/>
      <x:c r="B69" s="38" t="str"/>
      <x:c r="C69" s="39"/>
      <x:c r="D69" s="39"/>
      <x:c r="E69" s="39"/>
      <x:c r="F69" s="46"/>
      <x:c r="G69" s="38"/>
      <x:c r="H69" s="38"/>
      <x:c r="I69" s="40"/>
      <x:c r="J69" s="40" t="str">
        <x:f>IFERROR((C69-D69)/C69,"")</x:f>
      </x:c>
      <x:c r="K69" s="46" t="str">
        <x:f>IF(OR(F69="",H69=""),"",EDATE(F69,H69))</x:f>
      </x:c>
      <x:c r="L69" s="40" t="str">
        <x:f>J69</x:f>
      </x:c>
    </x:row>
    <x:row r="70">
      <x:c r="A70" s="38" t="str"/>
      <x:c r="B70" s="38" t="str"/>
      <x:c r="C70" s="39"/>
      <x:c r="D70" s="39"/>
      <x:c r="E70" s="39"/>
      <x:c r="F70" s="46"/>
      <x:c r="G70" s="38"/>
      <x:c r="H70" s="38"/>
      <x:c r="I70" s="40"/>
      <x:c r="J70" s="40" t="str">
        <x:f>IFERROR((C70-D70)/C70,"")</x:f>
      </x:c>
      <x:c r="K70" s="46" t="str">
        <x:f>IF(OR(F70="",H70=""),"",EDATE(F70,H70))</x:f>
      </x:c>
      <x:c r="L70" s="40" t="str">
        <x:f>J70</x:f>
      </x:c>
    </x:row>
    <x:row r="71">
      <x:c r="A71" s="38" t="str"/>
      <x:c r="B71" s="38" t="str"/>
      <x:c r="C71" s="39"/>
      <x:c r="D71" s="39"/>
      <x:c r="E71" s="39"/>
      <x:c r="F71" s="46"/>
      <x:c r="G71" s="38"/>
      <x:c r="H71" s="38"/>
      <x:c r="I71" s="40"/>
      <x:c r="J71" s="40" t="str">
        <x:f>IFERROR((C71-D71)/C71,"")</x:f>
      </x:c>
      <x:c r="K71" s="46" t="str">
        <x:f>IF(OR(F71="",H71=""),"",EDATE(F71,H71))</x:f>
      </x:c>
      <x:c r="L71" s="40" t="str">
        <x:f>J71</x:f>
      </x:c>
    </x:row>
    <x:row r="72">
      <x:c r="A72" s="38" t="str"/>
      <x:c r="B72" s="38" t="str"/>
      <x:c r="C72" s="39"/>
      <x:c r="D72" s="39"/>
      <x:c r="E72" s="39"/>
      <x:c r="F72" s="46"/>
      <x:c r="G72" s="38"/>
      <x:c r="H72" s="38"/>
      <x:c r="I72" s="40"/>
      <x:c r="J72" s="40" t="str">
        <x:f>IFERROR((C72-D72)/C72,"")</x:f>
      </x:c>
      <x:c r="K72" s="46" t="str">
        <x:f>IF(OR(F72="",H72=""),"",EDATE(F72,H72))</x:f>
      </x:c>
      <x:c r="L72" s="40" t="str">
        <x:f>J72</x:f>
      </x:c>
    </x:row>
    <x:row r="73">
      <x:c r="A73" s="38" t="str"/>
      <x:c r="B73" s="38" t="str"/>
      <x:c r="C73" s="39"/>
      <x:c r="D73" s="39"/>
      <x:c r="E73" s="39"/>
      <x:c r="F73" s="46"/>
      <x:c r="G73" s="38"/>
      <x:c r="H73" s="38"/>
      <x:c r="I73" s="40"/>
      <x:c r="J73" s="40" t="str">
        <x:f>IFERROR((C73-D73)/C73,"")</x:f>
      </x:c>
      <x:c r="K73" s="46" t="str">
        <x:f>IF(OR(F73="",H73=""),"",EDATE(F73,H73))</x:f>
      </x:c>
      <x:c r="L73" s="40" t="str">
        <x:f>J73</x:f>
      </x:c>
    </x:row>
    <x:row r="74">
      <x:c r="A74" s="38" t="str"/>
      <x:c r="B74" s="38" t="str"/>
      <x:c r="C74" s="39"/>
      <x:c r="D74" s="39"/>
      <x:c r="E74" s="39"/>
      <x:c r="F74" s="46"/>
      <x:c r="G74" s="38"/>
      <x:c r="H74" s="38"/>
      <x:c r="I74" s="40"/>
      <x:c r="J74" s="40" t="str">
        <x:f>IFERROR((C74-D74)/C74,"")</x:f>
      </x:c>
      <x:c r="K74" s="46" t="str">
        <x:f>IF(OR(F74="",H74=""),"",EDATE(F74,H74))</x:f>
      </x:c>
      <x:c r="L74" s="40" t="str">
        <x:f>J74</x:f>
      </x:c>
    </x:row>
    <x:row r="75">
      <x:c r="A75" s="38" t="str"/>
      <x:c r="B75" s="38" t="str"/>
      <x:c r="C75" s="39"/>
      <x:c r="D75" s="39"/>
      <x:c r="E75" s="39"/>
      <x:c r="F75" s="46"/>
      <x:c r="G75" s="38"/>
      <x:c r="H75" s="38"/>
      <x:c r="I75" s="40"/>
      <x:c r="J75" s="40" t="str">
        <x:f>IFERROR((C75-D75)/C75,"")</x:f>
      </x:c>
      <x:c r="K75" s="46" t="str">
        <x:f>IF(OR(F75="",H75=""),"",EDATE(F75,H75))</x:f>
      </x:c>
      <x:c r="L75" s="40" t="str">
        <x:f>J75</x:f>
      </x:c>
    </x:row>
    <x:row r="76">
      <x:c r="A76" s="38" t="str"/>
      <x:c r="B76" s="38" t="str"/>
      <x:c r="C76" s="39"/>
      <x:c r="D76" s="39"/>
      <x:c r="E76" s="39"/>
      <x:c r="F76" s="46"/>
      <x:c r="G76" s="38"/>
      <x:c r="H76" s="38"/>
      <x:c r="I76" s="40"/>
      <x:c r="J76" s="40" t="str">
        <x:f>IFERROR((C76-D76)/C76,"")</x:f>
      </x:c>
      <x:c r="K76" s="46" t="str">
        <x:f>IF(OR(F76="",H76=""),"",EDATE(F76,H76))</x:f>
      </x:c>
      <x:c r="L76" s="40" t="str">
        <x:f>J76</x:f>
      </x:c>
    </x:row>
    <x:row r="77">
      <x:c r="A77" s="38" t="str"/>
      <x:c r="B77" s="38" t="str"/>
      <x:c r="C77" s="39"/>
      <x:c r="D77" s="39"/>
      <x:c r="E77" s="39"/>
      <x:c r="F77" s="46"/>
      <x:c r="G77" s="38"/>
      <x:c r="H77" s="38"/>
      <x:c r="I77" s="40"/>
      <x:c r="J77" s="40" t="str">
        <x:f>IFERROR((C77-D77)/C77,"")</x:f>
      </x:c>
      <x:c r="K77" s="46" t="str">
        <x:f>IF(OR(F77="",H77=""),"",EDATE(F77,H77))</x:f>
      </x:c>
      <x:c r="L77" s="40" t="str">
        <x:f>J77</x:f>
      </x:c>
    </x:row>
    <x:row r="78">
      <x:c r="A78" s="38" t="str"/>
      <x:c r="B78" s="38" t="str"/>
      <x:c r="C78" s="39"/>
      <x:c r="D78" s="39"/>
      <x:c r="E78" s="39"/>
      <x:c r="F78" s="46"/>
      <x:c r="G78" s="38"/>
      <x:c r="H78" s="38"/>
      <x:c r="I78" s="40"/>
      <x:c r="J78" s="40" t="str">
        <x:f>IFERROR((C78-D78)/C78,"")</x:f>
      </x:c>
      <x:c r="K78" s="46" t="str">
        <x:f>IF(OR(F78="",H78=""),"",EDATE(F78,H78))</x:f>
      </x:c>
      <x:c r="L78" s="40" t="str">
        <x:f>J78</x:f>
      </x:c>
    </x:row>
    <x:row r="79">
      <x:c r="A79" s="38" t="str"/>
      <x:c r="B79" s="38" t="str"/>
      <x:c r="C79" s="39"/>
      <x:c r="D79" s="39"/>
      <x:c r="E79" s="39"/>
      <x:c r="F79" s="46"/>
      <x:c r="G79" s="38"/>
      <x:c r="H79" s="38"/>
      <x:c r="I79" s="40"/>
      <x:c r="J79" s="40" t="str">
        <x:f>IFERROR((C79-D79)/C79,"")</x:f>
      </x:c>
      <x:c r="K79" s="46" t="str">
        <x:f>IF(OR(F79="",H79=""),"",EDATE(F79,H79))</x:f>
      </x:c>
      <x:c r="L79" s="40" t="str">
        <x:f>J79</x:f>
      </x:c>
    </x:row>
    <x:row r="80">
      <x:c r="A80" s="38" t="str"/>
      <x:c r="B80" s="38" t="str"/>
      <x:c r="C80" s="39"/>
      <x:c r="D80" s="39"/>
      <x:c r="E80" s="39"/>
      <x:c r="F80" s="46"/>
      <x:c r="G80" s="38"/>
      <x:c r="H80" s="38"/>
      <x:c r="I80" s="40"/>
      <x:c r="J80" s="40" t="str">
        <x:f>IFERROR((C80-D80)/C80,"")</x:f>
      </x:c>
      <x:c r="K80" s="46" t="str">
        <x:f>IF(OR(F80="",H80=""),"",EDATE(F80,H80))</x:f>
      </x:c>
      <x:c r="L80" s="40" t="str">
        <x:f>J80</x:f>
      </x:c>
    </x:row>
    <x:row r="81">
      <x:c r="A81" s="38" t="str"/>
      <x:c r="B81" s="38" t="str"/>
      <x:c r="C81" s="39"/>
      <x:c r="D81" s="39"/>
      <x:c r="E81" s="39"/>
      <x:c r="F81" s="46"/>
      <x:c r="G81" s="38"/>
      <x:c r="H81" s="38"/>
      <x:c r="I81" s="40"/>
      <x:c r="J81" s="40" t="str">
        <x:f>IFERROR((C81-D81)/C81,"")</x:f>
      </x:c>
      <x:c r="K81" s="46" t="str">
        <x:f>IF(OR(F81="",H81=""),"",EDATE(F81,H81))</x:f>
      </x:c>
      <x:c r="L81" s="40" t="str">
        <x:f>J81</x:f>
      </x:c>
    </x:row>
    <x:row r="82">
      <x:c r="A82" s="38" t="str"/>
      <x:c r="B82" s="38" t="str"/>
      <x:c r="C82" s="39"/>
      <x:c r="D82" s="39"/>
      <x:c r="E82" s="39"/>
      <x:c r="F82" s="46"/>
      <x:c r="G82" s="38"/>
      <x:c r="H82" s="38"/>
      <x:c r="I82" s="40"/>
      <x:c r="J82" s="40" t="str">
        <x:f>IFERROR((C82-D82)/C82,"")</x:f>
      </x:c>
      <x:c r="K82" s="46" t="str">
        <x:f>IF(OR(F82="",H82=""),"",EDATE(F82,H82))</x:f>
      </x:c>
      <x:c r="L82" s="40" t="str">
        <x:f>J82</x:f>
      </x:c>
    </x:row>
    <x:row r="83">
      <x:c r="A83" s="38" t="str"/>
      <x:c r="B83" s="38" t="str"/>
      <x:c r="C83" s="39"/>
      <x:c r="D83" s="39"/>
      <x:c r="E83" s="39"/>
      <x:c r="F83" s="46"/>
      <x:c r="G83" s="38"/>
      <x:c r="H83" s="38"/>
      <x:c r="I83" s="40"/>
      <x:c r="J83" s="40" t="str">
        <x:f>IFERROR((C83-D83)/C83,"")</x:f>
      </x:c>
      <x:c r="K83" s="46" t="str">
        <x:f>IF(OR(F83="",H83=""),"",EDATE(F83,H83))</x:f>
      </x:c>
      <x:c r="L83" s="40" t="str">
        <x:f>J83</x:f>
      </x:c>
    </x:row>
    <x:row r="84">
      <x:c r="A84" s="38" t="str"/>
      <x:c r="B84" s="38" t="str"/>
      <x:c r="C84" s="39"/>
      <x:c r="D84" s="39"/>
      <x:c r="E84" s="39"/>
      <x:c r="F84" s="46"/>
      <x:c r="G84" s="38"/>
      <x:c r="H84" s="38"/>
      <x:c r="I84" s="40"/>
      <x:c r="J84" s="40" t="str">
        <x:f>IFERROR((C84-D84)/C84,"")</x:f>
      </x:c>
      <x:c r="K84" s="46" t="str">
        <x:f>IF(OR(F84="",H84=""),"",EDATE(F84,H84))</x:f>
      </x:c>
      <x:c r="L84" s="40" t="str">
        <x:f>J84</x:f>
      </x:c>
    </x:row>
    <x:row r="85">
      <x:c r="A85" s="38" t="str"/>
      <x:c r="B85" s="38" t="str"/>
      <x:c r="C85" s="39"/>
      <x:c r="D85" s="39"/>
      <x:c r="E85" s="39"/>
      <x:c r="F85" s="46"/>
      <x:c r="G85" s="38"/>
      <x:c r="H85" s="38"/>
      <x:c r="I85" s="40"/>
      <x:c r="J85" s="40" t="str">
        <x:f>IFERROR((C85-D85)/C85,"")</x:f>
      </x:c>
      <x:c r="K85" s="46" t="str">
        <x:f>IF(OR(F85="",H85=""),"",EDATE(F85,H85))</x:f>
      </x:c>
      <x:c r="L85" s="40" t="str">
        <x:f>J85</x:f>
      </x:c>
    </x:row>
    <x:row r="86">
      <x:c r="A86" s="38" t="str"/>
      <x:c r="B86" s="38" t="str"/>
      <x:c r="C86" s="39"/>
      <x:c r="D86" s="39"/>
      <x:c r="E86" s="39"/>
      <x:c r="F86" s="46"/>
      <x:c r="G86" s="38"/>
      <x:c r="H86" s="38"/>
      <x:c r="I86" s="40"/>
      <x:c r="J86" s="40" t="str">
        <x:f>IFERROR((C86-D86)/C86,"")</x:f>
      </x:c>
      <x:c r="K86" s="46" t="str">
        <x:f>IF(OR(F86="",H86=""),"",EDATE(F86,H86))</x:f>
      </x:c>
      <x:c r="L86" s="40" t="str">
        <x:f>J86</x:f>
      </x:c>
    </x:row>
    <x:row r="87">
      <x:c r="A87" s="38" t="str"/>
      <x:c r="B87" s="38" t="str"/>
      <x:c r="C87" s="39"/>
      <x:c r="D87" s="39"/>
      <x:c r="E87" s="39"/>
      <x:c r="F87" s="46"/>
      <x:c r="G87" s="38"/>
      <x:c r="H87" s="38"/>
      <x:c r="I87" s="40"/>
      <x:c r="J87" s="40" t="str">
        <x:f>IFERROR((C87-D87)/C87,"")</x:f>
      </x:c>
      <x:c r="K87" s="46" t="str">
        <x:f>IF(OR(F87="",H87=""),"",EDATE(F87,H87))</x:f>
      </x:c>
      <x:c r="L87" s="40" t="str">
        <x:f>J87</x:f>
      </x:c>
    </x:row>
    <x:row r="88">
      <x:c r="A88" s="38" t="str"/>
      <x:c r="B88" s="38" t="str"/>
      <x:c r="C88" s="39"/>
      <x:c r="D88" s="39"/>
      <x:c r="E88" s="39"/>
      <x:c r="F88" s="46"/>
      <x:c r="G88" s="38"/>
      <x:c r="H88" s="38"/>
      <x:c r="I88" s="40"/>
      <x:c r="J88" s="40" t="str">
        <x:f>IFERROR((C88-D88)/C88,"")</x:f>
      </x:c>
      <x:c r="K88" s="46" t="str">
        <x:f>IF(OR(F88="",H88=""),"",EDATE(F88,H88))</x:f>
      </x:c>
      <x:c r="L88" s="40" t="str">
        <x:f>J88</x:f>
      </x:c>
    </x:row>
    <x:row r="89">
      <x:c r="A89" s="38" t="str"/>
      <x:c r="B89" s="38" t="str"/>
      <x:c r="C89" s="39"/>
      <x:c r="D89" s="39"/>
      <x:c r="E89" s="39"/>
      <x:c r="F89" s="46"/>
      <x:c r="G89" s="38"/>
      <x:c r="H89" s="38"/>
      <x:c r="I89" s="40"/>
      <x:c r="J89" s="40" t="str">
        <x:f>IFERROR((C89-D89)/C89,"")</x:f>
      </x:c>
      <x:c r="K89" s="46" t="str">
        <x:f>IF(OR(F89="",H89=""),"",EDATE(F89,H89))</x:f>
      </x:c>
      <x:c r="L89" s="40" t="str">
        <x:f>J89</x:f>
      </x:c>
    </x:row>
    <x:row r="90">
      <x:c r="A90" s="38" t="str"/>
      <x:c r="B90" s="38" t="str"/>
      <x:c r="C90" s="39"/>
      <x:c r="D90" s="39"/>
      <x:c r="E90" s="39"/>
      <x:c r="F90" s="46"/>
      <x:c r="G90" s="38"/>
      <x:c r="H90" s="38"/>
      <x:c r="I90" s="40"/>
      <x:c r="J90" s="40" t="str">
        <x:f>IFERROR((C90-D90)/C90,"")</x:f>
      </x:c>
      <x:c r="K90" s="46" t="str">
        <x:f>IF(OR(F90="",H90=""),"",EDATE(F90,H90))</x:f>
      </x:c>
      <x:c r="L90" s="40" t="str">
        <x:f>J90</x:f>
      </x:c>
    </x:row>
    <x:row r="91">
      <x:c r="A91" s="38" t="str"/>
      <x:c r="B91" s="38" t="str"/>
      <x:c r="C91" s="39"/>
      <x:c r="D91" s="39"/>
      <x:c r="E91" s="39"/>
      <x:c r="F91" s="46"/>
      <x:c r="G91" s="38"/>
      <x:c r="H91" s="38"/>
      <x:c r="I91" s="40"/>
      <x:c r="J91" s="40" t="str">
        <x:f>IFERROR((C91-D91)/C91,"")</x:f>
      </x:c>
      <x:c r="K91" s="46" t="str">
        <x:f>IF(OR(F91="",H91=""),"",EDATE(F91,H91))</x:f>
      </x:c>
      <x:c r="L91" s="40" t="str">
        <x:f>J91</x:f>
      </x:c>
    </x:row>
    <x:row r="92">
      <x:c r="A92" s="38" t="str"/>
      <x:c r="B92" s="38" t="str"/>
      <x:c r="C92" s="39"/>
      <x:c r="D92" s="39"/>
      <x:c r="E92" s="39"/>
      <x:c r="F92" s="46"/>
      <x:c r="G92" s="38"/>
      <x:c r="H92" s="38"/>
      <x:c r="I92" s="40"/>
      <x:c r="J92" s="40" t="str">
        <x:f>IFERROR((C92-D92)/C92,"")</x:f>
      </x:c>
      <x:c r="K92" s="46" t="str">
        <x:f>IF(OR(F92="",H92=""),"",EDATE(F92,H92))</x:f>
      </x:c>
      <x:c r="L92" s="40" t="str">
        <x:f>J92</x:f>
      </x:c>
    </x:row>
    <x:row r="93">
      <x:c r="A93" s="38" t="str"/>
      <x:c r="B93" s="38" t="str"/>
      <x:c r="C93" s="39"/>
      <x:c r="D93" s="39"/>
      <x:c r="E93" s="39"/>
      <x:c r="F93" s="46"/>
      <x:c r="G93" s="38"/>
      <x:c r="H93" s="38"/>
      <x:c r="I93" s="40"/>
      <x:c r="J93" s="40" t="str">
        <x:f>IFERROR((C93-D93)/C93,"")</x:f>
      </x:c>
      <x:c r="K93" s="46" t="str">
        <x:f>IF(OR(F93="",H93=""),"",EDATE(F93,H93))</x:f>
      </x:c>
      <x:c r="L93" s="40" t="str">
        <x:f>J93</x:f>
      </x:c>
    </x:row>
    <x:row r="94">
      <x:c r="A94" s="38" t="str"/>
      <x:c r="B94" s="38" t="str"/>
      <x:c r="C94" s="39"/>
      <x:c r="D94" s="39"/>
      <x:c r="E94" s="39"/>
      <x:c r="F94" s="46"/>
      <x:c r="G94" s="38"/>
      <x:c r="H94" s="38"/>
      <x:c r="I94" s="40"/>
      <x:c r="J94" s="40" t="str">
        <x:f>IFERROR((C94-D94)/C94,"")</x:f>
      </x:c>
      <x:c r="K94" s="46" t="str">
        <x:f>IF(OR(F94="",H94=""),"",EDATE(F94,H94))</x:f>
      </x:c>
      <x:c r="L94" s="40" t="str">
        <x:f>J94</x:f>
      </x:c>
    </x:row>
    <x:row r="95">
      <x:c r="A95" s="38" t="str"/>
      <x:c r="B95" s="38" t="str"/>
      <x:c r="C95" s="39"/>
      <x:c r="D95" s="39"/>
      <x:c r="E95" s="39"/>
      <x:c r="F95" s="46"/>
      <x:c r="G95" s="38"/>
      <x:c r="H95" s="38"/>
      <x:c r="I95" s="40"/>
      <x:c r="J95" s="40" t="str">
        <x:f>IFERROR((C95-D95)/C95,"")</x:f>
      </x:c>
      <x:c r="K95" s="46" t="str">
        <x:f>IF(OR(F95="",H95=""),"",EDATE(F95,H95))</x:f>
      </x:c>
      <x:c r="L95" s="40" t="str">
        <x:f>J95</x:f>
      </x:c>
    </x:row>
    <x:row r="96">
      <x:c r="A96" s="38" t="str"/>
      <x:c r="B96" s="38" t="str"/>
      <x:c r="C96" s="39"/>
      <x:c r="D96" s="39"/>
      <x:c r="E96" s="39"/>
      <x:c r="F96" s="46"/>
      <x:c r="G96" s="38"/>
      <x:c r="H96" s="38"/>
      <x:c r="I96" s="40"/>
      <x:c r="J96" s="40" t="str">
        <x:f>IFERROR((C96-D96)/C96,"")</x:f>
      </x:c>
      <x:c r="K96" s="46" t="str">
        <x:f>IF(OR(F96="",H96=""),"",EDATE(F96,H96))</x:f>
      </x:c>
      <x:c r="L96" s="40" t="str">
        <x:f>J96</x:f>
      </x:c>
    </x:row>
    <x:row r="97">
      <x:c r="A97" s="38" t="str"/>
      <x:c r="B97" s="38" t="str"/>
      <x:c r="C97" s="39"/>
      <x:c r="D97" s="39"/>
      <x:c r="E97" s="39"/>
      <x:c r="F97" s="46"/>
      <x:c r="G97" s="38"/>
      <x:c r="H97" s="38"/>
      <x:c r="I97" s="40"/>
      <x:c r="J97" s="40" t="str">
        <x:f>IFERROR((C97-D97)/C97,"")</x:f>
      </x:c>
      <x:c r="K97" s="46" t="str">
        <x:f>IF(OR(F97="",H97=""),"",EDATE(F97,H97))</x:f>
      </x:c>
      <x:c r="L97" s="40" t="str">
        <x:f>J97</x:f>
      </x:c>
    </x:row>
    <x:row r="98">
      <x:c r="A98" s="38" t="str"/>
      <x:c r="B98" s="38" t="str"/>
      <x:c r="C98" s="39"/>
      <x:c r="D98" s="39"/>
      <x:c r="E98" s="39"/>
      <x:c r="F98" s="46"/>
      <x:c r="G98" s="38"/>
      <x:c r="H98" s="38"/>
      <x:c r="I98" s="40"/>
      <x:c r="J98" s="40" t="str">
        <x:f>IFERROR((C98-D98)/C98,"")</x:f>
      </x:c>
      <x:c r="K98" s="46" t="str">
        <x:f>IF(OR(F98="",H98=""),"",EDATE(F98,H98))</x:f>
      </x:c>
      <x:c r="L98" s="40" t="str">
        <x:f>J98</x:f>
      </x:c>
    </x:row>
    <x:row r="99">
      <x:c r="A99" s="38" t="str"/>
      <x:c r="B99" s="38" t="str"/>
      <x:c r="C99" s="39"/>
      <x:c r="D99" s="39"/>
      <x:c r="E99" s="39"/>
      <x:c r="F99" s="46"/>
      <x:c r="G99" s="38"/>
      <x:c r="H99" s="38"/>
      <x:c r="I99" s="40"/>
      <x:c r="J99" s="40" t="str">
        <x:f>IFERROR((C99-D99)/C99,"")</x:f>
      </x:c>
      <x:c r="K99" s="46" t="str">
        <x:f>IF(OR(F99="",H99=""),"",EDATE(F99,H99))</x:f>
      </x:c>
      <x:c r="L99" s="40" t="str">
        <x:f>J99</x:f>
      </x:c>
    </x:row>
    <x:row r="100">
      <x:c r="A100" s="38" t="str"/>
      <x:c r="B100" s="38" t="str"/>
      <x:c r="C100" s="39"/>
      <x:c r="D100" s="39"/>
      <x:c r="E100" s="39"/>
      <x:c r="F100" s="46"/>
      <x:c r="G100" s="38"/>
      <x:c r="H100" s="38"/>
      <x:c r="I100" s="40"/>
      <x:c r="J100" s="40" t="str">
        <x:f>IFERROR((C100-D100)/C100,"")</x:f>
      </x:c>
      <x:c r="K100" s="46" t="str">
        <x:f>IF(OR(F100="",H100=""),"",EDATE(F100,H100))</x:f>
      </x:c>
      <x:c r="L100" s="40" t="str">
        <x:f>J100</x:f>
      </x:c>
    </x:row>
    <x:row r="101">
      <x:c r="A101" s="38" t="str"/>
      <x:c r="B101" s="38" t="str"/>
      <x:c r="C101" s="39"/>
      <x:c r="D101" s="39"/>
      <x:c r="E101" s="39"/>
      <x:c r="F101" s="46"/>
      <x:c r="G101" s="38"/>
      <x:c r="H101" s="38"/>
      <x:c r="I101" s="40"/>
      <x:c r="J101" s="40" t="str">
        <x:f>IFERROR((C101-D101)/C101,"")</x:f>
      </x:c>
      <x:c r="K101" s="46" t="str">
        <x:f>IF(OR(F101="",H101=""),"",EDATE(F101,H101))</x:f>
      </x:c>
      <x:c r="L101" s="40" t="str">
        <x:f>J101</x:f>
      </x:c>
    </x:row>
    <x:row r="102">
      <x:c r="A102" s="38" t="str"/>
      <x:c r="B102" s="38" t="str"/>
      <x:c r="C102" s="39"/>
      <x:c r="D102" s="39"/>
      <x:c r="E102" s="39"/>
      <x:c r="F102" s="46"/>
      <x:c r="G102" s="38"/>
      <x:c r="H102" s="38"/>
      <x:c r="I102" s="40"/>
      <x:c r="J102" s="40" t="str">
        <x:f>IFERROR((C102-D102)/C102,"")</x:f>
      </x:c>
      <x:c r="K102" s="46" t="str">
        <x:f>IF(OR(F102="",H102=""),"",EDATE(F102,H102))</x:f>
      </x:c>
      <x:c r="L102" s="40" t="str">
        <x:f>J102</x:f>
      </x:c>
    </x:row>
    <x:row r="103">
      <x:c r="A103" s="38" t="str"/>
      <x:c r="B103" s="38" t="str"/>
      <x:c r="C103" s="39"/>
      <x:c r="D103" s="39"/>
      <x:c r="E103" s="39"/>
      <x:c r="F103" s="46"/>
      <x:c r="G103" s="38"/>
      <x:c r="H103" s="38"/>
      <x:c r="I103" s="40"/>
      <x:c r="J103" s="40" t="str">
        <x:f>IFERROR((C103-D103)/C103,"")</x:f>
      </x:c>
      <x:c r="K103" s="46" t="str">
        <x:f>IF(OR(F103="",H103=""),"",EDATE(F103,H103))</x:f>
      </x:c>
      <x:c r="L103" s="40" t="str">
        <x:f>J103</x:f>
      </x:c>
    </x:row>
    <x:row r="104">
      <x:c r="A104" s="38" t="str"/>
      <x:c r="B104" s="38" t="str"/>
      <x:c r="C104" s="39"/>
      <x:c r="D104" s="39"/>
      <x:c r="E104" s="39"/>
      <x:c r="F104" s="46"/>
      <x:c r="G104" s="38"/>
      <x:c r="H104" s="38"/>
      <x:c r="I104" s="40"/>
      <x:c r="J104" s="40" t="str">
        <x:f>IFERROR((C104-D104)/C104,"")</x:f>
      </x:c>
      <x:c r="K104" s="46" t="str">
        <x:f>IF(OR(F104="",H104=""),"",EDATE(F104,H104))</x:f>
      </x:c>
      <x:c r="L104" s="40" t="str">
        <x:f>J104</x:f>
      </x:c>
    </x:row>
    <x:row r="105">
      <x:c r="A105" s="38" t="str"/>
      <x:c r="B105" s="38" t="str"/>
      <x:c r="C105" s="39"/>
      <x:c r="D105" s="39"/>
      <x:c r="E105" s="39"/>
      <x:c r="F105" s="46"/>
      <x:c r="G105" s="38"/>
      <x:c r="H105" s="38"/>
      <x:c r="I105" s="40"/>
      <x:c r="J105" s="40" t="str">
        <x:f>IFERROR((C105-D105)/C105,"")</x:f>
      </x:c>
      <x:c r="K105" s="46" t="str">
        <x:f>IF(OR(F105="",H105=""),"",EDATE(F105,H105))</x:f>
      </x:c>
      <x:c r="L105" s="40" t="str">
        <x:f>J105</x:f>
      </x:c>
    </x:row>
    <x:row r="106">
      <x:c r="A106" s="38" t="str"/>
      <x:c r="B106" s="38" t="str"/>
      <x:c r="C106" s="39"/>
      <x:c r="D106" s="39"/>
      <x:c r="E106" s="39"/>
      <x:c r="F106" s="46"/>
      <x:c r="G106" s="38"/>
      <x:c r="H106" s="38"/>
      <x:c r="I106" s="40"/>
      <x:c r="J106" s="40" t="str">
        <x:f>IFERROR((C106-D106)/C106,"")</x:f>
      </x:c>
      <x:c r="K106" s="46" t="str">
        <x:f>IF(OR(F106="",H106=""),"",EDATE(F106,H106))</x:f>
      </x:c>
      <x:c r="L106" s="40" t="str">
        <x:f>J106</x:f>
      </x:c>
    </x:row>
    <x:row r="107">
      <x:c r="A107" s="38" t="str"/>
      <x:c r="B107" s="38" t="str"/>
      <x:c r="C107" s="39"/>
      <x:c r="D107" s="39"/>
      <x:c r="E107" s="39"/>
      <x:c r="F107" s="46"/>
      <x:c r="G107" s="38"/>
      <x:c r="H107" s="38"/>
      <x:c r="I107" s="40"/>
      <x:c r="J107" s="40" t="str">
        <x:f>IFERROR((C107-D107)/C107,"")</x:f>
      </x:c>
      <x:c r="K107" s="46" t="str">
        <x:f>IF(OR(F107="",H107=""),"",EDATE(F107,H107))</x:f>
      </x:c>
      <x:c r="L107" s="40" t="str">
        <x:f>J107</x:f>
      </x:c>
    </x:row>
    <x:row r="108">
      <x:c r="A108" s="38" t="str"/>
      <x:c r="B108" s="38" t="str"/>
      <x:c r="C108" s="39"/>
      <x:c r="D108" s="39"/>
      <x:c r="E108" s="39"/>
      <x:c r="F108" s="46"/>
      <x:c r="G108" s="38"/>
      <x:c r="H108" s="38"/>
      <x:c r="I108" s="40"/>
      <x:c r="J108" s="40" t="str">
        <x:f>IFERROR((C108-D108)/C108,"")</x:f>
      </x:c>
      <x:c r="K108" s="46" t="str">
        <x:f>IF(OR(F108="",H108=""),"",EDATE(F108,H108))</x:f>
      </x:c>
      <x:c r="L108" s="40" t="str">
        <x:f>J108</x:f>
      </x:c>
    </x:row>
    <x:row r="109">
      <x:c r="A109" s="38" t="str"/>
      <x:c r="B109" s="38" t="str"/>
      <x:c r="C109" s="39"/>
      <x:c r="D109" s="39"/>
      <x:c r="E109" s="39"/>
      <x:c r="F109" s="46"/>
      <x:c r="G109" s="38"/>
      <x:c r="H109" s="38"/>
      <x:c r="I109" s="40"/>
      <x:c r="J109" s="40" t="str">
        <x:f>IFERROR((C109-D109)/C109,"")</x:f>
      </x:c>
      <x:c r="K109" s="46" t="str">
        <x:f>IF(OR(F109="",H109=""),"",EDATE(F109,H109))</x:f>
      </x:c>
      <x:c r="L109" s="40" t="str">
        <x:f>J109</x:f>
      </x:c>
    </x:row>
    <x:row r="110">
      <x:c r="A110" s="38" t="str"/>
      <x:c r="B110" s="38" t="str"/>
      <x:c r="C110" s="39"/>
      <x:c r="D110" s="39"/>
      <x:c r="E110" s="39"/>
      <x:c r="F110" s="46"/>
      <x:c r="G110" s="38"/>
      <x:c r="H110" s="38"/>
      <x:c r="I110" s="40"/>
      <x:c r="J110" s="40" t="str">
        <x:f>IFERROR((C110-D110)/C110,"")</x:f>
      </x:c>
      <x:c r="K110" s="46" t="str">
        <x:f>IF(OR(F110="",H110=""),"",EDATE(F110,H110))</x:f>
      </x:c>
      <x:c r="L110" s="40" t="str">
        <x:f>J110</x:f>
      </x:c>
    </x:row>
    <x:row r="111">
      <x:c r="A111" s="38" t="str"/>
      <x:c r="B111" s="38" t="str"/>
      <x:c r="C111" s="39"/>
      <x:c r="D111" s="39"/>
      <x:c r="E111" s="39"/>
      <x:c r="F111" s="46"/>
      <x:c r="G111" s="38"/>
      <x:c r="H111" s="38"/>
      <x:c r="I111" s="40"/>
      <x:c r="J111" s="40" t="str">
        <x:f>IFERROR((C111-D111)/C111,"")</x:f>
      </x:c>
      <x:c r="K111" s="46" t="str">
        <x:f>IF(OR(F111="",H111=""),"",EDATE(F111,H111))</x:f>
      </x:c>
      <x:c r="L111" s="40" t="str">
        <x:f>J111</x:f>
      </x:c>
    </x:row>
    <x:row r="112">
      <x:c r="A112" s="38" t="str"/>
      <x:c r="B112" s="38" t="str"/>
      <x:c r="C112" s="39"/>
      <x:c r="D112" s="39"/>
      <x:c r="E112" s="39"/>
      <x:c r="F112" s="46"/>
      <x:c r="G112" s="38"/>
      <x:c r="H112" s="38"/>
      <x:c r="I112" s="40"/>
      <x:c r="J112" s="40" t="str">
        <x:f>IFERROR((C112-D112)/C112,"")</x:f>
      </x:c>
      <x:c r="K112" s="46" t="str">
        <x:f>IF(OR(F112="",H112=""),"",EDATE(F112,H112))</x:f>
      </x:c>
      <x:c r="L112" s="40" t="str">
        <x:f>J112</x:f>
      </x:c>
    </x:row>
    <x:row r="113">
      <x:c r="A113" s="38" t="str"/>
      <x:c r="B113" s="38" t="str"/>
      <x:c r="C113" s="39"/>
      <x:c r="D113" s="39"/>
      <x:c r="E113" s="39"/>
      <x:c r="F113" s="46"/>
      <x:c r="G113" s="38"/>
      <x:c r="H113" s="38"/>
      <x:c r="I113" s="40"/>
      <x:c r="J113" s="40" t="str">
        <x:f>IFERROR((C113-D113)/C113,"")</x:f>
      </x:c>
      <x:c r="K113" s="46" t="str">
        <x:f>IF(OR(F113="",H113=""),"",EDATE(F113,H113))</x:f>
      </x:c>
      <x:c r="L113" s="40" t="str">
        <x:f>J113</x:f>
      </x:c>
    </x:row>
    <x:row r="114">
      <x:c r="A114" s="38" t="str"/>
      <x:c r="B114" s="38" t="str"/>
      <x:c r="C114" s="39"/>
      <x:c r="D114" s="39"/>
      <x:c r="E114" s="39"/>
      <x:c r="F114" s="46"/>
      <x:c r="G114" s="38"/>
      <x:c r="H114" s="38"/>
      <x:c r="I114" s="40"/>
      <x:c r="J114" s="40" t="str">
        <x:f>IFERROR((C114-D114)/C114,"")</x:f>
      </x:c>
      <x:c r="K114" s="46" t="str">
        <x:f>IF(OR(F114="",H114=""),"",EDATE(F114,H114))</x:f>
      </x:c>
      <x:c r="L114" s="40" t="str">
        <x:f>J114</x:f>
      </x:c>
    </x:row>
    <x:row r="115">
      <x:c r="A115" s="38" t="str"/>
      <x:c r="B115" s="38" t="str"/>
      <x:c r="C115" s="39"/>
      <x:c r="D115" s="39"/>
      <x:c r="E115" s="39"/>
      <x:c r="F115" s="46"/>
      <x:c r="G115" s="38"/>
      <x:c r="H115" s="38"/>
      <x:c r="I115" s="40"/>
      <x:c r="J115" s="40" t="str">
        <x:f>IFERROR((C115-D115)/C115,"")</x:f>
      </x:c>
      <x:c r="K115" s="46" t="str">
        <x:f>IF(OR(F115="",H115=""),"",EDATE(F115,H115))</x:f>
      </x:c>
      <x:c r="L115" s="40" t="str">
        <x:f>J115</x:f>
      </x:c>
    </x:row>
    <x:row r="116">
      <x:c r="A116" s="38" t="str"/>
      <x:c r="B116" s="38" t="str"/>
      <x:c r="C116" s="39"/>
      <x:c r="D116" s="39"/>
      <x:c r="E116" s="39"/>
      <x:c r="F116" s="46"/>
      <x:c r="G116" s="38"/>
      <x:c r="H116" s="38"/>
      <x:c r="I116" s="40"/>
      <x:c r="J116" s="40" t="str">
        <x:f>IFERROR((C116-D116)/C116,"")</x:f>
      </x:c>
      <x:c r="K116" s="46" t="str">
        <x:f>IF(OR(F116="",H116=""),"",EDATE(F116,H116))</x:f>
      </x:c>
      <x:c r="L116" s="40" t="str">
        <x:f>J116</x:f>
      </x:c>
    </x:row>
    <x:row r="117">
      <x:c r="A117" s="38" t="str"/>
      <x:c r="B117" s="38" t="str"/>
      <x:c r="C117" s="39"/>
      <x:c r="D117" s="39"/>
      <x:c r="E117" s="39"/>
      <x:c r="F117" s="46"/>
      <x:c r="G117" s="38"/>
      <x:c r="H117" s="38"/>
      <x:c r="I117" s="40"/>
      <x:c r="J117" s="40" t="str">
        <x:f>IFERROR((C117-D117)/C117,"")</x:f>
      </x:c>
      <x:c r="K117" s="46" t="str">
        <x:f>IF(OR(F117="",H117=""),"",EDATE(F117,H117))</x:f>
      </x:c>
      <x:c r="L117" s="40" t="str">
        <x:f>J117</x:f>
      </x:c>
    </x:row>
    <x:row r="118">
      <x:c r="A118" s="38" t="str"/>
      <x:c r="B118" s="38" t="str"/>
      <x:c r="C118" s="39"/>
      <x:c r="D118" s="39"/>
      <x:c r="E118" s="39"/>
      <x:c r="F118" s="46"/>
      <x:c r="G118" s="38"/>
      <x:c r="H118" s="38"/>
      <x:c r="I118" s="40"/>
      <x:c r="J118" s="40" t="str">
        <x:f>IFERROR((C118-D118)/C118,"")</x:f>
      </x:c>
      <x:c r="K118" s="46" t="str">
        <x:f>IF(OR(F118="",H118=""),"",EDATE(F118,H118))</x:f>
      </x:c>
      <x:c r="L118" s="40" t="str">
        <x:f>J118</x:f>
      </x:c>
    </x:row>
    <x:row r="119">
      <x:c r="A119" s="38" t="str"/>
      <x:c r="B119" s="38" t="str"/>
      <x:c r="C119" s="39"/>
      <x:c r="D119" s="39"/>
      <x:c r="E119" s="39"/>
      <x:c r="F119" s="46"/>
      <x:c r="G119" s="38"/>
      <x:c r="H119" s="38"/>
      <x:c r="I119" s="40"/>
      <x:c r="J119" s="40" t="str">
        <x:f>IFERROR((C119-D119)/C119,"")</x:f>
      </x:c>
      <x:c r="K119" s="46" t="str">
        <x:f>IF(OR(F119="",H119=""),"",EDATE(F119,H119))</x:f>
      </x:c>
      <x:c r="L119" s="40" t="str">
        <x:f>J119</x:f>
      </x:c>
    </x:row>
    <x:row r="120">
      <x:c r="A120" s="38" t="str"/>
      <x:c r="B120" s="38" t="str"/>
      <x:c r="C120" s="39"/>
      <x:c r="D120" s="39"/>
      <x:c r="E120" s="39"/>
      <x:c r="F120" s="46"/>
      <x:c r="G120" s="38"/>
      <x:c r="H120" s="38"/>
      <x:c r="I120" s="40"/>
      <x:c r="J120" s="40" t="str">
        <x:f>IFERROR((C120-D120)/C120,"")</x:f>
      </x:c>
      <x:c r="K120" s="46" t="str">
        <x:f>IF(OR(F120="",H120=""),"",EDATE(F120,H120))</x:f>
      </x:c>
      <x:c r="L120" s="40" t="str">
        <x:f>J120</x:f>
      </x:c>
    </x:row>
    <x:row r="121">
      <x:c r="A121" s="38" t="str"/>
      <x:c r="B121" s="38" t="str"/>
      <x:c r="C121" s="39"/>
      <x:c r="D121" s="39"/>
      <x:c r="E121" s="39"/>
      <x:c r="F121" s="46"/>
      <x:c r="G121" s="38"/>
      <x:c r="H121" s="38"/>
      <x:c r="I121" s="40"/>
      <x:c r="J121" s="40" t="str">
        <x:f>IFERROR((C121-D121)/C121,"")</x:f>
      </x:c>
      <x:c r="K121" s="46" t="str">
        <x:f>IF(OR(F121="",H121=""),"",EDATE(F121,H121))</x:f>
      </x:c>
      <x:c r="L121" s="40" t="str">
        <x:f>J121</x:f>
      </x:c>
    </x:row>
    <x:row r="122">
      <x:c r="A122" s="38" t="str"/>
      <x:c r="B122" s="38" t="str"/>
      <x:c r="C122" s="39"/>
      <x:c r="D122" s="39"/>
      <x:c r="E122" s="39"/>
      <x:c r="F122" s="46"/>
      <x:c r="G122" s="38"/>
      <x:c r="H122" s="38"/>
      <x:c r="I122" s="40"/>
      <x:c r="J122" s="40" t="str">
        <x:f>IFERROR((C122-D122)/C122,"")</x:f>
      </x:c>
      <x:c r="K122" s="46" t="str">
        <x:f>IF(OR(F122="",H122=""),"",EDATE(F122,H122))</x:f>
      </x:c>
      <x:c r="L122" s="40" t="str">
        <x:f>J122</x:f>
      </x:c>
    </x:row>
    <x:row r="123">
      <x:c r="A123" s="38" t="str"/>
      <x:c r="B123" s="38" t="str"/>
      <x:c r="C123" s="39"/>
      <x:c r="D123" s="39"/>
      <x:c r="E123" s="39"/>
      <x:c r="F123" s="46"/>
      <x:c r="G123" s="38"/>
      <x:c r="H123" s="38"/>
      <x:c r="I123" s="40"/>
      <x:c r="J123" s="40" t="str">
        <x:f>IFERROR((C123-D123)/C123,"")</x:f>
      </x:c>
      <x:c r="K123" s="46" t="str">
        <x:f>IF(OR(F123="",H123=""),"",EDATE(F123,H123))</x:f>
      </x:c>
      <x:c r="L123" s="40" t="str">
        <x:f>J123</x:f>
      </x:c>
    </x:row>
    <x:row r="124">
      <x:c r="A124" s="38" t="str"/>
      <x:c r="B124" s="38" t="str"/>
      <x:c r="C124" s="39"/>
      <x:c r="D124" s="39"/>
      <x:c r="E124" s="39"/>
      <x:c r="F124" s="46"/>
      <x:c r="G124" s="38"/>
      <x:c r="H124" s="38"/>
      <x:c r="I124" s="40"/>
      <x:c r="J124" s="40" t="str">
        <x:f>IFERROR((C124-D124)/C124,"")</x:f>
      </x:c>
      <x:c r="K124" s="46" t="str">
        <x:f>IF(OR(F124="",H124=""),"",EDATE(F124,H124))</x:f>
      </x:c>
      <x:c r="L124" s="40" t="str">
        <x:f>J124</x:f>
      </x:c>
    </x:row>
    <x:row r="125">
      <x:c r="A125" s="38" t="str"/>
      <x:c r="B125" s="38" t="str"/>
      <x:c r="C125" s="39"/>
      <x:c r="D125" s="39"/>
      <x:c r="E125" s="39"/>
      <x:c r="F125" s="46"/>
      <x:c r="G125" s="38"/>
      <x:c r="H125" s="38"/>
      <x:c r="I125" s="40"/>
      <x:c r="J125" s="40" t="str">
        <x:f>IFERROR((C125-D125)/C125,"")</x:f>
      </x:c>
      <x:c r="K125" s="46" t="str">
        <x:f>IF(OR(F125="",H125=""),"",EDATE(F125,H125))</x:f>
      </x:c>
      <x:c r="L125" s="40" t="str">
        <x:f>J125</x:f>
      </x:c>
    </x:row>
    <x:row r="126">
      <x:c r="A126" s="38" t="str"/>
      <x:c r="B126" s="38" t="str"/>
      <x:c r="C126" s="39"/>
      <x:c r="D126" s="39"/>
      <x:c r="E126" s="39"/>
      <x:c r="F126" s="46"/>
      <x:c r="G126" s="38"/>
      <x:c r="H126" s="38"/>
      <x:c r="I126" s="40"/>
      <x:c r="J126" s="40" t="str">
        <x:f>IFERROR((C126-D126)/C126,"")</x:f>
      </x:c>
      <x:c r="K126" s="46" t="str">
        <x:f>IF(OR(F126="",H126=""),"",EDATE(F126,H126))</x:f>
      </x:c>
      <x:c r="L126" s="40" t="str">
        <x:f>J126</x:f>
      </x:c>
    </x:row>
    <x:row r="127">
      <x:c r="A127" s="38" t="str"/>
      <x:c r="B127" s="38" t="str"/>
      <x:c r="C127" s="39"/>
      <x:c r="D127" s="39"/>
      <x:c r="E127" s="39"/>
      <x:c r="F127" s="46"/>
      <x:c r="G127" s="38"/>
      <x:c r="H127" s="38"/>
      <x:c r="I127" s="40"/>
      <x:c r="J127" s="40" t="str">
        <x:f>IFERROR((C127-D127)/C127,"")</x:f>
      </x:c>
      <x:c r="K127" s="46" t="str">
        <x:f>IF(OR(F127="",H127=""),"",EDATE(F127,H127))</x:f>
      </x:c>
      <x:c r="L127" s="40" t="str">
        <x:f>J127</x:f>
      </x:c>
    </x:row>
    <x:row r="128">
      <x:c r="A128" s="38" t="str"/>
      <x:c r="B128" s="38" t="str"/>
      <x:c r="C128" s="39"/>
      <x:c r="D128" s="39"/>
      <x:c r="E128" s="39"/>
      <x:c r="F128" s="46"/>
      <x:c r="G128" s="38"/>
      <x:c r="H128" s="38"/>
      <x:c r="I128" s="40"/>
      <x:c r="J128" s="40" t="str">
        <x:f>IFERROR((C128-D128)/C128,"")</x:f>
      </x:c>
      <x:c r="K128" s="46" t="str">
        <x:f>IF(OR(F128="",H128=""),"",EDATE(F128,H128))</x:f>
      </x:c>
      <x:c r="L128" s="40" t="str">
        <x:f>J128</x:f>
      </x:c>
    </x:row>
    <x:row r="129">
      <x:c r="A129" s="38" t="str"/>
      <x:c r="B129" s="38" t="str"/>
      <x:c r="C129" s="39"/>
      <x:c r="D129" s="39"/>
      <x:c r="E129" s="39"/>
      <x:c r="F129" s="46"/>
      <x:c r="G129" s="38"/>
      <x:c r="H129" s="38"/>
      <x:c r="I129" s="40"/>
      <x:c r="J129" s="40" t="str">
        <x:f>IFERROR((C129-D129)/C129,"")</x:f>
      </x:c>
      <x:c r="K129" s="46" t="str">
        <x:f>IF(OR(F129="",H129=""),"",EDATE(F129,H129))</x:f>
      </x:c>
      <x:c r="L129" s="40" t="str">
        <x:f>J129</x:f>
      </x:c>
    </x:row>
    <x:row r="130">
      <x:c r="A130" s="38" t="str"/>
      <x:c r="B130" s="38" t="str"/>
      <x:c r="C130" s="39"/>
      <x:c r="D130" s="39"/>
      <x:c r="E130" s="39"/>
      <x:c r="F130" s="46"/>
      <x:c r="G130" s="38"/>
      <x:c r="H130" s="38"/>
      <x:c r="I130" s="40"/>
      <x:c r="J130" s="40" t="str">
        <x:f>IFERROR((C130-D130)/C130,"")</x:f>
      </x:c>
      <x:c r="K130" s="46" t="str">
        <x:f>IF(OR(F130="",H130=""),"",EDATE(F130,H130))</x:f>
      </x:c>
      <x:c r="L130" s="40" t="str">
        <x:f>J130</x:f>
      </x:c>
    </x:row>
    <x:row r="131">
      <x:c r="A131" s="38" t="str"/>
      <x:c r="B131" s="38" t="str"/>
      <x:c r="C131" s="39"/>
      <x:c r="D131" s="39"/>
      <x:c r="E131" s="39"/>
      <x:c r="F131" s="46"/>
      <x:c r="G131" s="38"/>
      <x:c r="H131" s="38"/>
      <x:c r="I131" s="40"/>
      <x:c r="J131" s="40" t="str">
        <x:f>IFERROR((C131-D131)/C131,"")</x:f>
      </x:c>
      <x:c r="K131" s="46" t="str">
        <x:f>IF(OR(F131="",H131=""),"",EDATE(F131,H131))</x:f>
      </x:c>
      <x:c r="L131" s="40" t="str">
        <x:f>J131</x:f>
      </x:c>
    </x:row>
    <x:row r="132">
      <x:c r="A132" s="38" t="str"/>
      <x:c r="B132" s="38" t="str"/>
      <x:c r="C132" s="39"/>
      <x:c r="D132" s="39"/>
      <x:c r="E132" s="39"/>
      <x:c r="F132" s="46"/>
      <x:c r="G132" s="38"/>
      <x:c r="H132" s="38"/>
      <x:c r="I132" s="40"/>
      <x:c r="J132" s="40" t="str">
        <x:f>IFERROR((C132-D132)/C132,"")</x:f>
      </x:c>
      <x:c r="K132" s="46" t="str">
        <x:f>IF(OR(F132="",H132=""),"",EDATE(F132,H132))</x:f>
      </x:c>
      <x:c r="L132" s="40" t="str">
        <x:f>J132</x:f>
      </x:c>
    </x:row>
    <x:row r="133">
      <x:c r="A133" s="38" t="str"/>
      <x:c r="B133" s="38" t="str"/>
      <x:c r="C133" s="39"/>
      <x:c r="D133" s="39"/>
      <x:c r="E133" s="39"/>
      <x:c r="F133" s="46"/>
      <x:c r="G133" s="38"/>
      <x:c r="H133" s="38"/>
      <x:c r="I133" s="40"/>
      <x:c r="J133" s="40" t="str">
        <x:f>IFERROR((C133-D133)/C133,"")</x:f>
      </x:c>
      <x:c r="K133" s="46" t="str">
        <x:f>IF(OR(F133="",H133=""),"",EDATE(F133,H133))</x:f>
      </x:c>
      <x:c r="L133" s="40" t="str">
        <x:f>J133</x:f>
      </x:c>
    </x:row>
    <x:row r="134">
      <x:c r="A134" s="38" t="str"/>
      <x:c r="B134" s="38" t="str"/>
      <x:c r="C134" s="39"/>
      <x:c r="D134" s="39"/>
      <x:c r="E134" s="39"/>
      <x:c r="F134" s="46"/>
      <x:c r="G134" s="38"/>
      <x:c r="H134" s="38"/>
      <x:c r="I134" s="40"/>
      <x:c r="J134" s="40" t="str">
        <x:f>IFERROR((C134-D134)/C134,"")</x:f>
      </x:c>
      <x:c r="K134" s="46" t="str">
        <x:f>IF(OR(F134="",H134=""),"",EDATE(F134,H134))</x:f>
      </x:c>
      <x:c r="L134" s="40" t="str">
        <x:f>J134</x:f>
      </x:c>
    </x:row>
    <x:row r="135">
      <x:c r="A135" s="38" t="str"/>
      <x:c r="B135" s="38" t="str"/>
      <x:c r="C135" s="39"/>
      <x:c r="D135" s="39"/>
      <x:c r="E135" s="39"/>
      <x:c r="F135" s="46"/>
      <x:c r="G135" s="38"/>
      <x:c r="H135" s="38"/>
      <x:c r="I135" s="40"/>
      <x:c r="J135" s="40" t="str">
        <x:f>IFERROR((C135-D135)/C135,"")</x:f>
      </x:c>
      <x:c r="K135" s="46" t="str">
        <x:f>IF(OR(F135="",H135=""),"",EDATE(F135,H135))</x:f>
      </x:c>
      <x:c r="L135" s="40" t="str">
        <x:f>J135</x:f>
      </x:c>
    </x:row>
    <x:row r="136">
      <x:c r="A136" s="38" t="str"/>
      <x:c r="B136" s="38" t="str"/>
      <x:c r="C136" s="39"/>
      <x:c r="D136" s="39"/>
      <x:c r="E136" s="39"/>
      <x:c r="F136" s="46"/>
      <x:c r="G136" s="38"/>
      <x:c r="H136" s="38"/>
      <x:c r="I136" s="40"/>
      <x:c r="J136" s="40" t="str">
        <x:f>IFERROR((C136-D136)/C136,"")</x:f>
      </x:c>
      <x:c r="K136" s="46" t="str">
        <x:f>IF(OR(F136="",H136=""),"",EDATE(F136,H136))</x:f>
      </x:c>
      <x:c r="L136" s="40" t="str">
        <x:f>J136</x:f>
      </x:c>
    </x:row>
    <x:row r="137">
      <x:c r="A137" s="38" t="str"/>
      <x:c r="B137" s="38" t="str"/>
      <x:c r="C137" s="39"/>
      <x:c r="D137" s="39"/>
      <x:c r="E137" s="39"/>
      <x:c r="F137" s="46"/>
      <x:c r="G137" s="38"/>
      <x:c r="H137" s="38"/>
      <x:c r="I137" s="40"/>
      <x:c r="J137" s="40" t="str">
        <x:f>IFERROR((C137-D137)/C137,"")</x:f>
      </x:c>
      <x:c r="K137" s="46" t="str">
        <x:f>IF(OR(F137="",H137=""),"",EDATE(F137,H137))</x:f>
      </x:c>
      <x:c r="L137" s="40" t="str">
        <x:f>J137</x:f>
      </x:c>
    </x:row>
    <x:row r="138">
      <x:c r="A138" s="38" t="str"/>
      <x:c r="B138" s="38" t="str"/>
      <x:c r="C138" s="39"/>
      <x:c r="D138" s="39"/>
      <x:c r="E138" s="39"/>
      <x:c r="F138" s="46"/>
      <x:c r="G138" s="38"/>
      <x:c r="H138" s="38"/>
      <x:c r="I138" s="40"/>
      <x:c r="J138" s="40" t="str">
        <x:f>IFERROR((C138-D138)/C138,"")</x:f>
      </x:c>
      <x:c r="K138" s="46" t="str">
        <x:f>IF(OR(F138="",H138=""),"",EDATE(F138,H138))</x:f>
      </x:c>
      <x:c r="L138" s="40" t="str">
        <x:f>J138</x:f>
      </x:c>
    </x:row>
    <x:row r="139">
      <x:c r="A139" s="38" t="str"/>
      <x:c r="B139" s="38" t="str"/>
      <x:c r="C139" s="39"/>
      <x:c r="D139" s="39"/>
      <x:c r="E139" s="39"/>
      <x:c r="F139" s="46"/>
      <x:c r="G139" s="38"/>
      <x:c r="H139" s="38"/>
      <x:c r="I139" s="40"/>
      <x:c r="J139" s="40" t="str">
        <x:f>IFERROR((C139-D139)/C139,"")</x:f>
      </x:c>
      <x:c r="K139" s="46" t="str">
        <x:f>IF(OR(F139="",H139=""),"",EDATE(F139,H139))</x:f>
      </x:c>
      <x:c r="L139" s="40" t="str">
        <x:f>J139</x:f>
      </x:c>
    </x:row>
    <x:row r="140">
      <x:c r="A140" s="38" t="str"/>
      <x:c r="B140" s="38" t="str"/>
      <x:c r="C140" s="39"/>
      <x:c r="D140" s="39"/>
      <x:c r="E140" s="39"/>
      <x:c r="F140" s="46"/>
      <x:c r="G140" s="38"/>
      <x:c r="H140" s="38"/>
      <x:c r="I140" s="40"/>
      <x:c r="J140" s="40" t="str">
        <x:f>IFERROR((C140-D140)/C140,"")</x:f>
      </x:c>
      <x:c r="K140" s="46" t="str">
        <x:f>IF(OR(F140="",H140=""),"",EDATE(F140,H140))</x:f>
      </x:c>
      <x:c r="L140" s="40" t="str">
        <x:f>J140</x:f>
      </x:c>
    </x:row>
    <x:row r="141">
      <x:c r="A141" s="38" t="str"/>
      <x:c r="B141" s="38" t="str"/>
      <x:c r="C141" s="39"/>
      <x:c r="D141" s="39"/>
      <x:c r="E141" s="39"/>
      <x:c r="F141" s="46"/>
      <x:c r="G141" s="38"/>
      <x:c r="H141" s="38"/>
      <x:c r="I141" s="40"/>
      <x:c r="J141" s="40" t="str">
        <x:f>IFERROR((C141-D141)/C141,"")</x:f>
      </x:c>
      <x:c r="K141" s="46" t="str">
        <x:f>IF(OR(F141="",H141=""),"",EDATE(F141,H141))</x:f>
      </x:c>
      <x:c r="L141" s="40" t="str">
        <x:f>J141</x:f>
      </x:c>
    </x:row>
    <x:row r="142">
      <x:c r="A142" s="38" t="str"/>
      <x:c r="B142" s="38" t="str"/>
      <x:c r="C142" s="39"/>
      <x:c r="D142" s="39"/>
      <x:c r="E142" s="39"/>
      <x:c r="F142" s="46"/>
      <x:c r="G142" s="38"/>
      <x:c r="H142" s="38"/>
      <x:c r="I142" s="40"/>
      <x:c r="J142" s="40" t="str">
        <x:f>IFERROR((C142-D142)/C142,"")</x:f>
      </x:c>
      <x:c r="K142" s="46" t="str">
        <x:f>IF(OR(F142="",H142=""),"",EDATE(F142,H142))</x:f>
      </x:c>
      <x:c r="L142" s="40" t="str">
        <x:f>J142</x:f>
      </x:c>
    </x:row>
    <x:row r="143">
      <x:c r="A143" s="38" t="str"/>
      <x:c r="B143" s="38" t="str"/>
      <x:c r="C143" s="39"/>
      <x:c r="D143" s="39"/>
      <x:c r="E143" s="39"/>
      <x:c r="F143" s="46"/>
      <x:c r="G143" s="38"/>
      <x:c r="H143" s="38"/>
      <x:c r="I143" s="40"/>
      <x:c r="J143" s="40" t="str">
        <x:f>IFERROR((C143-D143)/C143,"")</x:f>
      </x:c>
      <x:c r="K143" s="46" t="str">
        <x:f>IF(OR(F143="",H143=""),"",EDATE(F143,H143))</x:f>
      </x:c>
      <x:c r="L143" s="40" t="str">
        <x:f>J143</x:f>
      </x:c>
    </x:row>
    <x:row r="144">
      <x:c r="A144" s="38" t="str"/>
      <x:c r="B144" s="38" t="str"/>
      <x:c r="C144" s="39"/>
      <x:c r="D144" s="39"/>
      <x:c r="E144" s="39"/>
      <x:c r="F144" s="46"/>
      <x:c r="G144" s="38"/>
      <x:c r="H144" s="38"/>
      <x:c r="I144" s="40"/>
      <x:c r="J144" s="40" t="str">
        <x:f>IFERROR((C144-D144)/C144,"")</x:f>
      </x:c>
      <x:c r="K144" s="46" t="str">
        <x:f>IF(OR(F144="",H144=""),"",EDATE(F144,H144))</x:f>
      </x:c>
      <x:c r="L144" s="40" t="str">
        <x:f>J144</x:f>
      </x:c>
    </x:row>
    <x:row r="145">
      <x:c r="A145" s="38" t="str"/>
      <x:c r="B145" s="38" t="str"/>
      <x:c r="C145" s="39"/>
      <x:c r="D145" s="39"/>
      <x:c r="E145" s="39"/>
      <x:c r="F145" s="46"/>
      <x:c r="G145" s="38"/>
      <x:c r="H145" s="38"/>
      <x:c r="I145" s="40"/>
      <x:c r="J145" s="40" t="str">
        <x:f>IFERROR((C145-D145)/C145,"")</x:f>
      </x:c>
      <x:c r="K145" s="46" t="str">
        <x:f>IF(OR(F145="",H145=""),"",EDATE(F145,H145))</x:f>
      </x:c>
      <x:c r="L145" s="40" t="str">
        <x:f>J145</x:f>
      </x:c>
    </x:row>
    <x:row r="146">
      <x:c r="A146" s="38" t="str"/>
      <x:c r="B146" s="38" t="str"/>
      <x:c r="C146" s="39"/>
      <x:c r="D146" s="39"/>
      <x:c r="E146" s="39"/>
      <x:c r="F146" s="46"/>
      <x:c r="G146" s="38"/>
      <x:c r="H146" s="38"/>
      <x:c r="I146" s="40"/>
      <x:c r="J146" s="40" t="str">
        <x:f>IFERROR((C146-D146)/C146,"")</x:f>
      </x:c>
      <x:c r="K146" s="46" t="str">
        <x:f>IF(OR(F146="",H146=""),"",EDATE(F146,H146))</x:f>
      </x:c>
      <x:c r="L146" s="40" t="str">
        <x:f>J146</x:f>
      </x:c>
    </x:row>
    <x:row r="147">
      <x:c r="A147" s="38" t="str"/>
      <x:c r="B147" s="38" t="str"/>
      <x:c r="C147" s="39"/>
      <x:c r="D147" s="39"/>
      <x:c r="E147" s="39"/>
      <x:c r="F147" s="46"/>
      <x:c r="G147" s="38"/>
      <x:c r="H147" s="38"/>
      <x:c r="I147" s="40"/>
      <x:c r="J147" s="40" t="str">
        <x:f>IFERROR((C147-D147)/C147,"")</x:f>
      </x:c>
      <x:c r="K147" s="46" t="str">
        <x:f>IF(OR(F147="",H147=""),"",EDATE(F147,H147))</x:f>
      </x:c>
      <x:c r="L147" s="40" t="str">
        <x:f>J147</x:f>
      </x:c>
    </x:row>
    <x:row r="148">
      <x:c r="A148" s="38" t="str"/>
      <x:c r="B148" s="38" t="str"/>
      <x:c r="C148" s="39"/>
      <x:c r="D148" s="39"/>
      <x:c r="E148" s="39"/>
      <x:c r="F148" s="46"/>
      <x:c r="G148" s="38"/>
      <x:c r="H148" s="38"/>
      <x:c r="I148" s="40"/>
      <x:c r="J148" s="40" t="str">
        <x:f>IFERROR((C148-D148)/C148,"")</x:f>
      </x:c>
      <x:c r="K148" s="46" t="str">
        <x:f>IF(OR(F148="",H148=""),"",EDATE(F148,H148))</x:f>
      </x:c>
      <x:c r="L148" s="40" t="str">
        <x:f>J148</x:f>
      </x:c>
    </x:row>
    <x:row r="149">
      <x:c r="A149" s="38" t="str"/>
      <x:c r="B149" s="38" t="str"/>
      <x:c r="C149" s="39"/>
      <x:c r="D149" s="39"/>
      <x:c r="E149" s="39"/>
      <x:c r="F149" s="46"/>
      <x:c r="G149" s="38"/>
      <x:c r="H149" s="38"/>
      <x:c r="I149" s="40"/>
      <x:c r="J149" s="40" t="str">
        <x:f>IFERROR((C149-D149)/C149,"")</x:f>
      </x:c>
      <x:c r="K149" s="46" t="str">
        <x:f>IF(OR(F149="",H149=""),"",EDATE(F149,H149))</x:f>
      </x:c>
      <x:c r="L149" s="40" t="str">
        <x:f>J149</x:f>
      </x:c>
    </x:row>
    <x:row r="150">
      <x:c r="A150" s="38" t="str"/>
      <x:c r="B150" s="38" t="str"/>
      <x:c r="C150" s="39"/>
      <x:c r="D150" s="39"/>
      <x:c r="E150" s="39"/>
      <x:c r="F150" s="46"/>
      <x:c r="G150" s="38"/>
      <x:c r="H150" s="38"/>
      <x:c r="I150" s="40"/>
      <x:c r="J150" s="40" t="str">
        <x:f>IFERROR((C150-D150)/C150,"")</x:f>
      </x:c>
      <x:c r="K150" s="46" t="str">
        <x:f>IF(OR(F150="",H150=""),"",EDATE(F150,H150))</x:f>
      </x:c>
      <x:c r="L150" s="40" t="str">
        <x:f>J150</x:f>
      </x:c>
    </x:row>
    <x:row r="151">
      <x:c r="A151" s="38" t="str"/>
      <x:c r="B151" s="38" t="str"/>
      <x:c r="C151" s="39"/>
      <x:c r="D151" s="39"/>
      <x:c r="E151" s="39"/>
      <x:c r="F151" s="46"/>
      <x:c r="G151" s="38"/>
      <x:c r="H151" s="38"/>
      <x:c r="I151" s="40"/>
      <x:c r="J151" s="40" t="str">
        <x:f>IFERROR((C151-D151)/C151,"")</x:f>
      </x:c>
      <x:c r="K151" s="46" t="str">
        <x:f>IF(OR(F151="",H151=""),"",EDATE(F151,H151))</x:f>
      </x:c>
      <x:c r="L151" s="40" t="str">
        <x:f>J151</x:f>
      </x:c>
    </x:row>
    <x:row r="152">
      <x:c r="A152" s="38" t="str"/>
      <x:c r="B152" s="38" t="str"/>
      <x:c r="C152" s="39"/>
      <x:c r="D152" s="39"/>
      <x:c r="E152" s="39"/>
      <x:c r="F152" s="46"/>
      <x:c r="G152" s="38"/>
      <x:c r="H152" s="38"/>
      <x:c r="I152" s="40"/>
      <x:c r="J152" s="40" t="str">
        <x:f>IFERROR((C152-D152)/C152,"")</x:f>
      </x:c>
      <x:c r="K152" s="46" t="str">
        <x:f>IF(OR(F152="",H152=""),"",EDATE(F152,H152))</x:f>
      </x:c>
      <x:c r="L152" s="40" t="str">
        <x:f>J152</x:f>
      </x:c>
    </x:row>
    <x:row r="153">
      <x:c r="A153" s="38" t="str"/>
      <x:c r="B153" s="38" t="str"/>
      <x:c r="C153" s="39"/>
      <x:c r="D153" s="39"/>
      <x:c r="E153" s="39"/>
      <x:c r="F153" s="46"/>
      <x:c r="G153" s="38"/>
      <x:c r="H153" s="38"/>
      <x:c r="I153" s="40"/>
      <x:c r="J153" s="40" t="str">
        <x:f>IFERROR((C153-D153)/C153,"")</x:f>
      </x:c>
      <x:c r="K153" s="46" t="str">
        <x:f>IF(OR(F153="",H153=""),"",EDATE(F153,H153))</x:f>
      </x:c>
      <x:c r="L153" s="40" t="str">
        <x:f>J153</x:f>
      </x:c>
    </x:row>
    <x:row r="154">
      <x:c r="A154" s="38" t="str"/>
      <x:c r="B154" s="38" t="str"/>
      <x:c r="C154" s="39"/>
      <x:c r="D154" s="39"/>
      <x:c r="E154" s="39"/>
      <x:c r="F154" s="46"/>
      <x:c r="G154" s="38"/>
      <x:c r="H154" s="38"/>
      <x:c r="I154" s="40"/>
      <x:c r="J154" s="40" t="str">
        <x:f>IFERROR((C154-D154)/C154,"")</x:f>
      </x:c>
      <x:c r="K154" s="46" t="str">
        <x:f>IF(OR(F154="",H154=""),"",EDATE(F154,H154))</x:f>
      </x:c>
      <x:c r="L154" s="40" t="str">
        <x:f>J154</x:f>
      </x:c>
    </x:row>
    <x:row r="155">
      <x:c r="A155" s="38" t="str"/>
      <x:c r="B155" s="38" t="str"/>
      <x:c r="C155" s="39"/>
      <x:c r="D155" s="39"/>
      <x:c r="E155" s="39"/>
      <x:c r="F155" s="46"/>
      <x:c r="G155" s="38"/>
      <x:c r="H155" s="38"/>
      <x:c r="I155" s="40"/>
      <x:c r="J155" s="40" t="str">
        <x:f>IFERROR((C155-D155)/C155,"")</x:f>
      </x:c>
      <x:c r="K155" s="46" t="str">
        <x:f>IF(OR(F155="",H155=""),"",EDATE(F155,H155))</x:f>
      </x:c>
      <x:c r="L155" s="40" t="str">
        <x:f>J155</x:f>
      </x:c>
    </x:row>
    <x:row r="156">
      <x:c r="A156" s="38" t="str"/>
      <x:c r="B156" s="38" t="str"/>
      <x:c r="C156" s="39"/>
      <x:c r="D156" s="39"/>
      <x:c r="E156" s="39"/>
      <x:c r="F156" s="46"/>
      <x:c r="G156" s="38"/>
      <x:c r="H156" s="38"/>
      <x:c r="I156" s="40"/>
      <x:c r="J156" s="40" t="str">
        <x:f>IFERROR((C156-D156)/C156,"")</x:f>
      </x:c>
      <x:c r="K156" s="46" t="str">
        <x:f>IF(OR(F156="",H156=""),"",EDATE(F156,H156))</x:f>
      </x:c>
      <x:c r="L156" s="40" t="str">
        <x:f>J156</x:f>
      </x:c>
    </x:row>
    <x:row r="157">
      <x:c r="A157" s="38" t="str"/>
      <x:c r="B157" s="38" t="str"/>
      <x:c r="C157" s="39"/>
      <x:c r="D157" s="39"/>
      <x:c r="E157" s="39"/>
      <x:c r="F157" s="46"/>
      <x:c r="G157" s="38"/>
      <x:c r="H157" s="38"/>
      <x:c r="I157" s="40"/>
      <x:c r="J157" s="40" t="str">
        <x:f>IFERROR((C157-D157)/C157,"")</x:f>
      </x:c>
      <x:c r="K157" s="46" t="str">
        <x:f>IF(OR(F157="",H157=""),"",EDATE(F157,H157))</x:f>
      </x:c>
      <x:c r="L157" s="40" t="str">
        <x:f>J157</x:f>
      </x:c>
    </x:row>
    <x:row r="158">
      <x:c r="A158" s="38" t="str"/>
      <x:c r="B158" s="38" t="str"/>
      <x:c r="C158" s="39"/>
      <x:c r="D158" s="39"/>
      <x:c r="E158" s="39"/>
      <x:c r="F158" s="46"/>
      <x:c r="G158" s="38"/>
      <x:c r="H158" s="38"/>
      <x:c r="I158" s="40"/>
      <x:c r="J158" s="40" t="str">
        <x:f>IFERROR((C158-D158)/C158,"")</x:f>
      </x:c>
      <x:c r="K158" s="46" t="str">
        <x:f>IF(OR(F158="",H158=""),"",EDATE(F158,H158))</x:f>
      </x:c>
      <x:c r="L158" s="40" t="str">
        <x:f>J158</x:f>
      </x:c>
    </x:row>
    <x:row r="159">
      <x:c r="A159" s="38" t="str"/>
      <x:c r="B159" s="38" t="str"/>
      <x:c r="C159" s="39"/>
      <x:c r="D159" s="39"/>
      <x:c r="E159" s="39"/>
      <x:c r="F159" s="46"/>
      <x:c r="G159" s="38"/>
      <x:c r="H159" s="38"/>
      <x:c r="I159" s="40"/>
      <x:c r="J159" s="40" t="str">
        <x:f>IFERROR((C159-D159)/C159,"")</x:f>
      </x:c>
      <x:c r="K159" s="46" t="str">
        <x:f>IF(OR(F159="",H159=""),"",EDATE(F159,H159))</x:f>
      </x:c>
      <x:c r="L159" s="40" t="str">
        <x:f>J159</x:f>
      </x:c>
    </x:row>
    <x:row r="160">
      <x:c r="A160" s="38" t="str"/>
      <x:c r="B160" s="38" t="str"/>
      <x:c r="C160" s="39"/>
      <x:c r="D160" s="39"/>
      <x:c r="E160" s="39"/>
      <x:c r="F160" s="46"/>
      <x:c r="G160" s="38"/>
      <x:c r="H160" s="38"/>
      <x:c r="I160" s="40"/>
      <x:c r="J160" s="40" t="str">
        <x:f>IFERROR((C160-D160)/C160,"")</x:f>
      </x:c>
      <x:c r="K160" s="46" t="str">
        <x:f>IF(OR(F160="",H160=""),"",EDATE(F160,H160))</x:f>
      </x:c>
      <x:c r="L160" s="40" t="str">
        <x:f>J160</x:f>
      </x:c>
    </x:row>
    <x:row r="161">
      <x:c r="A161" s="38" t="str"/>
      <x:c r="B161" s="38" t="str"/>
      <x:c r="C161" s="39"/>
      <x:c r="D161" s="39"/>
      <x:c r="E161" s="39"/>
      <x:c r="F161" s="46"/>
      <x:c r="G161" s="38"/>
      <x:c r="H161" s="38"/>
      <x:c r="I161" s="40"/>
      <x:c r="J161" s="40" t="str">
        <x:f>IFERROR((C161-D161)/C161,"")</x:f>
      </x:c>
      <x:c r="K161" s="46" t="str">
        <x:f>IF(OR(F161="",H161=""),"",EDATE(F161,H161))</x:f>
      </x:c>
      <x:c r="L161" s="40" t="str">
        <x:f>J161</x:f>
      </x:c>
    </x:row>
    <x:row r="162">
      <x:c r="A162" s="38" t="str"/>
      <x:c r="B162" s="38" t="str"/>
      <x:c r="C162" s="39"/>
      <x:c r="D162" s="39"/>
      <x:c r="E162" s="39"/>
      <x:c r="F162" s="46"/>
      <x:c r="G162" s="38"/>
      <x:c r="H162" s="38"/>
      <x:c r="I162" s="40"/>
      <x:c r="J162" s="40" t="str">
        <x:f>IFERROR((C162-D162)/C162,"")</x:f>
      </x:c>
      <x:c r="K162" s="46" t="str">
        <x:f>IF(OR(F162="",H162=""),"",EDATE(F162,H162))</x:f>
      </x:c>
      <x:c r="L162" s="40" t="str">
        <x:f>J162</x:f>
      </x:c>
    </x:row>
    <x:row r="163">
      <x:c r="A163" s="38" t="str"/>
      <x:c r="B163" s="38" t="str"/>
      <x:c r="C163" s="39"/>
      <x:c r="D163" s="39"/>
      <x:c r="E163" s="39"/>
      <x:c r="F163" s="46"/>
      <x:c r="G163" s="38"/>
      <x:c r="H163" s="38"/>
      <x:c r="I163" s="40"/>
      <x:c r="J163" s="40" t="str">
        <x:f>IFERROR((C163-D163)/C163,"")</x:f>
      </x:c>
      <x:c r="K163" s="46" t="str">
        <x:f>IF(OR(F163="",H163=""),"",EDATE(F163,H163))</x:f>
      </x:c>
      <x:c r="L163" s="40" t="str">
        <x:f>J163</x:f>
      </x:c>
    </x:row>
    <x:row r="164">
      <x:c r="A164" s="38" t="str"/>
      <x:c r="B164" s="38" t="str"/>
      <x:c r="C164" s="39"/>
      <x:c r="D164" s="39"/>
      <x:c r="E164" s="39"/>
      <x:c r="F164" s="46"/>
      <x:c r="G164" s="38"/>
      <x:c r="H164" s="38"/>
      <x:c r="I164" s="40"/>
      <x:c r="J164" s="40" t="str">
        <x:f>IFERROR((C164-D164)/C164,"")</x:f>
      </x:c>
      <x:c r="K164" s="46" t="str">
        <x:f>IF(OR(F164="",H164=""),"",EDATE(F164,H164))</x:f>
      </x:c>
      <x:c r="L164" s="40" t="str">
        <x:f>J164</x:f>
      </x:c>
    </x:row>
    <x:row r="165">
      <x:c r="A165" s="38" t="str"/>
      <x:c r="B165" s="38" t="str"/>
      <x:c r="C165" s="39"/>
      <x:c r="D165" s="39"/>
      <x:c r="E165" s="39"/>
      <x:c r="F165" s="46"/>
      <x:c r="G165" s="38"/>
      <x:c r="H165" s="38"/>
      <x:c r="I165" s="40"/>
      <x:c r="J165" s="40" t="str">
        <x:f>IFERROR((C165-D165)/C165,"")</x:f>
      </x:c>
      <x:c r="K165" s="46" t="str">
        <x:f>IF(OR(F165="",H165=""),"",EDATE(F165,H165))</x:f>
      </x:c>
      <x:c r="L165" s="40" t="str">
        <x:f>J165</x:f>
      </x:c>
    </x:row>
    <x:row r="166">
      <x:c r="A166" s="38" t="str"/>
      <x:c r="B166" s="38" t="str"/>
      <x:c r="C166" s="39"/>
      <x:c r="D166" s="39"/>
      <x:c r="E166" s="39"/>
      <x:c r="F166" s="46"/>
      <x:c r="G166" s="38"/>
      <x:c r="H166" s="38"/>
      <x:c r="I166" s="40"/>
      <x:c r="J166" s="40" t="str">
        <x:f>IFERROR((C166-D166)/C166,"")</x:f>
      </x:c>
      <x:c r="K166" s="46" t="str">
        <x:f>IF(OR(F166="",H166=""),"",EDATE(F166,H166))</x:f>
      </x:c>
      <x:c r="L166" s="40" t="str">
        <x:f>J166</x:f>
      </x:c>
    </x:row>
    <x:row r="167">
      <x:c r="A167" s="38" t="str"/>
      <x:c r="B167" s="38" t="str"/>
      <x:c r="C167" s="39"/>
      <x:c r="D167" s="39"/>
      <x:c r="E167" s="39"/>
      <x:c r="F167" s="46"/>
      <x:c r="G167" s="38"/>
      <x:c r="H167" s="38"/>
      <x:c r="I167" s="40"/>
      <x:c r="J167" s="40" t="str">
        <x:f>IFERROR((C167-D167)/C167,"")</x:f>
      </x:c>
      <x:c r="K167" s="46" t="str">
        <x:f>IF(OR(F167="",H167=""),"",EDATE(F167,H167))</x:f>
      </x:c>
      <x:c r="L167" s="40" t="str">
        <x:f>J167</x:f>
      </x:c>
    </x:row>
    <x:row r="168">
      <x:c r="A168" s="38" t="str"/>
      <x:c r="B168" s="38" t="str"/>
      <x:c r="C168" s="39"/>
      <x:c r="D168" s="39"/>
      <x:c r="E168" s="39"/>
      <x:c r="F168" s="46"/>
      <x:c r="G168" s="38"/>
      <x:c r="H168" s="38"/>
      <x:c r="I168" s="40"/>
      <x:c r="J168" s="40" t="str">
        <x:f>IFERROR((C168-D168)/C168,"")</x:f>
      </x:c>
      <x:c r="K168" s="46" t="str">
        <x:f>IF(OR(F168="",H168=""),"",EDATE(F168,H168))</x:f>
      </x:c>
      <x:c r="L168" s="40" t="str">
        <x:f>J168</x:f>
      </x:c>
    </x:row>
    <x:row r="169">
      <x:c r="A169" s="38" t="str"/>
      <x:c r="B169" s="38" t="str"/>
      <x:c r="C169" s="39"/>
      <x:c r="D169" s="39"/>
      <x:c r="E169" s="39"/>
      <x:c r="F169" s="46"/>
      <x:c r="G169" s="38"/>
      <x:c r="H169" s="38"/>
      <x:c r="I169" s="40"/>
      <x:c r="J169" s="40" t="str">
        <x:f>IFERROR((C169-D169)/C169,"")</x:f>
      </x:c>
      <x:c r="K169" s="46" t="str">
        <x:f>IF(OR(F169="",H169=""),"",EDATE(F169,H169))</x:f>
      </x:c>
      <x:c r="L169" s="40" t="str">
        <x:f>J169</x:f>
      </x:c>
    </x:row>
    <x:row r="170">
      <x:c r="A170" s="38" t="str"/>
      <x:c r="B170" s="38" t="str"/>
      <x:c r="C170" s="39"/>
      <x:c r="D170" s="39"/>
      <x:c r="E170" s="39"/>
      <x:c r="F170" s="46"/>
      <x:c r="G170" s="38"/>
      <x:c r="H170" s="38"/>
      <x:c r="I170" s="40"/>
      <x:c r="J170" s="40" t="str">
        <x:f>IFERROR((C170-D170)/C170,"")</x:f>
      </x:c>
      <x:c r="K170" s="46" t="str">
        <x:f>IF(OR(F170="",H170=""),"",EDATE(F170,H170))</x:f>
      </x:c>
      <x:c r="L170" s="40" t="str">
        <x:f>J170</x:f>
      </x:c>
    </x:row>
    <x:row r="171">
      <x:c r="A171" s="38" t="str"/>
      <x:c r="B171" s="38" t="str"/>
      <x:c r="C171" s="39"/>
      <x:c r="D171" s="39"/>
      <x:c r="E171" s="39"/>
      <x:c r="F171" s="46"/>
      <x:c r="G171" s="38"/>
      <x:c r="H171" s="38"/>
      <x:c r="I171" s="40"/>
      <x:c r="J171" s="40" t="str">
        <x:f>IFERROR((C171-D171)/C171,"")</x:f>
      </x:c>
      <x:c r="K171" s="46" t="str">
        <x:f>IF(OR(F171="",H171=""),"",EDATE(F171,H171))</x:f>
      </x:c>
      <x:c r="L171" s="40" t="str">
        <x:f>J171</x:f>
      </x:c>
    </x:row>
    <x:row r="172">
      <x:c r="A172" s="38" t="str"/>
      <x:c r="B172" s="38" t="str"/>
      <x:c r="C172" s="39"/>
      <x:c r="D172" s="39"/>
      <x:c r="E172" s="39"/>
      <x:c r="F172" s="46"/>
      <x:c r="G172" s="38"/>
      <x:c r="H172" s="38"/>
      <x:c r="I172" s="40"/>
      <x:c r="J172" s="40" t="str">
        <x:f>IFERROR((C172-D172)/C172,"")</x:f>
      </x:c>
      <x:c r="K172" s="46" t="str">
        <x:f>IF(OR(F172="",H172=""),"",EDATE(F172,H172))</x:f>
      </x:c>
      <x:c r="L172" s="40" t="str">
        <x:f>J172</x:f>
      </x:c>
    </x:row>
    <x:row r="173">
      <x:c r="A173" s="38" t="str"/>
      <x:c r="B173" s="38" t="str"/>
      <x:c r="C173" s="39"/>
      <x:c r="D173" s="39"/>
      <x:c r="E173" s="39"/>
      <x:c r="F173" s="46"/>
      <x:c r="G173" s="38"/>
      <x:c r="H173" s="38"/>
      <x:c r="I173" s="40"/>
      <x:c r="J173" s="40" t="str">
        <x:f>IFERROR((C173-D173)/C173,"")</x:f>
      </x:c>
      <x:c r="K173" s="46" t="str">
        <x:f>IF(OR(F173="",H173=""),"",EDATE(F173,H173))</x:f>
      </x:c>
      <x:c r="L173" s="40" t="str">
        <x:f>J173</x:f>
      </x:c>
    </x:row>
    <x:row r="174">
      <x:c r="A174" s="38" t="str"/>
      <x:c r="B174" s="38" t="str"/>
      <x:c r="C174" s="39"/>
      <x:c r="D174" s="39"/>
      <x:c r="E174" s="39"/>
      <x:c r="F174" s="46"/>
      <x:c r="G174" s="38"/>
      <x:c r="H174" s="38"/>
      <x:c r="I174" s="40"/>
      <x:c r="J174" s="40" t="str">
        <x:f>IFERROR((C174-D174)/C174,"")</x:f>
      </x:c>
      <x:c r="K174" s="46" t="str">
        <x:f>IF(OR(F174="",H174=""),"",EDATE(F174,H174))</x:f>
      </x:c>
      <x:c r="L174" s="40" t="str">
        <x:f>J174</x:f>
      </x:c>
    </x:row>
    <x:row r="175">
      <x:c r="A175" s="38" t="str"/>
      <x:c r="B175" s="38" t="str"/>
      <x:c r="C175" s="39"/>
      <x:c r="D175" s="39"/>
      <x:c r="E175" s="39"/>
      <x:c r="F175" s="46"/>
      <x:c r="G175" s="38"/>
      <x:c r="H175" s="38"/>
      <x:c r="I175" s="40"/>
      <x:c r="J175" s="40" t="str">
        <x:f>IFERROR((C175-D175)/C175,"")</x:f>
      </x:c>
      <x:c r="K175" s="46" t="str">
        <x:f>IF(OR(F175="",H175=""),"",EDATE(F175,H175))</x:f>
      </x:c>
      <x:c r="L175" s="40" t="str">
        <x:f>J175</x:f>
      </x:c>
    </x:row>
    <x:row r="176">
      <x:c r="A176" s="38" t="str"/>
      <x:c r="B176" s="38" t="str"/>
      <x:c r="C176" s="39"/>
      <x:c r="D176" s="39"/>
      <x:c r="E176" s="39"/>
      <x:c r="F176" s="46"/>
      <x:c r="G176" s="38"/>
      <x:c r="H176" s="38"/>
      <x:c r="I176" s="40"/>
      <x:c r="J176" s="40" t="str">
        <x:f>IFERROR((C176-D176)/C176,"")</x:f>
      </x:c>
      <x:c r="K176" s="46" t="str">
        <x:f>IF(OR(F176="",H176=""),"",EDATE(F176,H176))</x:f>
      </x:c>
      <x:c r="L176" s="40" t="str">
        <x:f>J176</x:f>
      </x:c>
    </x:row>
    <x:row r="177">
      <x:c r="A177" s="38" t="str"/>
      <x:c r="B177" s="38" t="str"/>
      <x:c r="C177" s="39"/>
      <x:c r="D177" s="39"/>
      <x:c r="E177" s="39"/>
      <x:c r="F177" s="46"/>
      <x:c r="G177" s="38"/>
      <x:c r="H177" s="38"/>
      <x:c r="I177" s="40"/>
      <x:c r="J177" s="40" t="str">
        <x:f>IFERROR((C177-D177)/C177,"")</x:f>
      </x:c>
      <x:c r="K177" s="46" t="str">
        <x:f>IF(OR(F177="",H177=""),"",EDATE(F177,H177))</x:f>
      </x:c>
      <x:c r="L177" s="40" t="str">
        <x:f>J177</x:f>
      </x:c>
    </x:row>
    <x:row r="178">
      <x:c r="A178" s="38" t="str"/>
      <x:c r="B178" s="38" t="str"/>
      <x:c r="C178" s="39"/>
      <x:c r="D178" s="39"/>
      <x:c r="E178" s="39"/>
      <x:c r="F178" s="46"/>
      <x:c r="G178" s="38"/>
      <x:c r="H178" s="38"/>
      <x:c r="I178" s="40"/>
      <x:c r="J178" s="40" t="str">
        <x:f>IFERROR((C178-D178)/C178,"")</x:f>
      </x:c>
      <x:c r="K178" s="46" t="str">
        <x:f>IF(OR(F178="",H178=""),"",EDATE(F178,H178))</x:f>
      </x:c>
      <x:c r="L178" s="40" t="str">
        <x:f>J178</x:f>
      </x:c>
    </x:row>
    <x:row r="179">
      <x:c r="A179" s="38" t="str"/>
      <x:c r="B179" s="38" t="str"/>
      <x:c r="C179" s="39"/>
      <x:c r="D179" s="39"/>
      <x:c r="E179" s="39"/>
      <x:c r="F179" s="46"/>
      <x:c r="G179" s="38"/>
      <x:c r="H179" s="38"/>
      <x:c r="I179" s="40"/>
      <x:c r="J179" s="40" t="str">
        <x:f>IFERROR((C179-D179)/C179,"")</x:f>
      </x:c>
      <x:c r="K179" s="46" t="str">
        <x:f>IF(OR(F179="",H179=""),"",EDATE(F179,H179))</x:f>
      </x:c>
      <x:c r="L179" s="40" t="str">
        <x:f>J179</x:f>
      </x:c>
    </x:row>
    <x:row r="180">
      <x:c r="A180" s="38" t="str"/>
      <x:c r="B180" s="38" t="str"/>
      <x:c r="C180" s="39"/>
      <x:c r="D180" s="39"/>
      <x:c r="E180" s="39"/>
      <x:c r="F180" s="46"/>
      <x:c r="G180" s="38"/>
      <x:c r="H180" s="38"/>
      <x:c r="I180" s="40"/>
      <x:c r="J180" s="40" t="str">
        <x:f>IFERROR((C180-D180)/C180,"")</x:f>
      </x:c>
      <x:c r="K180" s="46" t="str">
        <x:f>IF(OR(F180="",H180=""),"",EDATE(F180,H180))</x:f>
      </x:c>
      <x:c r="L180" s="40" t="str">
        <x:f>J180</x:f>
      </x:c>
    </x:row>
    <x:row r="181">
      <x:c r="A181" s="38" t="str"/>
      <x:c r="B181" s="38" t="str"/>
      <x:c r="C181" s="39"/>
      <x:c r="D181" s="39"/>
      <x:c r="E181" s="39"/>
      <x:c r="F181" s="46"/>
      <x:c r="G181" s="38"/>
      <x:c r="H181" s="38"/>
      <x:c r="I181" s="40"/>
      <x:c r="J181" s="40" t="str">
        <x:f>IFERROR((C181-D181)/C181,"")</x:f>
      </x:c>
      <x:c r="K181" s="46" t="str">
        <x:f>IF(OR(F181="",H181=""),"",EDATE(F181,H181))</x:f>
      </x:c>
      <x:c r="L181" s="40" t="str">
        <x:f>J181</x:f>
      </x:c>
    </x:row>
    <x:row r="182">
      <x:c r="A182" s="38" t="str"/>
      <x:c r="B182" s="38" t="str"/>
      <x:c r="C182" s="39"/>
      <x:c r="D182" s="39"/>
      <x:c r="E182" s="39"/>
      <x:c r="F182" s="46"/>
      <x:c r="G182" s="38"/>
      <x:c r="H182" s="38"/>
      <x:c r="I182" s="40"/>
      <x:c r="J182" s="40" t="str">
        <x:f>IFERROR((C182-D182)/C182,"")</x:f>
      </x:c>
      <x:c r="K182" s="46" t="str">
        <x:f>IF(OR(F182="",H182=""),"",EDATE(F182,H182))</x:f>
      </x:c>
      <x:c r="L182" s="40" t="str">
        <x:f>J182</x:f>
      </x:c>
    </x:row>
    <x:row r="183">
      <x:c r="A183" s="38" t="str"/>
      <x:c r="B183" s="38" t="str"/>
      <x:c r="C183" s="39"/>
      <x:c r="D183" s="39"/>
      <x:c r="E183" s="39"/>
      <x:c r="F183" s="46"/>
      <x:c r="G183" s="38"/>
      <x:c r="H183" s="38"/>
      <x:c r="I183" s="40"/>
      <x:c r="J183" s="40" t="str">
        <x:f>IFERROR((C183-D183)/C183,"")</x:f>
      </x:c>
      <x:c r="K183" s="46" t="str">
        <x:f>IF(OR(F183="",H183=""),"",EDATE(F183,H183))</x:f>
      </x:c>
      <x:c r="L183" s="40" t="str">
        <x:f>J183</x:f>
      </x:c>
    </x:row>
    <x:row r="184">
      <x:c r="A184" s="38" t="str"/>
      <x:c r="B184" s="38" t="str"/>
      <x:c r="C184" s="39"/>
      <x:c r="D184" s="39"/>
      <x:c r="E184" s="39"/>
      <x:c r="F184" s="46"/>
      <x:c r="G184" s="38"/>
      <x:c r="H184" s="38"/>
      <x:c r="I184" s="40"/>
      <x:c r="J184" s="40" t="str">
        <x:f>IFERROR((C184-D184)/C184,"")</x:f>
      </x:c>
      <x:c r="K184" s="46" t="str">
        <x:f>IF(OR(F184="",H184=""),"",EDATE(F184,H184))</x:f>
      </x:c>
      <x:c r="L184" s="40" t="str">
        <x:f>J184</x:f>
      </x:c>
    </x:row>
    <x:row r="185">
      <x:c r="A185" s="38" t="str"/>
      <x:c r="B185" s="38" t="str"/>
      <x:c r="C185" s="39"/>
      <x:c r="D185" s="39"/>
      <x:c r="E185" s="39"/>
      <x:c r="F185" s="46"/>
      <x:c r="G185" s="38"/>
      <x:c r="H185" s="38"/>
      <x:c r="I185" s="40"/>
      <x:c r="J185" s="40" t="str">
        <x:f>IFERROR((C185-D185)/C185,"")</x:f>
      </x:c>
      <x:c r="K185" s="46" t="str">
        <x:f>IF(OR(F185="",H185=""),"",EDATE(F185,H185))</x:f>
      </x:c>
      <x:c r="L185" s="40" t="str">
        <x:f>J185</x:f>
      </x:c>
    </x:row>
    <x:row r="186">
      <x:c r="A186" s="38" t="str"/>
      <x:c r="B186" s="38" t="str"/>
      <x:c r="C186" s="39"/>
      <x:c r="D186" s="39"/>
      <x:c r="E186" s="39"/>
      <x:c r="F186" s="46"/>
      <x:c r="G186" s="38"/>
      <x:c r="H186" s="38"/>
      <x:c r="I186" s="40"/>
      <x:c r="J186" s="40" t="str">
        <x:f>IFERROR((C186-D186)/C186,"")</x:f>
      </x:c>
      <x:c r="K186" s="46" t="str">
        <x:f>IF(OR(F186="",H186=""),"",EDATE(F186,H186))</x:f>
      </x:c>
      <x:c r="L186" s="40" t="str">
        <x:f>J186</x:f>
      </x:c>
    </x:row>
    <x:row r="187">
      <x:c r="A187" s="38" t="str"/>
      <x:c r="B187" s="38" t="str"/>
      <x:c r="C187" s="39"/>
      <x:c r="D187" s="39"/>
      <x:c r="E187" s="39"/>
      <x:c r="F187" s="46"/>
      <x:c r="G187" s="38"/>
      <x:c r="H187" s="38"/>
      <x:c r="I187" s="40"/>
      <x:c r="J187" s="40" t="str">
        <x:f>IFERROR((C187-D187)/C187,"")</x:f>
      </x:c>
      <x:c r="K187" s="46" t="str">
        <x:f>IF(OR(F187="",H187=""),"",EDATE(F187,H187))</x:f>
      </x:c>
      <x:c r="L187" s="40" t="str">
        <x:f>J187</x:f>
      </x:c>
    </x:row>
    <x:row r="188">
      <x:c r="A188" s="38" t="str"/>
      <x:c r="B188" s="38" t="str"/>
      <x:c r="C188" s="39"/>
      <x:c r="D188" s="39"/>
      <x:c r="E188" s="39"/>
      <x:c r="F188" s="46"/>
      <x:c r="G188" s="38"/>
      <x:c r="H188" s="38"/>
      <x:c r="I188" s="40"/>
      <x:c r="J188" s="40" t="str">
        <x:f>IFERROR((C188-D188)/C188,"")</x:f>
      </x:c>
      <x:c r="K188" s="46" t="str">
        <x:f>IF(OR(F188="",H188=""),"",EDATE(F188,H188))</x:f>
      </x:c>
      <x:c r="L188" s="40" t="str">
        <x:f>J188</x:f>
      </x:c>
    </x:row>
    <x:row r="189">
      <x:c r="A189" s="38" t="str"/>
      <x:c r="B189" s="38" t="str"/>
      <x:c r="C189" s="39"/>
      <x:c r="D189" s="39"/>
      <x:c r="E189" s="39"/>
      <x:c r="F189" s="46"/>
      <x:c r="G189" s="38"/>
      <x:c r="H189" s="38"/>
      <x:c r="I189" s="40"/>
      <x:c r="J189" s="40" t="str">
        <x:f>IFERROR((C189-D189)/C189,"")</x:f>
      </x:c>
      <x:c r="K189" s="46" t="str">
        <x:f>IF(OR(F189="",H189=""),"",EDATE(F189,H189))</x:f>
      </x:c>
      <x:c r="L189" s="40" t="str">
        <x:f>J189</x:f>
      </x:c>
    </x:row>
    <x:row r="190">
      <x:c r="A190" s="38" t="str"/>
      <x:c r="B190" s="38" t="str"/>
      <x:c r="C190" s="39"/>
      <x:c r="D190" s="39"/>
      <x:c r="E190" s="39"/>
      <x:c r="F190" s="46"/>
      <x:c r="G190" s="38"/>
      <x:c r="H190" s="38"/>
      <x:c r="I190" s="40"/>
      <x:c r="J190" s="40" t="str">
        <x:f>IFERROR((C190-D190)/C190,"")</x:f>
      </x:c>
      <x:c r="K190" s="46" t="str">
        <x:f>IF(OR(F190="",H190=""),"",EDATE(F190,H190))</x:f>
      </x:c>
      <x:c r="L190" s="40" t="str">
        <x:f>J190</x:f>
      </x:c>
    </x:row>
    <x:row r="191">
      <x:c r="A191" s="38" t="str"/>
      <x:c r="B191" s="38" t="str"/>
      <x:c r="C191" s="39"/>
      <x:c r="D191" s="39"/>
      <x:c r="E191" s="39"/>
      <x:c r="F191" s="46"/>
      <x:c r="G191" s="38"/>
      <x:c r="H191" s="38"/>
      <x:c r="I191" s="40"/>
      <x:c r="J191" s="40" t="str">
        <x:f>IFERROR((C191-D191)/C191,"")</x:f>
      </x:c>
      <x:c r="K191" s="46" t="str">
        <x:f>IF(OR(F191="",H191=""),"",EDATE(F191,H191))</x:f>
      </x:c>
      <x:c r="L191" s="40" t="str">
        <x:f>J191</x:f>
      </x:c>
    </x:row>
    <x:row r="192">
      <x:c r="A192" s="38" t="str"/>
      <x:c r="B192" s="38" t="str"/>
      <x:c r="C192" s="39"/>
      <x:c r="D192" s="39"/>
      <x:c r="E192" s="39"/>
      <x:c r="F192" s="46"/>
      <x:c r="G192" s="38"/>
      <x:c r="H192" s="38"/>
      <x:c r="I192" s="40"/>
      <x:c r="J192" s="40" t="str">
        <x:f>IFERROR((C192-D192)/C192,"")</x:f>
      </x:c>
      <x:c r="K192" s="46" t="str">
        <x:f>IF(OR(F192="",H192=""),"",EDATE(F192,H192))</x:f>
      </x:c>
      <x:c r="L192" s="40" t="str">
        <x:f>J192</x:f>
      </x:c>
    </x:row>
    <x:row r="193">
      <x:c r="A193" s="38" t="str"/>
      <x:c r="B193" s="38" t="str"/>
      <x:c r="C193" s="39"/>
      <x:c r="D193" s="39"/>
      <x:c r="E193" s="39"/>
      <x:c r="F193" s="46"/>
      <x:c r="G193" s="38"/>
      <x:c r="H193" s="38"/>
      <x:c r="I193" s="40"/>
      <x:c r="J193" s="40" t="str">
        <x:f>IFERROR((C193-D193)/C193,"")</x:f>
      </x:c>
      <x:c r="K193" s="46" t="str">
        <x:f>IF(OR(F193="",H193=""),"",EDATE(F193,H193))</x:f>
      </x:c>
      <x:c r="L193" s="40" t="str">
        <x:f>J193</x:f>
      </x:c>
    </x:row>
    <x:row r="194">
      <x:c r="A194" s="38" t="str"/>
      <x:c r="B194" s="38" t="str"/>
      <x:c r="C194" s="39"/>
      <x:c r="D194" s="39"/>
      <x:c r="E194" s="39"/>
      <x:c r="F194" s="46"/>
      <x:c r="G194" s="38"/>
      <x:c r="H194" s="38"/>
      <x:c r="I194" s="40"/>
      <x:c r="J194" s="40" t="str">
        <x:f>IFERROR((C194-D194)/C194,"")</x:f>
      </x:c>
      <x:c r="K194" s="46" t="str">
        <x:f>IF(OR(F194="",H194=""),"",EDATE(F194,H194))</x:f>
      </x:c>
      <x:c r="L194" s="40" t="str">
        <x:f>J194</x:f>
      </x:c>
    </x:row>
    <x:row r="195">
      <x:c r="A195" s="38" t="str"/>
      <x:c r="B195" s="38" t="str"/>
      <x:c r="C195" s="39"/>
      <x:c r="D195" s="39"/>
      <x:c r="E195" s="39"/>
      <x:c r="F195" s="46"/>
      <x:c r="G195" s="38"/>
      <x:c r="H195" s="38"/>
      <x:c r="I195" s="40"/>
      <x:c r="J195" s="40" t="str">
        <x:f>IFERROR((C195-D195)/C195,"")</x:f>
      </x:c>
      <x:c r="K195" s="46" t="str">
        <x:f>IF(OR(F195="",H195=""),"",EDATE(F195,H195))</x:f>
      </x:c>
      <x:c r="L195" s="40" t="str">
        <x:f>J195</x:f>
      </x:c>
    </x:row>
    <x:row r="196">
      <x:c r="A196" s="38" t="str"/>
      <x:c r="B196" s="38" t="str"/>
      <x:c r="C196" s="39"/>
      <x:c r="D196" s="39"/>
      <x:c r="E196" s="39"/>
      <x:c r="F196" s="46"/>
      <x:c r="G196" s="38"/>
      <x:c r="H196" s="38"/>
      <x:c r="I196" s="40"/>
      <x:c r="J196" s="40" t="str">
        <x:f>IFERROR((C196-D196)/C196,"")</x:f>
      </x:c>
      <x:c r="K196" s="46" t="str">
        <x:f>IF(OR(F196="",H196=""),"",EDATE(F196,H196))</x:f>
      </x:c>
      <x:c r="L196" s="40" t="str">
        <x:f>J196</x:f>
      </x:c>
    </x:row>
    <x:row r="197">
      <x:c r="A197" s="38" t="str"/>
      <x:c r="B197" s="38" t="str"/>
      <x:c r="C197" s="39"/>
      <x:c r="D197" s="39"/>
      <x:c r="E197" s="39"/>
      <x:c r="F197" s="46"/>
      <x:c r="G197" s="38"/>
      <x:c r="H197" s="38"/>
      <x:c r="I197" s="40"/>
      <x:c r="J197" s="40" t="str">
        <x:f>IFERROR((C197-D197)/C197,"")</x:f>
      </x:c>
      <x:c r="K197" s="46" t="str">
        <x:f>IF(OR(F197="",H197=""),"",EDATE(F197,H197))</x:f>
      </x:c>
      <x:c r="L197" s="40" t="str">
        <x:f>J197</x:f>
      </x:c>
    </x:row>
    <x:row r="198">
      <x:c r="A198" s="38" t="str"/>
      <x:c r="B198" s="38" t="str"/>
      <x:c r="C198" s="39"/>
      <x:c r="D198" s="39"/>
      <x:c r="E198" s="39"/>
      <x:c r="F198" s="46"/>
      <x:c r="G198" s="38"/>
      <x:c r="H198" s="38"/>
      <x:c r="I198" s="40"/>
      <x:c r="J198" s="40" t="str">
        <x:f>IFERROR((C198-D198)/C198,"")</x:f>
      </x:c>
      <x:c r="K198" s="46" t="str">
        <x:f>IF(OR(F198="",H198=""),"",EDATE(F198,H198))</x:f>
      </x:c>
      <x:c r="L198" s="40" t="str">
        <x:f>J198</x:f>
      </x:c>
    </x:row>
    <x:row r="199">
      <x:c r="A199" s="38" t="str"/>
      <x:c r="B199" s="38" t="str"/>
      <x:c r="C199" s="39"/>
      <x:c r="D199" s="39"/>
      <x:c r="E199" s="39"/>
      <x:c r="F199" s="46"/>
      <x:c r="G199" s="38"/>
      <x:c r="H199" s="38"/>
      <x:c r="I199" s="40"/>
      <x:c r="J199" s="40" t="str">
        <x:f>IFERROR((C199-D199)/C199,"")</x:f>
      </x:c>
      <x:c r="K199" s="46" t="str">
        <x:f>IF(OR(F199="",H199=""),"",EDATE(F199,H199))</x:f>
      </x:c>
      <x:c r="L199" s="40" t="str">
        <x:f>J199</x:f>
      </x:c>
    </x:row>
    <x:row r="200">
      <x:c r="A200" s="38" t="str"/>
      <x:c r="B200" s="38" t="str"/>
      <x:c r="C200" s="39"/>
      <x:c r="D200" s="39"/>
      <x:c r="E200" s="39"/>
      <x:c r="F200" s="46"/>
      <x:c r="G200" s="38"/>
      <x:c r="H200" s="38"/>
      <x:c r="I200" s="40"/>
      <x:c r="J200" s="40" t="str">
        <x:f>IFERROR((C200-D200)/C200,"")</x:f>
      </x:c>
      <x:c r="K200" s="46" t="str">
        <x:f>IF(OR(F200="",H200=""),"",EDATE(F200,H200))</x:f>
      </x:c>
      <x:c r="L200" s="40" t="str">
        <x:f>J200</x:f>
      </x:c>
    </x:row>
    <x:row r="201">
      <x:c r="A201" s="38" t="str"/>
      <x:c r="B201" s="38" t="str"/>
      <x:c r="C201" s="39"/>
      <x:c r="D201" s="39"/>
      <x:c r="E201" s="39"/>
      <x:c r="F201" s="46"/>
      <x:c r="G201" s="38"/>
      <x:c r="H201" s="38"/>
      <x:c r="I201" s="40"/>
      <x:c r="J201" s="40" t="str">
        <x:f>IFERROR((C201-D201)/C201,"")</x:f>
      </x:c>
      <x:c r="K201" s="46" t="str">
        <x:f>IF(OR(F201="",H201=""),"",EDATE(F201,H201))</x:f>
      </x:c>
      <x:c r="L201" s="40" t="str">
        <x:f>J201</x:f>
      </x:c>
    </x:row>
    <x:row r="202">
      <x:c r="A202" s="38" t="str"/>
      <x:c r="B202" s="38" t="str"/>
      <x:c r="C202" s="39"/>
      <x:c r="D202" s="39"/>
      <x:c r="E202" s="39"/>
      <x:c r="F202" s="46"/>
      <x:c r="G202" s="38"/>
      <x:c r="H202" s="38"/>
      <x:c r="I202" s="40"/>
      <x:c r="J202" s="40" t="str">
        <x:f>IFERROR((C202-D202)/C202,"")</x:f>
      </x:c>
      <x:c r="K202" s="46" t="str">
        <x:f>IF(OR(F202="",H202=""),"",EDATE(F202,H202))</x:f>
      </x:c>
      <x:c r="L202" s="40" t="str">
        <x:f>J202</x:f>
      </x:c>
    </x:row>
    <x:row r="203">
      <x:c r="A203" s="38" t="str"/>
      <x:c r="B203" s="38" t="str"/>
      <x:c r="C203" s="39"/>
      <x:c r="D203" s="39"/>
      <x:c r="E203" s="39"/>
      <x:c r="F203" s="46"/>
      <x:c r="G203" s="38"/>
      <x:c r="H203" s="38"/>
      <x:c r="I203" s="40"/>
      <x:c r="J203" s="40" t="str">
        <x:f>IFERROR((C203-D203)/C203,"")</x:f>
      </x:c>
      <x:c r="K203" s="46" t="str">
        <x:f>IF(OR(F203="",H203=""),"",EDATE(F203,H203))</x:f>
      </x:c>
      <x:c r="L203" s="40" t="str">
        <x:f>J203</x:f>
      </x:c>
    </x:row>
    <x:row r="204">
      <x:c r="A204" s="38" t="str"/>
      <x:c r="B204" s="38" t="str"/>
      <x:c r="C204" s="39"/>
      <x:c r="D204" s="39"/>
      <x:c r="E204" s="39"/>
      <x:c r="F204" s="46"/>
      <x:c r="G204" s="38"/>
      <x:c r="H204" s="38"/>
      <x:c r="I204" s="40"/>
      <x:c r="J204" s="40" t="str">
        <x:f>IFERROR((C204-D204)/C204,"")</x:f>
      </x:c>
      <x:c r="K204" s="46" t="str">
        <x:f>IF(OR(F204="",H204=""),"",EDATE(F204,H204))</x:f>
      </x:c>
      <x:c r="L204" s="40" t="str">
        <x:f>J204</x:f>
      </x:c>
    </x:row>
    <x:row r="205">
      <x:c r="A205" s="38" t="str"/>
      <x:c r="B205" s="38" t="str"/>
      <x:c r="C205" s="39"/>
      <x:c r="D205" s="39"/>
      <x:c r="E205" s="39"/>
      <x:c r="F205" s="46"/>
      <x:c r="G205" s="38"/>
      <x:c r="H205" s="38"/>
      <x:c r="I205" s="40"/>
      <x:c r="J205" s="40" t="str">
        <x:f>IFERROR((C205-D205)/C205,"")</x:f>
      </x:c>
      <x:c r="K205" s="46" t="str">
        <x:f>IF(OR(F205="",H205=""),"",EDATE(F205,H205))</x:f>
      </x:c>
      <x:c r="L205" s="40" t="str">
        <x:f>J205</x:f>
      </x:c>
    </x:row>
    <x:row r="206">
      <x:c r="A206" s="38" t="str"/>
      <x:c r="B206" s="38" t="str"/>
      <x:c r="C206" s="39"/>
      <x:c r="D206" s="39"/>
      <x:c r="E206" s="39"/>
      <x:c r="F206" s="46"/>
      <x:c r="G206" s="38"/>
      <x:c r="H206" s="38"/>
      <x:c r="I206" s="40"/>
      <x:c r="J206" s="40" t="str">
        <x:f>IFERROR((C206-D206)/C206,"")</x:f>
      </x:c>
      <x:c r="K206" s="46" t="str">
        <x:f>IF(OR(F206="",H206=""),"",EDATE(F206,H206))</x:f>
      </x:c>
      <x:c r="L206" s="40" t="str">
        <x:f>J206</x:f>
      </x:c>
    </x:row>
    <x:row r="207">
      <x:c r="A207" s="38" t="str"/>
      <x:c r="B207" s="38" t="str"/>
      <x:c r="C207" s="39"/>
      <x:c r="D207" s="39"/>
      <x:c r="E207" s="39"/>
      <x:c r="F207" s="46"/>
      <x:c r="G207" s="38"/>
      <x:c r="H207" s="38"/>
      <x:c r="I207" s="40"/>
      <x:c r="J207" s="40" t="str">
        <x:f>IFERROR((C207-D207)/C207,"")</x:f>
      </x:c>
      <x:c r="K207" s="46" t="str">
        <x:f>IF(OR(F207="",H207=""),"",EDATE(F207,H207))</x:f>
      </x:c>
      <x:c r="L207" s="40" t="str">
        <x:f>J207</x:f>
      </x:c>
    </x:row>
    <x:row r="208">
      <x:c r="A208" s="38" t="str"/>
      <x:c r="B208" s="38" t="str"/>
      <x:c r="C208" s="39"/>
      <x:c r="D208" s="39"/>
      <x:c r="E208" s="39"/>
      <x:c r="F208" s="46"/>
      <x:c r="G208" s="38"/>
      <x:c r="H208" s="38"/>
      <x:c r="I208" s="40"/>
      <x:c r="J208" s="40" t="str">
        <x:f>IFERROR((C208-D208)/C208,"")</x:f>
      </x:c>
      <x:c r="K208" s="46" t="str">
        <x:f>IF(OR(F208="",H208=""),"",EDATE(F208,H208))</x:f>
      </x:c>
      <x:c r="L208" s="40" t="str">
        <x:f>J208</x:f>
      </x:c>
    </x:row>
    <x:row r="209">
      <x:c r="A209" s="38" t="str"/>
      <x:c r="B209" s="38" t="str"/>
      <x:c r="C209" s="39"/>
      <x:c r="D209" s="39"/>
      <x:c r="E209" s="39"/>
      <x:c r="F209" s="46"/>
      <x:c r="G209" s="38"/>
      <x:c r="H209" s="38"/>
      <x:c r="I209" s="40"/>
      <x:c r="J209" s="40" t="str">
        <x:f>IFERROR((C209-D209)/C209,"")</x:f>
      </x:c>
      <x:c r="K209" s="46" t="str">
        <x:f>IF(OR(F209="",H209=""),"",EDATE(F209,H209))</x:f>
      </x:c>
      <x:c r="L209" s="40" t="str">
        <x:f>J209</x:f>
      </x:c>
    </x:row>
    <x:row r="210">
      <x:c r="A210" s="38" t="str"/>
      <x:c r="B210" s="38" t="str"/>
      <x:c r="C210" s="39"/>
      <x:c r="D210" s="39"/>
      <x:c r="E210" s="39"/>
      <x:c r="F210" s="46"/>
      <x:c r="G210" s="38"/>
      <x:c r="H210" s="38"/>
      <x:c r="I210" s="40"/>
      <x:c r="J210" s="40" t="str">
        <x:f>IFERROR((C210-D210)/C210,"")</x:f>
      </x:c>
      <x:c r="K210" s="46" t="str">
        <x:f>IF(OR(F210="",H210=""),"",EDATE(F210,H210))</x:f>
      </x:c>
      <x:c r="L210" s="40" t="str">
        <x:f>J210</x:f>
      </x:c>
    </x:row>
    <x:row r="211">
      <x:c r="A211" s="38" t="str"/>
      <x:c r="B211" s="38" t="str"/>
      <x:c r="C211" s="39"/>
      <x:c r="D211" s="39"/>
      <x:c r="E211" s="39"/>
      <x:c r="F211" s="46"/>
      <x:c r="G211" s="38"/>
      <x:c r="H211" s="38"/>
      <x:c r="I211" s="40"/>
      <x:c r="J211" s="40" t="str">
        <x:f>IFERROR((C211-D211)/C211,"")</x:f>
      </x:c>
      <x:c r="K211" s="46" t="str">
        <x:f>IF(OR(F211="",H211=""),"",EDATE(F211,H211))</x:f>
      </x:c>
      <x:c r="L211" s="40" t="str">
        <x:f>J211</x:f>
      </x:c>
    </x:row>
    <x:row r="212">
      <x:c r="A212" s="38" t="str"/>
      <x:c r="B212" s="38" t="str"/>
      <x:c r="C212" s="39"/>
      <x:c r="D212" s="39"/>
      <x:c r="E212" s="39"/>
      <x:c r="F212" s="46"/>
      <x:c r="G212" s="38"/>
      <x:c r="H212" s="38"/>
      <x:c r="I212" s="40"/>
      <x:c r="J212" s="40" t="str">
        <x:f>IFERROR((C212-D212)/C212,"")</x:f>
      </x:c>
      <x:c r="K212" s="46" t="str">
        <x:f>IF(OR(F212="",H212=""),"",EDATE(F212,H212))</x:f>
      </x:c>
      <x:c r="L212" s="40" t="str">
        <x:f>J212</x:f>
      </x:c>
    </x:row>
    <x:row r="213">
      <x:c r="A213" s="38" t="str"/>
      <x:c r="B213" s="38" t="str"/>
      <x:c r="C213" s="39"/>
      <x:c r="D213" s="39"/>
      <x:c r="E213" s="39"/>
      <x:c r="F213" s="46"/>
      <x:c r="G213" s="38"/>
      <x:c r="H213" s="38"/>
      <x:c r="I213" s="40"/>
      <x:c r="J213" s="40" t="str">
        <x:f>IFERROR((C213-D213)/C213,"")</x:f>
      </x:c>
      <x:c r="K213" s="46" t="str">
        <x:f>IF(OR(F213="",H213=""),"",EDATE(F213,H213))</x:f>
      </x:c>
      <x:c r="L213" s="40" t="str">
        <x:f>J213</x:f>
      </x:c>
    </x:row>
    <x:row r="214">
      <x:c r="A214" s="38" t="str"/>
      <x:c r="B214" s="38" t="str"/>
      <x:c r="C214" s="39"/>
      <x:c r="D214" s="39"/>
      <x:c r="E214" s="39"/>
      <x:c r="F214" s="46"/>
      <x:c r="G214" s="38"/>
      <x:c r="H214" s="38"/>
      <x:c r="I214" s="40"/>
      <x:c r="J214" s="40" t="str">
        <x:f>IFERROR((C214-D214)/C214,"")</x:f>
      </x:c>
      <x:c r="K214" s="46" t="str">
        <x:f>IF(OR(F214="",H214=""),"",EDATE(F214,H214))</x:f>
      </x:c>
      <x:c r="L214" s="40" t="str">
        <x:f>J214</x:f>
      </x:c>
    </x:row>
    <x:row r="215">
      <x:c r="A215" s="38" t="str"/>
      <x:c r="B215" s="38" t="str"/>
      <x:c r="C215" s="39"/>
      <x:c r="D215" s="39"/>
      <x:c r="E215" s="39"/>
      <x:c r="F215" s="46"/>
      <x:c r="G215" s="38"/>
      <x:c r="H215" s="38"/>
      <x:c r="I215" s="40"/>
      <x:c r="J215" s="40" t="str">
        <x:f>IFERROR((C215-D215)/C215,"")</x:f>
      </x:c>
      <x:c r="K215" s="46" t="str">
        <x:f>IF(OR(F215="",H215=""),"",EDATE(F215,H215))</x:f>
      </x:c>
      <x:c r="L215" s="40" t="str">
        <x:f>J215</x:f>
      </x:c>
    </x:row>
    <x:row r="216">
      <x:c r="A216" s="38" t="str"/>
      <x:c r="B216" s="38" t="str"/>
      <x:c r="C216" s="39"/>
      <x:c r="D216" s="39"/>
      <x:c r="E216" s="39"/>
      <x:c r="F216" s="46"/>
      <x:c r="G216" s="38"/>
      <x:c r="H216" s="38"/>
      <x:c r="I216" s="40"/>
      <x:c r="J216" s="40" t="str">
        <x:f>IFERROR((C216-D216)/C216,"")</x:f>
      </x:c>
      <x:c r="K216" s="46" t="str">
        <x:f>IF(OR(F216="",H216=""),"",EDATE(F216,H216))</x:f>
      </x:c>
      <x:c r="L216" s="40" t="str">
        <x:f>J216</x:f>
      </x:c>
    </x:row>
    <x:row r="217">
      <x:c r="A217" s="38" t="str"/>
      <x:c r="B217" s="38" t="str"/>
      <x:c r="C217" s="39"/>
      <x:c r="D217" s="39"/>
      <x:c r="E217" s="39"/>
      <x:c r="F217" s="46"/>
      <x:c r="G217" s="38"/>
      <x:c r="H217" s="38"/>
      <x:c r="I217" s="40"/>
      <x:c r="J217" s="40" t="str">
        <x:f>IFERROR((C217-D217)/C217,"")</x:f>
      </x:c>
      <x:c r="K217" s="46" t="str">
        <x:f>IF(OR(F217="",H217=""),"",EDATE(F217,H217))</x:f>
      </x:c>
      <x:c r="L217" s="40" t="str">
        <x:f>J217</x:f>
      </x:c>
    </x:row>
    <x:row r="218">
      <x:c r="A218" s="38" t="str"/>
      <x:c r="B218" s="38" t="str"/>
      <x:c r="C218" s="39"/>
      <x:c r="D218" s="39"/>
      <x:c r="E218" s="39"/>
      <x:c r="F218" s="46"/>
      <x:c r="G218" s="38"/>
      <x:c r="H218" s="38"/>
      <x:c r="I218" s="40"/>
      <x:c r="J218" s="40" t="str">
        <x:f>IFERROR((C218-D218)/C218,"")</x:f>
      </x:c>
      <x:c r="K218" s="46" t="str">
        <x:f>IF(OR(F218="",H218=""),"",EDATE(F218,H218))</x:f>
      </x:c>
      <x:c r="L218" s="40" t="str">
        <x:f>J218</x:f>
      </x:c>
    </x:row>
    <x:row r="219">
      <x:c r="A219" s="38" t="str"/>
      <x:c r="B219" s="38" t="str"/>
      <x:c r="C219" s="39"/>
      <x:c r="D219" s="39"/>
      <x:c r="E219" s="39"/>
      <x:c r="F219" s="46"/>
      <x:c r="G219" s="38"/>
      <x:c r="H219" s="38"/>
      <x:c r="I219" s="40"/>
      <x:c r="J219" s="40" t="str">
        <x:f>IFERROR((C219-D219)/C219,"")</x:f>
      </x:c>
      <x:c r="K219" s="46" t="str">
        <x:f>IF(OR(F219="",H219=""),"",EDATE(F219,H219))</x:f>
      </x:c>
      <x:c r="L219" s="40" t="str">
        <x:f>J219</x:f>
      </x:c>
    </x:row>
    <x:row r="220">
      <x:c r="A220" s="38" t="str"/>
      <x:c r="B220" s="38" t="str"/>
      <x:c r="C220" s="39"/>
      <x:c r="D220" s="39"/>
      <x:c r="E220" s="39"/>
      <x:c r="F220" s="46"/>
      <x:c r="G220" s="38"/>
      <x:c r="H220" s="38"/>
      <x:c r="I220" s="40"/>
      <x:c r="J220" s="40" t="str">
        <x:f>IFERROR((C220-D220)/C220,"")</x:f>
      </x:c>
      <x:c r="K220" s="46" t="str">
        <x:f>IF(OR(F220="",H220=""),"",EDATE(F220,H220))</x:f>
      </x:c>
      <x:c r="L220" s="40" t="str">
        <x:f>J220</x:f>
      </x:c>
    </x:row>
    <x:row r="221">
      <x:c r="A221" s="38" t="str"/>
      <x:c r="B221" s="38" t="str"/>
      <x:c r="C221" s="39"/>
      <x:c r="D221" s="39"/>
      <x:c r="E221" s="39"/>
      <x:c r="F221" s="46"/>
      <x:c r="G221" s="38"/>
      <x:c r="H221" s="38"/>
      <x:c r="I221" s="40"/>
      <x:c r="J221" s="40" t="str">
        <x:f>IFERROR((C221-D221)/C221,"")</x:f>
      </x:c>
      <x:c r="K221" s="46" t="str">
        <x:f>IF(OR(F221="",H221=""),"",EDATE(F221,H221))</x:f>
      </x:c>
      <x:c r="L221" s="40" t="str">
        <x:f>J221</x:f>
      </x:c>
    </x:row>
    <x:row r="222">
      <x:c r="A222" s="38" t="str"/>
      <x:c r="B222" s="38" t="str"/>
      <x:c r="C222" s="39"/>
      <x:c r="D222" s="39"/>
      <x:c r="E222" s="39"/>
      <x:c r="F222" s="46"/>
      <x:c r="G222" s="38"/>
      <x:c r="H222" s="38"/>
      <x:c r="I222" s="40"/>
      <x:c r="J222" s="40" t="str">
        <x:f>IFERROR((C222-D222)/C222,"")</x:f>
      </x:c>
      <x:c r="K222" s="46" t="str">
        <x:f>IF(OR(F222="",H222=""),"",EDATE(F222,H222))</x:f>
      </x:c>
      <x:c r="L222" s="40" t="str">
        <x:f>J222</x:f>
      </x:c>
    </x:row>
    <x:row r="223">
      <x:c r="A223" s="38" t="str"/>
      <x:c r="B223" s="38" t="str"/>
      <x:c r="C223" s="39"/>
      <x:c r="D223" s="39"/>
      <x:c r="E223" s="39"/>
      <x:c r="F223" s="46"/>
      <x:c r="G223" s="38"/>
      <x:c r="H223" s="38"/>
      <x:c r="I223" s="40"/>
      <x:c r="J223" s="40" t="str">
        <x:f>IFERROR((C223-D223)/C223,"")</x:f>
      </x:c>
      <x:c r="K223" s="46" t="str">
        <x:f>IF(OR(F223="",H223=""),"",EDATE(F223,H223))</x:f>
      </x:c>
      <x:c r="L223" s="40" t="str">
        <x:f>J223</x:f>
      </x:c>
    </x:row>
    <x:row r="224">
      <x:c r="A224" s="38" t="str"/>
      <x:c r="B224" s="38" t="str"/>
      <x:c r="C224" s="39"/>
      <x:c r="D224" s="39"/>
      <x:c r="E224" s="39"/>
      <x:c r="F224" s="46"/>
      <x:c r="G224" s="38"/>
      <x:c r="H224" s="38"/>
      <x:c r="I224" s="40"/>
      <x:c r="J224" s="40" t="str">
        <x:f>IFERROR((C224-D224)/C224,"")</x:f>
      </x:c>
      <x:c r="K224" s="46" t="str">
        <x:f>IF(OR(F224="",H224=""),"",EDATE(F224,H224))</x:f>
      </x:c>
      <x:c r="L224" s="40" t="str">
        <x:f>J224</x:f>
      </x:c>
    </x:row>
    <x:row r="225">
      <x:c r="A225" s="38" t="str"/>
      <x:c r="B225" s="38" t="str"/>
      <x:c r="C225" s="39"/>
      <x:c r="D225" s="39"/>
      <x:c r="E225" s="39"/>
      <x:c r="F225" s="46"/>
      <x:c r="G225" s="38"/>
      <x:c r="H225" s="38"/>
      <x:c r="I225" s="40"/>
      <x:c r="J225" s="40" t="str">
        <x:f>IFERROR((C225-D225)/C225,"")</x:f>
      </x:c>
      <x:c r="K225" s="46" t="str">
        <x:f>IF(OR(F225="",H225=""),"",EDATE(F225,H225))</x:f>
      </x:c>
      <x:c r="L225" s="40" t="str">
        <x:f>J225</x:f>
      </x:c>
    </x:row>
    <x:row r="226">
      <x:c r="A226" s="38" t="str"/>
      <x:c r="B226" s="38" t="str"/>
      <x:c r="C226" s="39"/>
      <x:c r="D226" s="39"/>
      <x:c r="E226" s="39"/>
      <x:c r="F226" s="46"/>
      <x:c r="G226" s="38"/>
      <x:c r="H226" s="38"/>
      <x:c r="I226" s="40"/>
      <x:c r="J226" s="40" t="str">
        <x:f>IFERROR((C226-D226)/C226,"")</x:f>
      </x:c>
      <x:c r="K226" s="46" t="str">
        <x:f>IF(OR(F226="",H226=""),"",EDATE(F226,H226))</x:f>
      </x:c>
      <x:c r="L226" s="40" t="str">
        <x:f>J226</x:f>
      </x:c>
    </x:row>
    <x:row r="227">
      <x:c r="A227" s="38" t="str"/>
      <x:c r="B227" s="38" t="str"/>
      <x:c r="C227" s="39"/>
      <x:c r="D227" s="39"/>
      <x:c r="E227" s="39"/>
      <x:c r="F227" s="46"/>
      <x:c r="G227" s="38"/>
      <x:c r="H227" s="38"/>
      <x:c r="I227" s="40"/>
      <x:c r="J227" s="40" t="str">
        <x:f>IFERROR((C227-D227)/C227,"")</x:f>
      </x:c>
      <x:c r="K227" s="46" t="str">
        <x:f>IF(OR(F227="",H227=""),"",EDATE(F227,H227))</x:f>
      </x:c>
      <x:c r="L227" s="40" t="str">
        <x:f>J227</x:f>
      </x:c>
    </x:row>
    <x:row r="228">
      <x:c r="A228" s="38" t="str"/>
      <x:c r="B228" s="38" t="str"/>
      <x:c r="C228" s="39"/>
      <x:c r="D228" s="39"/>
      <x:c r="E228" s="39"/>
      <x:c r="F228" s="46"/>
      <x:c r="G228" s="38"/>
      <x:c r="H228" s="38"/>
      <x:c r="I228" s="40"/>
      <x:c r="J228" s="40" t="str">
        <x:f>IFERROR((C228-D228)/C228,"")</x:f>
      </x:c>
      <x:c r="K228" s="46" t="str">
        <x:f>IF(OR(F228="",H228=""),"",EDATE(F228,H228))</x:f>
      </x:c>
      <x:c r="L228" s="40" t="str">
        <x:f>J228</x:f>
      </x:c>
    </x:row>
    <x:row r="229">
      <x:c r="A229" s="38" t="str"/>
      <x:c r="B229" s="38" t="str"/>
      <x:c r="C229" s="39"/>
      <x:c r="D229" s="39"/>
      <x:c r="E229" s="39"/>
      <x:c r="F229" s="46"/>
      <x:c r="G229" s="38"/>
      <x:c r="H229" s="38"/>
      <x:c r="I229" s="40"/>
      <x:c r="J229" s="40" t="str">
        <x:f>IFERROR((C229-D229)/C229,"")</x:f>
      </x:c>
      <x:c r="K229" s="46" t="str">
        <x:f>IF(OR(F229="",H229=""),"",EDATE(F229,H229))</x:f>
      </x:c>
      <x:c r="L229" s="40" t="str">
        <x:f>J229</x:f>
      </x:c>
    </x:row>
    <x:row r="230">
      <x:c r="A230" s="38" t="str"/>
      <x:c r="B230" s="38" t="str"/>
      <x:c r="C230" s="39"/>
      <x:c r="D230" s="39"/>
      <x:c r="E230" s="39"/>
      <x:c r="F230" s="46"/>
      <x:c r="G230" s="38"/>
      <x:c r="H230" s="38"/>
      <x:c r="I230" s="40"/>
      <x:c r="J230" s="40" t="str">
        <x:f>IFERROR((C230-D230)/C230,"")</x:f>
      </x:c>
      <x:c r="K230" s="46" t="str">
        <x:f>IF(OR(F230="",H230=""),"",EDATE(F230,H230))</x:f>
      </x:c>
      <x:c r="L230" s="40" t="str">
        <x:f>J230</x:f>
      </x:c>
    </x:row>
    <x:row r="231">
      <x:c r="A231" s="38" t="str"/>
      <x:c r="B231" s="38" t="str"/>
      <x:c r="C231" s="39"/>
      <x:c r="D231" s="39"/>
      <x:c r="E231" s="39"/>
      <x:c r="F231" s="46"/>
      <x:c r="G231" s="38"/>
      <x:c r="H231" s="38"/>
      <x:c r="I231" s="40"/>
      <x:c r="J231" s="40" t="str">
        <x:f>IFERROR((C231-D231)/C231,"")</x:f>
      </x:c>
      <x:c r="K231" s="46" t="str">
        <x:f>IF(OR(F231="",H231=""),"",EDATE(F231,H231))</x:f>
      </x:c>
      <x:c r="L231" s="40" t="str">
        <x:f>J231</x:f>
      </x:c>
    </x:row>
    <x:row r="232">
      <x:c r="A232" s="38" t="str"/>
      <x:c r="B232" s="38" t="str"/>
      <x:c r="C232" s="39"/>
      <x:c r="D232" s="39"/>
      <x:c r="E232" s="39"/>
      <x:c r="F232" s="46"/>
      <x:c r="G232" s="38"/>
      <x:c r="H232" s="38"/>
      <x:c r="I232" s="40"/>
      <x:c r="J232" s="40" t="str">
        <x:f>IFERROR((C232-D232)/C232,"")</x:f>
      </x:c>
      <x:c r="K232" s="46" t="str">
        <x:f>IF(OR(F232="",H232=""),"",EDATE(F232,H232))</x:f>
      </x:c>
      <x:c r="L232" s="40" t="str">
        <x:f>J232</x:f>
      </x:c>
    </x:row>
    <x:row r="233">
      <x:c r="A233" s="38" t="str"/>
      <x:c r="B233" s="38" t="str"/>
      <x:c r="C233" s="39"/>
      <x:c r="D233" s="39"/>
      <x:c r="E233" s="39"/>
      <x:c r="F233" s="46"/>
      <x:c r="G233" s="38"/>
      <x:c r="H233" s="38"/>
      <x:c r="I233" s="40"/>
      <x:c r="J233" s="40" t="str">
        <x:f>IFERROR((C233-D233)/C233,"")</x:f>
      </x:c>
      <x:c r="K233" s="46" t="str">
        <x:f>IF(OR(F233="",H233=""),"",EDATE(F233,H233))</x:f>
      </x:c>
      <x:c r="L233" s="40" t="str">
        <x:f>J233</x:f>
      </x:c>
    </x:row>
    <x:row r="234">
      <x:c r="A234" s="38" t="str"/>
      <x:c r="B234" s="38" t="str"/>
      <x:c r="C234" s="39"/>
      <x:c r="D234" s="39"/>
      <x:c r="E234" s="39"/>
      <x:c r="F234" s="46"/>
      <x:c r="G234" s="38"/>
      <x:c r="H234" s="38"/>
      <x:c r="I234" s="40"/>
      <x:c r="J234" s="40" t="str">
        <x:f>IFERROR((C234-D234)/C234,"")</x:f>
      </x:c>
      <x:c r="K234" s="46" t="str">
        <x:f>IF(OR(F234="",H234=""),"",EDATE(F234,H234))</x:f>
      </x:c>
      <x:c r="L234" s="40" t="str">
        <x:f>J234</x:f>
      </x:c>
    </x:row>
    <x:row r="235">
      <x:c r="A235" s="38" t="str"/>
      <x:c r="B235" s="38" t="str"/>
      <x:c r="C235" s="39"/>
      <x:c r="D235" s="39"/>
      <x:c r="E235" s="39"/>
      <x:c r="F235" s="46"/>
      <x:c r="G235" s="38"/>
      <x:c r="H235" s="38"/>
      <x:c r="I235" s="40"/>
      <x:c r="J235" s="40" t="str">
        <x:f>IFERROR((C235-D235)/C235,"")</x:f>
      </x:c>
      <x:c r="K235" s="46" t="str">
        <x:f>IF(OR(F235="",H235=""),"",EDATE(F235,H235))</x:f>
      </x:c>
      <x:c r="L235" s="40" t="str">
        <x:f>J235</x:f>
      </x:c>
    </x:row>
    <x:row r="236">
      <x:c r="A236" s="38" t="str"/>
      <x:c r="B236" s="38" t="str"/>
      <x:c r="C236" s="39"/>
      <x:c r="D236" s="39"/>
      <x:c r="E236" s="39"/>
      <x:c r="F236" s="46"/>
      <x:c r="G236" s="38"/>
      <x:c r="H236" s="38"/>
      <x:c r="I236" s="40"/>
      <x:c r="J236" s="40" t="str">
        <x:f>IFERROR((C236-D236)/C236,"")</x:f>
      </x:c>
      <x:c r="K236" s="46" t="str">
        <x:f>IF(OR(F236="",H236=""),"",EDATE(F236,H236))</x:f>
      </x:c>
      <x:c r="L236" s="40" t="str">
        <x:f>J236</x:f>
      </x:c>
    </x:row>
    <x:row r="237">
      <x:c r="A237" s="38" t="str"/>
      <x:c r="B237" s="38" t="str"/>
      <x:c r="C237" s="39"/>
      <x:c r="D237" s="39"/>
      <x:c r="E237" s="39"/>
      <x:c r="F237" s="46"/>
      <x:c r="G237" s="38"/>
      <x:c r="H237" s="38"/>
      <x:c r="I237" s="40"/>
      <x:c r="J237" s="40" t="str">
        <x:f>IFERROR((C237-D237)/C237,"")</x:f>
      </x:c>
      <x:c r="K237" s="46" t="str">
        <x:f>IF(OR(F237="",H237=""),"",EDATE(F237,H237))</x:f>
      </x:c>
      <x:c r="L237" s="40" t="str">
        <x:f>J237</x:f>
      </x:c>
    </x:row>
    <x:row r="238">
      <x:c r="A238" s="38" t="str"/>
      <x:c r="B238" s="38" t="str"/>
      <x:c r="C238" s="39"/>
      <x:c r="D238" s="39"/>
      <x:c r="E238" s="39"/>
      <x:c r="F238" s="46"/>
      <x:c r="G238" s="38"/>
      <x:c r="H238" s="38"/>
      <x:c r="I238" s="40"/>
      <x:c r="J238" s="40" t="str">
        <x:f>IFERROR((C238-D238)/C238,"")</x:f>
      </x:c>
      <x:c r="K238" s="46" t="str">
        <x:f>IF(OR(F238="",H238=""),"",EDATE(F238,H238))</x:f>
      </x:c>
      <x:c r="L238" s="40" t="str">
        <x:f>J238</x:f>
      </x:c>
    </x:row>
    <x:row r="239">
      <x:c r="A239" s="38" t="str"/>
      <x:c r="B239" s="38" t="str"/>
      <x:c r="C239" s="39"/>
      <x:c r="D239" s="39"/>
      <x:c r="E239" s="39"/>
      <x:c r="F239" s="46"/>
      <x:c r="G239" s="38"/>
      <x:c r="H239" s="38"/>
      <x:c r="I239" s="40"/>
      <x:c r="J239" s="40" t="str">
        <x:f>IFERROR((C239-D239)/C239,"")</x:f>
      </x:c>
      <x:c r="K239" s="46" t="str">
        <x:f>IF(OR(F239="",H239=""),"",EDATE(F239,H239))</x:f>
      </x:c>
      <x:c r="L239" s="40" t="str">
        <x:f>J239</x:f>
      </x:c>
    </x:row>
    <x:row r="240">
      <x:c r="A240" s="38" t="str"/>
      <x:c r="B240" s="38" t="str"/>
      <x:c r="C240" s="39"/>
      <x:c r="D240" s="39"/>
      <x:c r="E240" s="39"/>
      <x:c r="F240" s="46"/>
      <x:c r="G240" s="38"/>
      <x:c r="H240" s="38"/>
      <x:c r="I240" s="40"/>
      <x:c r="J240" s="40" t="str">
        <x:f>IFERROR((C240-D240)/C240,"")</x:f>
      </x:c>
      <x:c r="K240" s="46" t="str">
        <x:f>IF(OR(F240="",H240=""),"",EDATE(F240,H240))</x:f>
      </x:c>
      <x:c r="L240" s="40" t="str">
        <x:f>J240</x:f>
      </x:c>
    </x:row>
    <x:row r="241">
      <x:c r="A241" s="38" t="str"/>
      <x:c r="B241" s="38" t="str"/>
      <x:c r="C241" s="39"/>
      <x:c r="D241" s="39"/>
      <x:c r="E241" s="39"/>
      <x:c r="F241" s="46"/>
      <x:c r="G241" s="38"/>
      <x:c r="H241" s="38"/>
      <x:c r="I241" s="40"/>
      <x:c r="J241" s="40" t="str">
        <x:f>IFERROR((C241-D241)/C241,"")</x:f>
      </x:c>
      <x:c r="K241" s="46" t="str">
        <x:f>IF(OR(F241="",H241=""),"",EDATE(F241,H241))</x:f>
      </x:c>
      <x:c r="L241" s="40" t="str">
        <x:f>J241</x:f>
      </x:c>
    </x:row>
    <x:row r="242">
      <x:c r="A242" s="38" t="str"/>
      <x:c r="B242" s="38" t="str"/>
      <x:c r="C242" s="39"/>
      <x:c r="D242" s="39"/>
      <x:c r="E242" s="39"/>
      <x:c r="F242" s="46"/>
      <x:c r="G242" s="38"/>
      <x:c r="H242" s="38"/>
      <x:c r="I242" s="40"/>
      <x:c r="J242" s="40" t="str">
        <x:f>IFERROR((C242-D242)/C242,"")</x:f>
      </x:c>
      <x:c r="K242" s="46" t="str">
        <x:f>IF(OR(F242="",H242=""),"",EDATE(F242,H242))</x:f>
      </x:c>
      <x:c r="L242" s="40" t="str">
        <x:f>J242</x:f>
      </x:c>
    </x:row>
    <x:row r="243">
      <x:c r="A243" s="38" t="str"/>
      <x:c r="B243" s="38" t="str"/>
      <x:c r="C243" s="39"/>
      <x:c r="D243" s="39"/>
      <x:c r="E243" s="39"/>
      <x:c r="F243" s="46"/>
      <x:c r="G243" s="38"/>
      <x:c r="H243" s="38"/>
      <x:c r="I243" s="40"/>
      <x:c r="J243" s="40" t="str">
        <x:f>IFERROR((C243-D243)/C243,"")</x:f>
      </x:c>
      <x:c r="K243" s="46" t="str">
        <x:f>IF(OR(F243="",H243=""),"",EDATE(F243,H243))</x:f>
      </x:c>
      <x:c r="L243" s="40" t="str">
        <x:f>J243</x:f>
      </x:c>
    </x:row>
    <x:row r="244">
      <x:c r="A244" s="38" t="str"/>
      <x:c r="B244" s="38" t="str"/>
      <x:c r="C244" s="39"/>
      <x:c r="D244" s="39"/>
      <x:c r="E244" s="39"/>
      <x:c r="F244" s="46"/>
      <x:c r="G244" s="38"/>
      <x:c r="H244" s="38"/>
      <x:c r="I244" s="40"/>
      <x:c r="J244" s="40" t="str">
        <x:f>IFERROR((C244-D244)/C244,"")</x:f>
      </x:c>
      <x:c r="K244" s="46" t="str">
        <x:f>IF(OR(F244="",H244=""),"",EDATE(F244,H244))</x:f>
      </x:c>
      <x:c r="L244" s="40" t="str">
        <x:f>J244</x:f>
      </x:c>
    </x:row>
    <x:row r="245">
      <x:c r="A245" s="38" t="str"/>
      <x:c r="B245" s="38" t="str"/>
      <x:c r="C245" s="39"/>
      <x:c r="D245" s="39"/>
      <x:c r="E245" s="39"/>
      <x:c r="F245" s="46"/>
      <x:c r="G245" s="38"/>
      <x:c r="H245" s="38"/>
      <x:c r="I245" s="40"/>
      <x:c r="J245" s="40" t="str">
        <x:f>IFERROR((C245-D245)/C245,"")</x:f>
      </x:c>
      <x:c r="K245" s="46" t="str">
        <x:f>IF(OR(F245="",H245=""),"",EDATE(F245,H245))</x:f>
      </x:c>
      <x:c r="L245" s="40" t="str">
        <x:f>J245</x:f>
      </x:c>
    </x:row>
    <x:row r="246">
      <x:c r="A246" s="38" t="str"/>
      <x:c r="B246" s="38" t="str"/>
      <x:c r="C246" s="39"/>
      <x:c r="D246" s="39"/>
      <x:c r="E246" s="39"/>
      <x:c r="F246" s="46"/>
      <x:c r="G246" s="38"/>
      <x:c r="H246" s="38"/>
      <x:c r="I246" s="40"/>
      <x:c r="J246" s="40" t="str">
        <x:f>IFERROR((C246-D246)/C246,"")</x:f>
      </x:c>
      <x:c r="K246" s="46" t="str">
        <x:f>IF(OR(F246="",H246=""),"",EDATE(F246,H246))</x:f>
      </x:c>
      <x:c r="L246" s="40" t="str">
        <x:f>J246</x:f>
      </x:c>
    </x:row>
    <x:row r="247">
      <x:c r="A247" s="38" t="str"/>
      <x:c r="B247" s="38" t="str"/>
      <x:c r="C247" s="39"/>
      <x:c r="D247" s="39"/>
      <x:c r="E247" s="39"/>
      <x:c r="F247" s="46"/>
      <x:c r="G247" s="38"/>
      <x:c r="H247" s="38"/>
      <x:c r="I247" s="40"/>
      <x:c r="J247" s="40" t="str">
        <x:f>IFERROR((C247-D247)/C247,"")</x:f>
      </x:c>
      <x:c r="K247" s="46" t="str">
        <x:f>IF(OR(F247="",H247=""),"",EDATE(F247,H247))</x:f>
      </x:c>
      <x:c r="L247" s="40" t="str">
        <x:f>J247</x:f>
      </x:c>
    </x:row>
    <x:row r="248">
      <x:c r="A248" s="38" t="str"/>
      <x:c r="B248" s="38" t="str"/>
      <x:c r="C248" s="39"/>
      <x:c r="D248" s="39"/>
      <x:c r="E248" s="39"/>
      <x:c r="F248" s="46"/>
      <x:c r="G248" s="38"/>
      <x:c r="H248" s="38"/>
      <x:c r="I248" s="40"/>
      <x:c r="J248" s="40" t="str">
        <x:f>IFERROR((C248-D248)/C248,"")</x:f>
      </x:c>
      <x:c r="K248" s="46" t="str">
        <x:f>IF(OR(F248="",H248=""),"",EDATE(F248,H248))</x:f>
      </x:c>
      <x:c r="L248" s="40" t="str">
        <x:f>J248</x:f>
      </x:c>
    </x:row>
    <x:row r="249">
      <x:c r="A249" s="38" t="str"/>
      <x:c r="B249" s="38" t="str"/>
      <x:c r="C249" s="39"/>
      <x:c r="D249" s="39"/>
      <x:c r="E249" s="39"/>
      <x:c r="F249" s="46"/>
      <x:c r="G249" s="38"/>
      <x:c r="H249" s="38"/>
      <x:c r="I249" s="40"/>
      <x:c r="J249" s="40" t="str">
        <x:f>IFERROR((C249-D249)/C249,"")</x:f>
      </x:c>
      <x:c r="K249" s="46" t="str">
        <x:f>IF(OR(F249="",H249=""),"",EDATE(F249,H249))</x:f>
      </x:c>
      <x:c r="L249" s="40" t="str">
        <x:f>J249</x:f>
      </x:c>
    </x:row>
    <x:row r="250">
      <x:c r="A250" s="38" t="str"/>
      <x:c r="B250" s="38" t="str"/>
      <x:c r="C250" s="39"/>
      <x:c r="D250" s="39"/>
      <x:c r="E250" s="39"/>
      <x:c r="F250" s="46"/>
      <x:c r="G250" s="38"/>
      <x:c r="H250" s="38"/>
      <x:c r="I250" s="40"/>
      <x:c r="J250" s="40" t="str">
        <x:f>IFERROR((C250-D250)/C250,"")</x:f>
      </x:c>
      <x:c r="K250" s="46" t="str">
        <x:f>IF(OR(F250="",H250=""),"",EDATE(F250,H250))</x:f>
      </x:c>
      <x:c r="L250" s="40" t="str">
        <x:f>J250</x:f>
      </x:c>
    </x:row>
    <x:row r="251">
      <x:c r="A251" s="38" t="str"/>
      <x:c r="B251" s="38" t="str"/>
      <x:c r="C251" s="39"/>
      <x:c r="D251" s="39"/>
      <x:c r="E251" s="39"/>
      <x:c r="F251" s="46"/>
      <x:c r="G251" s="38"/>
      <x:c r="H251" s="38"/>
      <x:c r="I251" s="40"/>
      <x:c r="J251" s="40" t="str">
        <x:f>IFERROR((C251-D251)/C251,"")</x:f>
      </x:c>
      <x:c r="K251" s="46" t="str">
        <x:f>IF(OR(F251="",H251=""),"",EDATE(F251,H251))</x:f>
      </x:c>
      <x:c r="L251" s="40" t="str">
        <x:f>J251</x:f>
      </x:c>
    </x:row>
    <x:row r="252">
      <x:c r="A252" s="38" t="str"/>
      <x:c r="B252" s="38" t="str"/>
      <x:c r="C252" s="39"/>
      <x:c r="D252" s="39"/>
      <x:c r="E252" s="39"/>
      <x:c r="F252" s="46"/>
      <x:c r="G252" s="38"/>
      <x:c r="H252" s="38"/>
      <x:c r="I252" s="40"/>
      <x:c r="J252" s="40" t="str">
        <x:f>IFERROR((C252-D252)/C252,"")</x:f>
      </x:c>
      <x:c r="K252" s="46" t="str">
        <x:f>IF(OR(F252="",H252=""),"",EDATE(F252,H252))</x:f>
      </x:c>
      <x:c r="L252" s="40" t="str">
        <x:f>J252</x:f>
      </x:c>
    </x:row>
    <x:row r="253">
      <x:c r="A253" s="38" t="str"/>
      <x:c r="B253" s="38" t="str"/>
      <x:c r="C253" s="39"/>
      <x:c r="D253" s="39"/>
      <x:c r="E253" s="39"/>
      <x:c r="F253" s="46"/>
      <x:c r="G253" s="38"/>
      <x:c r="H253" s="38"/>
      <x:c r="I253" s="40"/>
      <x:c r="J253" s="40" t="str">
        <x:f>IFERROR((C253-D253)/C253,"")</x:f>
      </x:c>
      <x:c r="K253" s="46" t="str">
        <x:f>IF(OR(F253="",H253=""),"",EDATE(F253,H253))</x:f>
      </x:c>
      <x:c r="L253" s="40" t="str">
        <x:f>J253</x:f>
      </x:c>
    </x:row>
    <x:row r="254">
      <x:c r="A254" s="38" t="str"/>
      <x:c r="B254" s="38" t="str"/>
      <x:c r="C254" s="39"/>
      <x:c r="D254" s="39"/>
      <x:c r="E254" s="39"/>
      <x:c r="F254" s="46"/>
      <x:c r="G254" s="38"/>
      <x:c r="H254" s="38"/>
      <x:c r="I254" s="40"/>
      <x:c r="J254" s="40" t="str">
        <x:f>IFERROR((C254-D254)/C254,"")</x:f>
      </x:c>
      <x:c r="K254" s="46" t="str">
        <x:f>IF(OR(F254="",H254=""),"",EDATE(F254,H254))</x:f>
      </x:c>
      <x:c r="L254" s="40" t="str">
        <x:f>J254</x:f>
      </x:c>
    </x:row>
    <x:row r="255">
      <x:c r="A255" s="38" t="str"/>
      <x:c r="B255" s="38" t="str"/>
      <x:c r="C255" s="39"/>
      <x:c r="D255" s="39"/>
      <x:c r="E255" s="39"/>
      <x:c r="F255" s="46"/>
      <x:c r="G255" s="38"/>
      <x:c r="H255" s="38"/>
      <x:c r="I255" s="40"/>
      <x:c r="J255" s="40" t="str">
        <x:f>IFERROR((C255-D255)/C255,"")</x:f>
      </x:c>
      <x:c r="K255" s="46" t="str">
        <x:f>IF(OR(F255="",H255=""),"",EDATE(F255,H255))</x:f>
      </x:c>
      <x:c r="L255" s="40" t="str">
        <x:f>J255</x:f>
      </x:c>
    </x:row>
    <x:row r="256">
      <x:c r="A256" s="38" t="str"/>
      <x:c r="B256" s="38" t="str"/>
      <x:c r="C256" s="39"/>
      <x:c r="D256" s="39"/>
      <x:c r="E256" s="39"/>
      <x:c r="F256" s="46"/>
      <x:c r="G256" s="38"/>
      <x:c r="H256" s="38"/>
      <x:c r="I256" s="40"/>
      <x:c r="J256" s="40" t="str">
        <x:f>IFERROR((C256-D256)/C256,"")</x:f>
      </x:c>
      <x:c r="K256" s="46" t="str">
        <x:f>IF(OR(F256="",H256=""),"",EDATE(F256,H256))</x:f>
      </x:c>
      <x:c r="L256" s="40" t="str">
        <x:f>J256</x:f>
      </x:c>
    </x:row>
    <x:row r="257">
      <x:c r="A257" s="38" t="str"/>
      <x:c r="B257" s="38" t="str"/>
      <x:c r="C257" s="39"/>
      <x:c r="D257" s="39"/>
      <x:c r="E257" s="39"/>
      <x:c r="F257" s="46"/>
      <x:c r="G257" s="38"/>
      <x:c r="H257" s="38"/>
      <x:c r="I257" s="40"/>
      <x:c r="J257" s="40" t="str">
        <x:f>IFERROR((C257-D257)/C257,"")</x:f>
      </x:c>
      <x:c r="K257" s="46" t="str">
        <x:f>IF(OR(F257="",H257=""),"",EDATE(F257,H257))</x:f>
      </x:c>
      <x:c r="L257" s="40" t="str">
        <x:f>J257</x:f>
      </x:c>
    </x:row>
    <x:row r="258">
      <x:c r="A258" s="38" t="str"/>
      <x:c r="B258" s="38" t="str"/>
      <x:c r="C258" s="39"/>
      <x:c r="D258" s="39"/>
      <x:c r="E258" s="39"/>
      <x:c r="F258" s="46"/>
      <x:c r="G258" s="38"/>
      <x:c r="H258" s="38"/>
      <x:c r="I258" s="40"/>
      <x:c r="J258" s="40" t="str">
        <x:f>IFERROR((C258-D258)/C258,"")</x:f>
      </x:c>
      <x:c r="K258" s="46" t="str">
        <x:f>IF(OR(F258="",H258=""),"",EDATE(F258,H258))</x:f>
      </x:c>
      <x:c r="L258" s="40" t="str">
        <x:f>J258</x:f>
      </x:c>
    </x:row>
    <x:row r="259">
      <x:c r="A259" s="38" t="str"/>
      <x:c r="B259" s="38" t="str"/>
      <x:c r="C259" s="39"/>
      <x:c r="D259" s="39"/>
      <x:c r="E259" s="39"/>
      <x:c r="F259" s="46"/>
      <x:c r="G259" s="38"/>
      <x:c r="H259" s="38"/>
      <x:c r="I259" s="40"/>
      <x:c r="J259" s="40" t="str">
        <x:f>IFERROR((C259-D259)/C259,"")</x:f>
      </x:c>
      <x:c r="K259" s="46" t="str">
        <x:f>IF(OR(F259="",H259=""),"",EDATE(F259,H259))</x:f>
      </x:c>
      <x:c r="L259" s="40" t="str">
        <x:f>J259</x:f>
      </x:c>
    </x:row>
    <x:row r="260">
      <x:c r="A260" s="38" t="str"/>
      <x:c r="B260" s="38" t="str"/>
      <x:c r="C260" s="39"/>
      <x:c r="D260" s="39"/>
      <x:c r="E260" s="39"/>
      <x:c r="F260" s="46"/>
      <x:c r="G260" s="38"/>
      <x:c r="H260" s="38"/>
      <x:c r="I260" s="40"/>
      <x:c r="J260" s="40" t="str">
        <x:f>IFERROR((C260-D260)/C260,"")</x:f>
      </x:c>
      <x:c r="K260" s="46" t="str">
        <x:f>IF(OR(F260="",H260=""),"",EDATE(F260,H260))</x:f>
      </x:c>
      <x:c r="L260" s="40" t="str">
        <x:f>J260</x:f>
      </x:c>
    </x:row>
    <x:row r="261">
      <x:c r="A261" s="38" t="str"/>
      <x:c r="B261" s="38" t="str"/>
      <x:c r="C261" s="39"/>
      <x:c r="D261" s="39"/>
      <x:c r="E261" s="39"/>
      <x:c r="F261" s="46"/>
      <x:c r="G261" s="38"/>
      <x:c r="H261" s="38"/>
      <x:c r="I261" s="40"/>
      <x:c r="J261" s="40" t="str">
        <x:f>IFERROR((C261-D261)/C261,"")</x:f>
      </x:c>
      <x:c r="K261" s="46" t="str">
        <x:f>IF(OR(F261="",H261=""),"",EDATE(F261,H261))</x:f>
      </x:c>
      <x:c r="L261" s="40" t="str">
        <x:f>J261</x:f>
      </x:c>
    </x:row>
    <x:row r="262">
      <x:c r="A262" s="38" t="str"/>
      <x:c r="B262" s="38" t="str"/>
      <x:c r="C262" s="39"/>
      <x:c r="D262" s="39"/>
      <x:c r="E262" s="39"/>
      <x:c r="F262" s="46"/>
      <x:c r="G262" s="38"/>
      <x:c r="H262" s="38"/>
      <x:c r="I262" s="40"/>
      <x:c r="J262" s="40" t="str">
        <x:f>IFERROR((C262-D262)/C262,"")</x:f>
      </x:c>
      <x:c r="K262" s="46" t="str">
        <x:f>IF(OR(F262="",H262=""),"",EDATE(F262,H262))</x:f>
      </x:c>
      <x:c r="L262" s="40" t="str">
        <x:f>J262</x:f>
      </x:c>
    </x:row>
    <x:row r="263">
      <x:c r="A263" s="38" t="str"/>
      <x:c r="B263" s="38" t="str"/>
      <x:c r="C263" s="39"/>
      <x:c r="D263" s="39"/>
      <x:c r="E263" s="39"/>
      <x:c r="F263" s="46"/>
      <x:c r="G263" s="38"/>
      <x:c r="H263" s="38"/>
      <x:c r="I263" s="40"/>
      <x:c r="J263" s="40" t="str">
        <x:f>IFERROR((C263-D263)/C263,"")</x:f>
      </x:c>
      <x:c r="K263" s="46" t="str">
        <x:f>IF(OR(F263="",H263=""),"",EDATE(F263,H263))</x:f>
      </x:c>
      <x:c r="L263" s="40" t="str">
        <x:f>J263</x:f>
      </x:c>
    </x:row>
    <x:row r="264">
      <x:c r="A264" s="38" t="str"/>
      <x:c r="B264" s="38" t="str"/>
      <x:c r="C264" s="39"/>
      <x:c r="D264" s="39"/>
      <x:c r="E264" s="39"/>
      <x:c r="F264" s="46"/>
      <x:c r="G264" s="38"/>
      <x:c r="H264" s="38"/>
      <x:c r="I264" s="40"/>
      <x:c r="J264" s="40" t="str">
        <x:f>IFERROR((C264-D264)/C264,"")</x:f>
      </x:c>
      <x:c r="K264" s="46" t="str">
        <x:f>IF(OR(F264="",H264=""),"",EDATE(F264,H264))</x:f>
      </x:c>
      <x:c r="L264" s="40" t="str">
        <x:f>J264</x:f>
      </x:c>
    </x:row>
    <x:row r="265">
      <x:c r="A265" s="38" t="str"/>
      <x:c r="B265" s="38" t="str"/>
      <x:c r="C265" s="39"/>
      <x:c r="D265" s="39"/>
      <x:c r="E265" s="39"/>
      <x:c r="F265" s="46"/>
      <x:c r="G265" s="38"/>
      <x:c r="H265" s="38"/>
      <x:c r="I265" s="40"/>
      <x:c r="J265" s="40" t="str">
        <x:f>IFERROR((C265-D265)/C265,"")</x:f>
      </x:c>
      <x:c r="K265" s="46" t="str">
        <x:f>IF(OR(F265="",H265=""),"",EDATE(F265,H265))</x:f>
      </x:c>
      <x:c r="L265" s="40" t="str">
        <x:f>J265</x:f>
      </x:c>
    </x:row>
    <x:row r="266">
      <x:c r="A266" s="38" t="str"/>
      <x:c r="B266" s="38" t="str"/>
      <x:c r="C266" s="39"/>
      <x:c r="D266" s="39"/>
      <x:c r="E266" s="39"/>
      <x:c r="F266" s="46"/>
      <x:c r="G266" s="38"/>
      <x:c r="H266" s="38"/>
      <x:c r="I266" s="40"/>
      <x:c r="J266" s="40" t="str">
        <x:f>IFERROR((C266-D266)/C266,"")</x:f>
      </x:c>
      <x:c r="K266" s="46" t="str">
        <x:f>IF(OR(F266="",H266=""),"",EDATE(F266,H266))</x:f>
      </x:c>
      <x:c r="L266" s="40" t="str">
        <x:f>J266</x:f>
      </x:c>
    </x:row>
    <x:row r="267">
      <x:c r="A267" s="38" t="str"/>
      <x:c r="B267" s="38" t="str"/>
      <x:c r="C267" s="39"/>
      <x:c r="D267" s="39"/>
      <x:c r="E267" s="39"/>
      <x:c r="F267" s="46"/>
      <x:c r="G267" s="38"/>
      <x:c r="H267" s="38"/>
      <x:c r="I267" s="40"/>
      <x:c r="J267" s="40" t="str">
        <x:f>IFERROR((C267-D267)/C267,"")</x:f>
      </x:c>
      <x:c r="K267" s="46" t="str">
        <x:f>IF(OR(F267="",H267=""),"",EDATE(F267,H267))</x:f>
      </x:c>
      <x:c r="L267" s="40" t="str">
        <x:f>J267</x:f>
      </x:c>
    </x:row>
    <x:row r="268">
      <x:c r="A268" s="38" t="str"/>
      <x:c r="B268" s="38" t="str"/>
      <x:c r="C268" s="39"/>
      <x:c r="D268" s="39"/>
      <x:c r="E268" s="39"/>
      <x:c r="F268" s="46"/>
      <x:c r="G268" s="38"/>
      <x:c r="H268" s="38"/>
      <x:c r="I268" s="40"/>
      <x:c r="J268" s="40" t="str">
        <x:f>IFERROR((C268-D268)/C268,"")</x:f>
      </x:c>
      <x:c r="K268" s="46" t="str">
        <x:f>IF(OR(F268="",H268=""),"",EDATE(F268,H268))</x:f>
      </x:c>
      <x:c r="L268" s="40" t="str">
        <x:f>J268</x:f>
      </x:c>
    </x:row>
    <x:row r="269">
      <x:c r="A269" s="38" t="str"/>
      <x:c r="B269" s="38" t="str"/>
      <x:c r="C269" s="39"/>
      <x:c r="D269" s="39"/>
      <x:c r="E269" s="39"/>
      <x:c r="F269" s="46"/>
      <x:c r="G269" s="38"/>
      <x:c r="H269" s="38"/>
      <x:c r="I269" s="40"/>
      <x:c r="J269" s="40" t="str">
        <x:f>IFERROR((C269-D269)/C269,"")</x:f>
      </x:c>
      <x:c r="K269" s="46" t="str">
        <x:f>IF(OR(F269="",H269=""),"",EDATE(F269,H269))</x:f>
      </x:c>
      <x:c r="L269" s="40" t="str">
        <x:f>J269</x:f>
      </x:c>
    </x:row>
    <x:row r="270">
      <x:c r="A270" s="38" t="str"/>
      <x:c r="B270" s="38" t="str"/>
      <x:c r="C270" s="39"/>
      <x:c r="D270" s="39"/>
      <x:c r="E270" s="39"/>
      <x:c r="F270" s="46"/>
      <x:c r="G270" s="38"/>
      <x:c r="H270" s="38"/>
      <x:c r="I270" s="40"/>
      <x:c r="J270" s="40" t="str">
        <x:f>IFERROR((C270-D270)/C270,"")</x:f>
      </x:c>
      <x:c r="K270" s="46" t="str">
        <x:f>IF(OR(F270="",H270=""),"",EDATE(F270,H270))</x:f>
      </x:c>
      <x:c r="L270" s="40" t="str">
        <x:f>J270</x:f>
      </x:c>
    </x:row>
    <x:row r="271">
      <x:c r="A271" s="38" t="str"/>
      <x:c r="B271" s="38" t="str"/>
      <x:c r="C271" s="39"/>
      <x:c r="D271" s="39"/>
      <x:c r="E271" s="39"/>
      <x:c r="F271" s="46"/>
      <x:c r="G271" s="38"/>
      <x:c r="H271" s="38"/>
      <x:c r="I271" s="40"/>
      <x:c r="J271" s="40" t="str">
        <x:f>IFERROR((C271-D271)/C271,"")</x:f>
      </x:c>
      <x:c r="K271" s="46" t="str">
        <x:f>IF(OR(F271="",H271=""),"",EDATE(F271,H271))</x:f>
      </x:c>
      <x:c r="L271" s="40" t="str">
        <x:f>J271</x:f>
      </x:c>
    </x:row>
    <x:row r="272">
      <x:c r="A272" s="38" t="str"/>
      <x:c r="B272" s="38" t="str"/>
      <x:c r="C272" s="39"/>
      <x:c r="D272" s="39"/>
      <x:c r="E272" s="39"/>
      <x:c r="F272" s="46"/>
      <x:c r="G272" s="38"/>
      <x:c r="H272" s="38"/>
      <x:c r="I272" s="40"/>
      <x:c r="J272" s="40" t="str">
        <x:f>IFERROR((C272-D272)/C272,"")</x:f>
      </x:c>
      <x:c r="K272" s="46" t="str">
        <x:f>IF(OR(F272="",H272=""),"",EDATE(F272,H272))</x:f>
      </x:c>
      <x:c r="L272" s="40" t="str">
        <x:f>J272</x:f>
      </x:c>
    </x:row>
    <x:row r="273">
      <x:c r="A273" s="38" t="str"/>
      <x:c r="B273" s="38" t="str"/>
      <x:c r="C273" s="39"/>
      <x:c r="D273" s="39"/>
      <x:c r="E273" s="39"/>
      <x:c r="F273" s="46"/>
      <x:c r="G273" s="38"/>
      <x:c r="H273" s="38"/>
      <x:c r="I273" s="40"/>
      <x:c r="J273" s="40" t="str">
        <x:f>IFERROR((C273-D273)/C273,"")</x:f>
      </x:c>
      <x:c r="K273" s="46" t="str">
        <x:f>IF(OR(F273="",H273=""),"",EDATE(F273,H273))</x:f>
      </x:c>
      <x:c r="L273" s="40" t="str">
        <x:f>J273</x:f>
      </x:c>
    </x:row>
    <x:row r="274">
      <x:c r="A274" s="38" t="str"/>
      <x:c r="B274" s="38" t="str"/>
      <x:c r="C274" s="39"/>
      <x:c r="D274" s="39"/>
      <x:c r="E274" s="39"/>
      <x:c r="F274" s="46"/>
      <x:c r="G274" s="38"/>
      <x:c r="H274" s="38"/>
      <x:c r="I274" s="40"/>
      <x:c r="J274" s="40" t="str">
        <x:f>IFERROR((C274-D274)/C274,"")</x:f>
      </x:c>
      <x:c r="K274" s="46" t="str">
        <x:f>IF(OR(F274="",H274=""),"",EDATE(F274,H274))</x:f>
      </x:c>
      <x:c r="L274" s="40" t="str">
        <x:f>J274</x:f>
      </x:c>
    </x:row>
    <x:row r="275">
      <x:c r="A275" s="38" t="str"/>
      <x:c r="B275" s="38" t="str"/>
      <x:c r="C275" s="39"/>
      <x:c r="D275" s="39"/>
      <x:c r="E275" s="39"/>
      <x:c r="F275" s="46"/>
      <x:c r="G275" s="38"/>
      <x:c r="H275" s="38"/>
      <x:c r="I275" s="40"/>
      <x:c r="J275" s="40" t="str">
        <x:f>IFERROR((C275-D275)/C275,"")</x:f>
      </x:c>
      <x:c r="K275" s="46" t="str">
        <x:f>IF(OR(F275="",H275=""),"",EDATE(F275,H275))</x:f>
      </x:c>
      <x:c r="L275" s="40" t="str">
        <x:f>J275</x:f>
      </x:c>
    </x:row>
    <x:row r="276">
      <x:c r="A276" s="38" t="str"/>
      <x:c r="B276" s="38" t="str"/>
      <x:c r="C276" s="39"/>
      <x:c r="D276" s="39"/>
      <x:c r="E276" s="39"/>
      <x:c r="F276" s="46"/>
      <x:c r="G276" s="38"/>
      <x:c r="H276" s="38"/>
      <x:c r="I276" s="40"/>
      <x:c r="J276" s="40" t="str">
        <x:f>IFERROR((C276-D276)/C276,"")</x:f>
      </x:c>
      <x:c r="K276" s="46" t="str">
        <x:f>IF(OR(F276="",H276=""),"",EDATE(F276,H276))</x:f>
      </x:c>
      <x:c r="L276" s="40" t="str">
        <x:f>J276</x:f>
      </x:c>
    </x:row>
    <x:row r="277">
      <x:c r="A277" s="38" t="str"/>
      <x:c r="B277" s="38" t="str"/>
      <x:c r="C277" s="39"/>
      <x:c r="D277" s="39"/>
      <x:c r="E277" s="39"/>
      <x:c r="F277" s="46"/>
      <x:c r="G277" s="38"/>
      <x:c r="H277" s="38"/>
      <x:c r="I277" s="40"/>
      <x:c r="J277" s="40" t="str">
        <x:f>IFERROR((C277-D277)/C277,"")</x:f>
      </x:c>
      <x:c r="K277" s="46" t="str">
        <x:f>IF(OR(F277="",H277=""),"",EDATE(F277,H277))</x:f>
      </x:c>
      <x:c r="L277" s="40" t="str">
        <x:f>J277</x:f>
      </x:c>
    </x:row>
    <x:row r="278">
      <x:c r="A278" s="38" t="str"/>
      <x:c r="B278" s="38" t="str"/>
      <x:c r="C278" s="39"/>
      <x:c r="D278" s="39"/>
      <x:c r="E278" s="39"/>
      <x:c r="F278" s="46"/>
      <x:c r="G278" s="38"/>
      <x:c r="H278" s="38"/>
      <x:c r="I278" s="40"/>
      <x:c r="J278" s="40" t="str">
        <x:f>IFERROR((C278-D278)/C278,"")</x:f>
      </x:c>
      <x:c r="K278" s="46" t="str">
        <x:f>IF(OR(F278="",H278=""),"",EDATE(F278,H278))</x:f>
      </x:c>
      <x:c r="L278" s="40" t="str">
        <x:f>J278</x:f>
      </x:c>
    </x:row>
    <x:row r="279">
      <x:c r="A279" s="38" t="str"/>
      <x:c r="B279" s="38" t="str"/>
      <x:c r="C279" s="39"/>
      <x:c r="D279" s="39"/>
      <x:c r="E279" s="39"/>
      <x:c r="F279" s="46"/>
      <x:c r="G279" s="38"/>
      <x:c r="H279" s="38"/>
      <x:c r="I279" s="40"/>
      <x:c r="J279" s="40" t="str">
        <x:f>IFERROR((C279-D279)/C279,"")</x:f>
      </x:c>
      <x:c r="K279" s="46" t="str">
        <x:f>IF(OR(F279="",H279=""),"",EDATE(F279,H279))</x:f>
      </x:c>
      <x:c r="L279" s="40" t="str">
        <x:f>J279</x:f>
      </x:c>
    </x:row>
    <x:row r="280">
      <x:c r="A280" s="38" t="str"/>
      <x:c r="B280" s="38" t="str"/>
      <x:c r="C280" s="39"/>
      <x:c r="D280" s="39"/>
      <x:c r="E280" s="39"/>
      <x:c r="F280" s="46"/>
      <x:c r="G280" s="38"/>
      <x:c r="H280" s="38"/>
      <x:c r="I280" s="40"/>
      <x:c r="J280" s="40" t="str">
        <x:f>IFERROR((C280-D280)/C280,"")</x:f>
      </x:c>
      <x:c r="K280" s="46" t="str">
        <x:f>IF(OR(F280="",H280=""),"",EDATE(F280,H280))</x:f>
      </x:c>
      <x:c r="L280" s="40" t="str">
        <x:f>J280</x:f>
      </x:c>
    </x:row>
    <x:row r="281">
      <x:c r="A281" s="38" t="str"/>
      <x:c r="B281" s="38" t="str"/>
      <x:c r="C281" s="39"/>
      <x:c r="D281" s="39"/>
      <x:c r="E281" s="39"/>
      <x:c r="F281" s="46"/>
      <x:c r="G281" s="38"/>
      <x:c r="H281" s="38"/>
      <x:c r="I281" s="40"/>
      <x:c r="J281" s="40" t="str">
        <x:f>IFERROR((C281-D281)/C281,"")</x:f>
      </x:c>
      <x:c r="K281" s="46" t="str">
        <x:f>IF(OR(F281="",H281=""),"",EDATE(F281,H281))</x:f>
      </x:c>
      <x:c r="L281" s="40" t="str">
        <x:f>J281</x:f>
      </x:c>
    </x:row>
    <x:row r="282">
      <x:c r="A282" s="38" t="str"/>
      <x:c r="B282" s="38" t="str"/>
      <x:c r="C282" s="39"/>
      <x:c r="D282" s="39"/>
      <x:c r="E282" s="39"/>
      <x:c r="F282" s="46"/>
      <x:c r="G282" s="38"/>
      <x:c r="H282" s="38"/>
      <x:c r="I282" s="40"/>
      <x:c r="J282" s="40" t="str">
        <x:f>IFERROR((C282-D282)/C282,"")</x:f>
      </x:c>
      <x:c r="K282" s="46" t="str">
        <x:f>IF(OR(F282="",H282=""),"",EDATE(F282,H282))</x:f>
      </x:c>
      <x:c r="L282" s="40" t="str">
        <x:f>J282</x:f>
      </x:c>
    </x:row>
    <x:row r="283">
      <x:c r="A283" s="38" t="str"/>
      <x:c r="B283" s="38" t="str"/>
      <x:c r="C283" s="39"/>
      <x:c r="D283" s="39"/>
      <x:c r="E283" s="39"/>
      <x:c r="F283" s="46"/>
      <x:c r="G283" s="38"/>
      <x:c r="H283" s="38"/>
      <x:c r="I283" s="40"/>
      <x:c r="J283" s="40" t="str">
        <x:f>IFERROR((C283-D283)/C283,"")</x:f>
      </x:c>
      <x:c r="K283" s="46" t="str">
        <x:f>IF(OR(F283="",H283=""),"",EDATE(F283,H283))</x:f>
      </x:c>
      <x:c r="L283" s="40" t="str">
        <x:f>J283</x:f>
      </x:c>
    </x:row>
    <x:row r="284">
      <x:c r="A284" s="38" t="str"/>
      <x:c r="B284" s="38" t="str"/>
      <x:c r="C284" s="39"/>
      <x:c r="D284" s="39"/>
      <x:c r="E284" s="39"/>
      <x:c r="F284" s="46"/>
      <x:c r="G284" s="38"/>
      <x:c r="H284" s="38"/>
      <x:c r="I284" s="40"/>
      <x:c r="J284" s="40" t="str">
        <x:f>IFERROR((C284-D284)/C284,"")</x:f>
      </x:c>
      <x:c r="K284" s="46" t="str">
        <x:f>IF(OR(F284="",H284=""),"",EDATE(F284,H284))</x:f>
      </x:c>
      <x:c r="L284" s="40" t="str">
        <x:f>J284</x:f>
      </x:c>
    </x:row>
    <x:row r="285">
      <x:c r="A285" s="38" t="str"/>
      <x:c r="B285" s="38" t="str"/>
      <x:c r="C285" s="39"/>
      <x:c r="D285" s="39"/>
      <x:c r="E285" s="39"/>
      <x:c r="F285" s="46"/>
      <x:c r="G285" s="38"/>
      <x:c r="H285" s="38"/>
      <x:c r="I285" s="40"/>
      <x:c r="J285" s="40" t="str">
        <x:f>IFERROR((C285-D285)/C285,"")</x:f>
      </x:c>
      <x:c r="K285" s="46" t="str">
        <x:f>IF(OR(F285="",H285=""),"",EDATE(F285,H285))</x:f>
      </x:c>
      <x:c r="L285" s="40" t="str">
        <x:f>J285</x:f>
      </x:c>
    </x:row>
    <x:row r="286">
      <x:c r="A286" s="38" t="str"/>
      <x:c r="B286" s="38" t="str"/>
      <x:c r="C286" s="39"/>
      <x:c r="D286" s="39"/>
      <x:c r="E286" s="39"/>
      <x:c r="F286" s="46"/>
      <x:c r="G286" s="38"/>
      <x:c r="H286" s="38"/>
      <x:c r="I286" s="40"/>
      <x:c r="J286" s="40" t="str">
        <x:f>IFERROR((C286-D286)/C286,"")</x:f>
      </x:c>
      <x:c r="K286" s="46" t="str">
        <x:f>IF(OR(F286="",H286=""),"",EDATE(F286,H286))</x:f>
      </x:c>
      <x:c r="L286" s="40" t="str">
        <x:f>J286</x:f>
      </x:c>
    </x:row>
    <x:row r="287">
      <x:c r="A287" s="38" t="str"/>
      <x:c r="B287" s="38" t="str"/>
      <x:c r="C287" s="39"/>
      <x:c r="D287" s="39"/>
      <x:c r="E287" s="39"/>
      <x:c r="F287" s="46"/>
      <x:c r="G287" s="38"/>
      <x:c r="H287" s="38"/>
      <x:c r="I287" s="40"/>
      <x:c r="J287" s="40" t="str">
        <x:f>IFERROR((C287-D287)/C287,"")</x:f>
      </x:c>
      <x:c r="K287" s="46" t="str">
        <x:f>IF(OR(F287="",H287=""),"",EDATE(F287,H287))</x:f>
      </x:c>
      <x:c r="L287" s="40" t="str">
        <x:f>J287</x:f>
      </x:c>
    </x:row>
    <x:row r="288">
      <x:c r="A288" s="38" t="str"/>
      <x:c r="B288" s="38" t="str"/>
      <x:c r="C288" s="39"/>
      <x:c r="D288" s="39"/>
      <x:c r="E288" s="39"/>
      <x:c r="F288" s="46"/>
      <x:c r="G288" s="38"/>
      <x:c r="H288" s="38"/>
      <x:c r="I288" s="40"/>
      <x:c r="J288" s="40" t="str">
        <x:f>IFERROR((C288-D288)/C288,"")</x:f>
      </x:c>
      <x:c r="K288" s="46" t="str">
        <x:f>IF(OR(F288="",H288=""),"",EDATE(F288,H288))</x:f>
      </x:c>
      <x:c r="L288" s="40" t="str">
        <x:f>J288</x:f>
      </x:c>
    </x:row>
    <x:row r="289">
      <x:c r="A289" s="38" t="str"/>
      <x:c r="B289" s="38" t="str"/>
      <x:c r="C289" s="39"/>
      <x:c r="D289" s="39"/>
      <x:c r="E289" s="39"/>
      <x:c r="F289" s="46"/>
      <x:c r="G289" s="38"/>
      <x:c r="H289" s="38"/>
      <x:c r="I289" s="40"/>
      <x:c r="J289" s="40" t="str">
        <x:f>IFERROR((C289-D289)/C289,"")</x:f>
      </x:c>
      <x:c r="K289" s="46" t="str">
        <x:f>IF(OR(F289="",H289=""),"",EDATE(F289,H289))</x:f>
      </x:c>
      <x:c r="L289" s="40" t="str">
        <x:f>J289</x:f>
      </x:c>
    </x:row>
    <x:row r="290">
      <x:c r="A290" s="38" t="str"/>
      <x:c r="B290" s="38" t="str"/>
      <x:c r="C290" s="39"/>
      <x:c r="D290" s="39"/>
      <x:c r="E290" s="39"/>
      <x:c r="F290" s="46"/>
      <x:c r="G290" s="38"/>
      <x:c r="H290" s="38"/>
      <x:c r="I290" s="40"/>
      <x:c r="J290" s="40" t="str">
        <x:f>IFERROR((C290-D290)/C290,"")</x:f>
      </x:c>
      <x:c r="K290" s="46" t="str">
        <x:f>IF(OR(F290="",H290=""),"",EDATE(F290,H290))</x:f>
      </x:c>
      <x:c r="L290" s="40" t="str">
        <x:f>J290</x:f>
      </x:c>
    </x:row>
    <x:row r="291">
      <x:c r="A291" s="38" t="str"/>
      <x:c r="B291" s="38" t="str"/>
      <x:c r="C291" s="39"/>
      <x:c r="D291" s="39"/>
      <x:c r="E291" s="39"/>
      <x:c r="F291" s="46"/>
      <x:c r="G291" s="38"/>
      <x:c r="H291" s="38"/>
      <x:c r="I291" s="40"/>
      <x:c r="J291" s="40" t="str">
        <x:f>IFERROR((C291-D291)/C291,"")</x:f>
      </x:c>
      <x:c r="K291" s="46" t="str">
        <x:f>IF(OR(F291="",H291=""),"",EDATE(F291,H291))</x:f>
      </x:c>
      <x:c r="L291" s="40" t="str">
        <x:f>J291</x:f>
      </x:c>
    </x:row>
    <x:row r="292">
      <x:c r="A292" s="38" t="str"/>
      <x:c r="B292" s="38" t="str"/>
      <x:c r="C292" s="39"/>
      <x:c r="D292" s="39"/>
      <x:c r="E292" s="39"/>
      <x:c r="F292" s="46"/>
      <x:c r="G292" s="38"/>
      <x:c r="H292" s="38"/>
      <x:c r="I292" s="40"/>
      <x:c r="J292" s="40" t="str">
        <x:f>IFERROR((C292-D292)/C292,"")</x:f>
      </x:c>
      <x:c r="K292" s="46" t="str">
        <x:f>IF(OR(F292="",H292=""),"",EDATE(F292,H292))</x:f>
      </x:c>
      <x:c r="L292" s="40" t="str">
        <x:f>J292</x:f>
      </x:c>
    </x:row>
    <x:row r="293">
      <x:c r="A293" s="38" t="str"/>
      <x:c r="B293" s="38" t="str"/>
      <x:c r="C293" s="39"/>
      <x:c r="D293" s="39"/>
      <x:c r="E293" s="39"/>
      <x:c r="F293" s="46"/>
      <x:c r="G293" s="38"/>
      <x:c r="H293" s="38"/>
      <x:c r="I293" s="40"/>
      <x:c r="J293" s="40" t="str">
        <x:f>IFERROR((C293-D293)/C293,"")</x:f>
      </x:c>
      <x:c r="K293" s="46" t="str">
        <x:f>IF(OR(F293="",H293=""),"",EDATE(F293,H293))</x:f>
      </x:c>
      <x:c r="L293" s="40" t="str">
        <x:f>J293</x:f>
      </x:c>
    </x:row>
    <x:row r="294">
      <x:c r="A294" s="38" t="str"/>
      <x:c r="B294" s="38" t="str"/>
      <x:c r="C294" s="39"/>
      <x:c r="D294" s="39"/>
      <x:c r="E294" s="39"/>
      <x:c r="F294" s="46"/>
      <x:c r="G294" s="38"/>
      <x:c r="H294" s="38"/>
      <x:c r="I294" s="40"/>
      <x:c r="J294" s="40" t="str">
        <x:f>IFERROR((C294-D294)/C294,"")</x:f>
      </x:c>
      <x:c r="K294" s="46" t="str">
        <x:f>IF(OR(F294="",H294=""),"",EDATE(F294,H294))</x:f>
      </x:c>
      <x:c r="L294" s="40" t="str">
        <x:f>J294</x:f>
      </x:c>
    </x:row>
    <x:row r="295">
      <x:c r="A295" s="38" t="str"/>
      <x:c r="B295" s="38" t="str"/>
      <x:c r="C295" s="39"/>
      <x:c r="D295" s="39"/>
      <x:c r="E295" s="39"/>
      <x:c r="F295" s="46"/>
      <x:c r="G295" s="38"/>
      <x:c r="H295" s="38"/>
      <x:c r="I295" s="40"/>
      <x:c r="J295" s="40" t="str">
        <x:f>IFERROR((C295-D295)/C295,"")</x:f>
      </x:c>
      <x:c r="K295" s="46" t="str">
        <x:f>IF(OR(F295="",H295=""),"",EDATE(F295,H295))</x:f>
      </x:c>
      <x:c r="L295" s="40" t="str">
        <x:f>J295</x:f>
      </x:c>
    </x:row>
    <x:row r="296">
      <x:c r="A296" s="38" t="str"/>
      <x:c r="B296" s="38" t="str"/>
      <x:c r="C296" s="39"/>
      <x:c r="D296" s="39"/>
      <x:c r="E296" s="39"/>
      <x:c r="F296" s="46"/>
      <x:c r="G296" s="38"/>
      <x:c r="H296" s="38"/>
      <x:c r="I296" s="40"/>
      <x:c r="J296" s="40" t="str">
        <x:f>IFERROR((C296-D296)/C296,"")</x:f>
      </x:c>
      <x:c r="K296" s="46" t="str">
        <x:f>IF(OR(F296="",H296=""),"",EDATE(F296,H296))</x:f>
      </x:c>
      <x:c r="L296" s="40" t="str">
        <x:f>J296</x:f>
      </x:c>
    </x:row>
    <x:row r="297">
      <x:c r="A297" s="38" t="str"/>
      <x:c r="B297" s="38" t="str"/>
      <x:c r="C297" s="39"/>
      <x:c r="D297" s="39"/>
      <x:c r="E297" s="39"/>
      <x:c r="F297" s="46"/>
      <x:c r="G297" s="38"/>
      <x:c r="H297" s="38"/>
      <x:c r="I297" s="40"/>
      <x:c r="J297" s="40" t="str">
        <x:f>IFERROR((C297-D297)/C297,"")</x:f>
      </x:c>
      <x:c r="K297" s="46" t="str">
        <x:f>IF(OR(F297="",H297=""),"",EDATE(F297,H297))</x:f>
      </x:c>
      <x:c r="L297" s="40" t="str">
        <x:f>J297</x:f>
      </x:c>
    </x:row>
    <x:row r="298">
      <x:c r="A298" s="38" t="str"/>
      <x:c r="B298" s="38" t="str"/>
      <x:c r="C298" s="39"/>
      <x:c r="D298" s="39"/>
      <x:c r="E298" s="39"/>
      <x:c r="F298" s="46"/>
      <x:c r="G298" s="38"/>
      <x:c r="H298" s="38"/>
      <x:c r="I298" s="40"/>
      <x:c r="J298" s="40" t="str">
        <x:f>IFERROR((C298-D298)/C298,"")</x:f>
      </x:c>
      <x:c r="K298" s="46" t="str">
        <x:f>IF(OR(F298="",H298=""),"",EDATE(F298,H298))</x:f>
      </x:c>
      <x:c r="L298" s="40" t="str">
        <x:f>J298</x:f>
      </x:c>
    </x:row>
    <x:row r="299">
      <x:c r="A299" s="38" t="str"/>
      <x:c r="B299" s="38" t="str"/>
      <x:c r="C299" s="39"/>
      <x:c r="D299" s="39"/>
      <x:c r="E299" s="39"/>
      <x:c r="F299" s="46"/>
      <x:c r="G299" s="38"/>
      <x:c r="H299" s="38"/>
      <x:c r="I299" s="40"/>
      <x:c r="J299" s="40" t="str">
        <x:f>IFERROR((C299-D299)/C299,"")</x:f>
      </x:c>
      <x:c r="K299" s="46" t="str">
        <x:f>IF(OR(F299="",H299=""),"",EDATE(F299,H299))</x:f>
      </x:c>
      <x:c r="L299" s="40" t="str">
        <x:f>J299</x:f>
      </x:c>
    </x:row>
    <x:row r="300">
      <x:c r="A300" s="38" t="str"/>
      <x:c r="B300" s="38" t="str"/>
      <x:c r="C300" s="39"/>
      <x:c r="D300" s="39"/>
      <x:c r="E300" s="39"/>
      <x:c r="F300" s="46"/>
      <x:c r="G300" s="38"/>
      <x:c r="H300" s="38"/>
      <x:c r="I300" s="40"/>
      <x:c r="J300" s="40" t="str">
        <x:f>IFERROR((C300-D300)/C300,"")</x:f>
      </x:c>
      <x:c r="K300" s="46" t="str">
        <x:f>IF(OR(F300="",H300=""),"",EDATE(F300,H300))</x:f>
      </x:c>
      <x:c r="L300" s="40" t="str">
        <x:f>J300</x:f>
      </x:c>
    </x:row>
    <x:row r="301">
      <x:c r="A301" s="38" t="str"/>
      <x:c r="B301" s="38" t="str"/>
      <x:c r="C301" s="39"/>
      <x:c r="D301" s="39"/>
      <x:c r="E301" s="39"/>
      <x:c r="F301" s="46"/>
      <x:c r="G301" s="38"/>
      <x:c r="H301" s="38"/>
      <x:c r="I301" s="40"/>
      <x:c r="J301" s="40" t="str">
        <x:f>IFERROR((C301-D301)/C301,"")</x:f>
      </x:c>
      <x:c r="K301" s="46" t="str">
        <x:f>IF(OR(F301="",H301=""),"",EDATE(F301,H301))</x:f>
      </x:c>
      <x:c r="L301" s="40" t="str">
        <x:f>J301</x:f>
      </x:c>
    </x:row>
    <x:row r="302">
      <x:c r="A302" s="38" t="str"/>
      <x:c r="B302" s="38" t="str"/>
      <x:c r="C302" s="39"/>
      <x:c r="D302" s="39"/>
      <x:c r="E302" s="39"/>
      <x:c r="F302" s="46"/>
      <x:c r="G302" s="38"/>
      <x:c r="H302" s="38"/>
      <x:c r="I302" s="40"/>
      <x:c r="J302" s="40" t="str">
        <x:f>IFERROR((C302-D302)/C302,"")</x:f>
      </x:c>
      <x:c r="K302" s="46" t="str">
        <x:f>IF(OR(F302="",H302=""),"",EDATE(F302,H302))</x:f>
      </x:c>
      <x:c r="L302" s="40" t="str">
        <x:f>J302</x:f>
      </x:c>
    </x:row>
    <x:row r="303">
      <x:c r="A303" s="38" t="str"/>
      <x:c r="B303" s="38" t="str"/>
      <x:c r="C303" s="39"/>
      <x:c r="D303" s="39"/>
      <x:c r="E303" s="39"/>
      <x:c r="F303" s="46"/>
      <x:c r="G303" s="38"/>
      <x:c r="H303" s="38"/>
      <x:c r="I303" s="40"/>
      <x:c r="J303" s="40" t="str">
        <x:f>IFERROR((C303-D303)/C303,"")</x:f>
      </x:c>
      <x:c r="K303" s="46" t="str">
        <x:f>IF(OR(F303="",H303=""),"",EDATE(F303,H303))</x:f>
      </x:c>
      <x:c r="L303" s="40" t="str">
        <x:f>J303</x:f>
      </x:c>
    </x:row>
    <x:row r="304">
      <x:c r="A304" s="38" t="str"/>
      <x:c r="B304" s="38" t="str"/>
      <x:c r="C304" s="39"/>
      <x:c r="D304" s="39"/>
      <x:c r="E304" s="39"/>
      <x:c r="F304" s="46"/>
      <x:c r="G304" s="38"/>
      <x:c r="H304" s="38"/>
      <x:c r="I304" s="40"/>
      <x:c r="J304" s="40" t="str">
        <x:f>IFERROR((C304-D304)/C304,"")</x:f>
      </x:c>
      <x:c r="K304" s="46" t="str">
        <x:f>IF(OR(F304="",H304=""),"",EDATE(F304,H304))</x:f>
      </x:c>
      <x:c r="L304" s="40" t="str">
        <x:f>J304</x:f>
      </x:c>
    </x:row>
    <x:row r="305">
      <x:c r="A305" s="38" t="str"/>
      <x:c r="B305" s="38" t="str"/>
      <x:c r="C305" s="39"/>
      <x:c r="D305" s="39"/>
      <x:c r="E305" s="39"/>
      <x:c r="F305" s="46"/>
      <x:c r="G305" s="38"/>
      <x:c r="H305" s="38"/>
      <x:c r="I305" s="40"/>
      <x:c r="J305" s="40" t="str">
        <x:f>IFERROR((C305-D305)/C305,"")</x:f>
      </x:c>
      <x:c r="K305" s="46" t="str">
        <x:f>IF(OR(F305="",H305=""),"",EDATE(F305,H305))</x:f>
      </x:c>
      <x:c r="L305" s="40" t="str">
        <x:f>J305</x:f>
      </x:c>
    </x:row>
    <x:row r="306">
      <x:c r="A306" s="38" t="str"/>
      <x:c r="B306" s="38" t="str"/>
      <x:c r="C306" s="39"/>
      <x:c r="D306" s="39"/>
      <x:c r="E306" s="39"/>
      <x:c r="F306" s="46"/>
      <x:c r="G306" s="38"/>
      <x:c r="H306" s="38"/>
      <x:c r="I306" s="40"/>
      <x:c r="J306" s="40" t="str">
        <x:f>IFERROR((C306-D306)/C306,"")</x:f>
      </x:c>
      <x:c r="K306" s="46" t="str">
        <x:f>IF(OR(F306="",H306=""),"",EDATE(F306,H306))</x:f>
      </x:c>
      <x:c r="L306" s="40" t="str">
        <x:f>J306</x:f>
      </x:c>
    </x:row>
    <x:row r="307">
      <x:c r="A307" s="38" t="str"/>
      <x:c r="B307" s="38" t="str"/>
      <x:c r="C307" s="39"/>
      <x:c r="D307" s="39"/>
      <x:c r="E307" s="39"/>
      <x:c r="F307" s="46"/>
      <x:c r="G307" s="38"/>
      <x:c r="H307" s="38"/>
      <x:c r="I307" s="40"/>
      <x:c r="J307" s="40" t="str">
        <x:f>IFERROR((C307-D307)/C307,"")</x:f>
      </x:c>
      <x:c r="K307" s="46" t="str">
        <x:f>IF(OR(F307="",H307=""),"",EDATE(F307,H307))</x:f>
      </x:c>
      <x:c r="L307" s="40" t="str">
        <x:f>J307</x:f>
      </x:c>
    </x:row>
    <x:row r="308">
      <x:c r="A308" s="38" t="str"/>
      <x:c r="B308" s="38" t="str"/>
      <x:c r="C308" s="39"/>
      <x:c r="D308" s="39"/>
      <x:c r="E308" s="39"/>
      <x:c r="F308" s="46"/>
      <x:c r="G308" s="38"/>
      <x:c r="H308" s="38"/>
      <x:c r="I308" s="40"/>
      <x:c r="J308" s="40" t="str">
        <x:f>IFERROR((C308-D308)/C308,"")</x:f>
      </x:c>
      <x:c r="K308" s="46" t="str">
        <x:f>IF(OR(F308="",H308=""),"",EDATE(F308,H308))</x:f>
      </x:c>
      <x:c r="L308" s="40" t="str">
        <x:f>J308</x:f>
      </x:c>
    </x:row>
    <x:row r="309">
      <x:c r="A309" s="38" t="str"/>
      <x:c r="B309" s="38" t="str"/>
      <x:c r="C309" s="39"/>
      <x:c r="D309" s="39"/>
      <x:c r="E309" s="39"/>
      <x:c r="F309" s="46"/>
      <x:c r="G309" s="38"/>
      <x:c r="H309" s="38"/>
      <x:c r="I309" s="40"/>
      <x:c r="J309" s="40" t="str">
        <x:f>IFERROR((C309-D309)/C309,"")</x:f>
      </x:c>
      <x:c r="K309" s="46" t="str">
        <x:f>IF(OR(F309="",H309=""),"",EDATE(F309,H309))</x:f>
      </x:c>
      <x:c r="L309" s="40" t="str">
        <x:f>J309</x:f>
      </x:c>
    </x:row>
    <x:row r="310">
      <x:c r="A310" s="38" t="str"/>
      <x:c r="B310" s="38" t="str"/>
      <x:c r="C310" s="39"/>
      <x:c r="D310" s="39"/>
      <x:c r="E310" s="39"/>
      <x:c r="F310" s="46"/>
      <x:c r="G310" s="38"/>
      <x:c r="H310" s="38"/>
      <x:c r="I310" s="40"/>
      <x:c r="J310" s="40" t="str">
        <x:f>IFERROR((C310-D310)/C310,"")</x:f>
      </x:c>
      <x:c r="K310" s="46" t="str">
        <x:f>IF(OR(F310="",H310=""),"",EDATE(F310,H310))</x:f>
      </x:c>
      <x:c r="L310" s="40" t="str">
        <x:f>J310</x:f>
      </x:c>
    </x:row>
    <x:row r="311">
      <x:c r="A311" s="38" t="str"/>
      <x:c r="B311" s="38" t="str"/>
      <x:c r="C311" s="39"/>
      <x:c r="D311" s="39"/>
      <x:c r="E311" s="39"/>
      <x:c r="F311" s="46"/>
      <x:c r="G311" s="38"/>
      <x:c r="H311" s="38"/>
      <x:c r="I311" s="40"/>
      <x:c r="J311" s="40" t="str">
        <x:f>IFERROR((C311-D311)/C311,"")</x:f>
      </x:c>
      <x:c r="K311" s="46" t="str">
        <x:f>IF(OR(F311="",H311=""),"",EDATE(F311,H311))</x:f>
      </x:c>
      <x:c r="L311" s="40" t="str">
        <x:f>J311</x:f>
      </x:c>
    </x:row>
    <x:row r="312">
      <x:c r="A312" s="38" t="str"/>
      <x:c r="B312" s="38" t="str"/>
      <x:c r="C312" s="39"/>
      <x:c r="D312" s="39"/>
      <x:c r="E312" s="39"/>
      <x:c r="F312" s="46"/>
      <x:c r="G312" s="38"/>
      <x:c r="H312" s="38"/>
      <x:c r="I312" s="40"/>
      <x:c r="J312" s="40" t="str">
        <x:f>IFERROR((C312-D312)/C312,"")</x:f>
      </x:c>
      <x:c r="K312" s="46" t="str">
        <x:f>IF(OR(F312="",H312=""),"",EDATE(F312,H312))</x:f>
      </x:c>
      <x:c r="L312" s="40" t="str">
        <x:f>J312</x:f>
      </x:c>
    </x:row>
    <x:row r="313">
      <x:c r="A313" s="38" t="str"/>
      <x:c r="B313" s="38" t="str"/>
      <x:c r="C313" s="39"/>
      <x:c r="D313" s="39"/>
      <x:c r="E313" s="39"/>
      <x:c r="F313" s="46"/>
      <x:c r="G313" s="38"/>
      <x:c r="H313" s="38"/>
      <x:c r="I313" s="40"/>
      <x:c r="J313" s="40" t="str">
        <x:f>IFERROR((C313-D313)/C313,"")</x:f>
      </x:c>
      <x:c r="K313" s="46" t="str">
        <x:f>IF(OR(F313="",H313=""),"",EDATE(F313,H313))</x:f>
      </x:c>
      <x:c r="L313" s="40" t="str">
        <x:f>J313</x:f>
      </x:c>
    </x:row>
    <x:row r="314">
      <x:c r="A314" s="38" t="str"/>
      <x:c r="B314" s="38" t="str"/>
      <x:c r="C314" s="39"/>
      <x:c r="D314" s="39"/>
      <x:c r="E314" s="39"/>
      <x:c r="F314" s="46"/>
      <x:c r="G314" s="38"/>
      <x:c r="H314" s="38"/>
      <x:c r="I314" s="40"/>
      <x:c r="J314" s="40" t="str">
        <x:f>IFERROR((C314-D314)/C314,"")</x:f>
      </x:c>
      <x:c r="K314" s="46" t="str">
        <x:f>IF(OR(F314="",H314=""),"",EDATE(F314,H314))</x:f>
      </x:c>
      <x:c r="L314" s="40" t="str">
        <x:f>J314</x:f>
      </x:c>
    </x:row>
    <x:row r="315">
      <x:c r="A315" s="38" t="str"/>
      <x:c r="B315" s="38" t="str"/>
      <x:c r="C315" s="39"/>
      <x:c r="D315" s="39"/>
      <x:c r="E315" s="39"/>
      <x:c r="F315" s="46"/>
      <x:c r="G315" s="38"/>
      <x:c r="H315" s="38"/>
      <x:c r="I315" s="40"/>
      <x:c r="J315" s="40" t="str">
        <x:f>IFERROR((C315-D315)/C315,"")</x:f>
      </x:c>
      <x:c r="K315" s="46" t="str">
        <x:f>IF(OR(F315="",H315=""),"",EDATE(F315,H315))</x:f>
      </x:c>
      <x:c r="L315" s="40" t="str">
        <x:f>J315</x:f>
      </x:c>
    </x:row>
    <x:row r="316">
      <x:c r="A316" s="38" t="str"/>
      <x:c r="B316" s="38" t="str"/>
      <x:c r="C316" s="39"/>
      <x:c r="D316" s="39"/>
      <x:c r="E316" s="39"/>
      <x:c r="F316" s="46"/>
      <x:c r="G316" s="38"/>
      <x:c r="H316" s="38"/>
      <x:c r="I316" s="40"/>
      <x:c r="J316" s="40" t="str">
        <x:f>IFERROR((C316-D316)/C316,"")</x:f>
      </x:c>
      <x:c r="K316" s="46" t="str">
        <x:f>IF(OR(F316="",H316=""),"",EDATE(F316,H316))</x:f>
      </x:c>
      <x:c r="L316" s="40" t="str">
        <x:f>J316</x:f>
      </x:c>
    </x:row>
    <x:row r="317">
      <x:c r="A317" s="38" t="str"/>
      <x:c r="B317" s="38" t="str"/>
      <x:c r="C317" s="39"/>
      <x:c r="D317" s="39"/>
      <x:c r="E317" s="39"/>
      <x:c r="F317" s="46"/>
      <x:c r="G317" s="38"/>
      <x:c r="H317" s="38"/>
      <x:c r="I317" s="40"/>
      <x:c r="J317" s="40" t="str">
        <x:f>IFERROR((C317-D317)/C317,"")</x:f>
      </x:c>
      <x:c r="K317" s="46" t="str">
        <x:f>IF(OR(F317="",H317=""),"",EDATE(F317,H317))</x:f>
      </x:c>
      <x:c r="L317" s="40" t="str">
        <x:f>J317</x:f>
      </x:c>
    </x:row>
    <x:row r="318">
      <x:c r="A318" s="38" t="str"/>
      <x:c r="B318" s="38" t="str"/>
      <x:c r="C318" s="39"/>
      <x:c r="D318" s="39"/>
      <x:c r="E318" s="39"/>
      <x:c r="F318" s="46"/>
      <x:c r="G318" s="38"/>
      <x:c r="H318" s="38"/>
      <x:c r="I318" s="40"/>
      <x:c r="J318" s="40" t="str">
        <x:f>IFERROR((C318-D318)/C318,"")</x:f>
      </x:c>
      <x:c r="K318" s="46" t="str">
        <x:f>IF(OR(F318="",H318=""),"",EDATE(F318,H318))</x:f>
      </x:c>
      <x:c r="L318" s="40" t="str">
        <x:f>J318</x:f>
      </x:c>
    </x:row>
    <x:row r="319">
      <x:c r="A319" s="38" t="str"/>
      <x:c r="B319" s="38" t="str"/>
      <x:c r="C319" s="39"/>
      <x:c r="D319" s="39"/>
      <x:c r="E319" s="39"/>
      <x:c r="F319" s="46"/>
      <x:c r="G319" s="38"/>
      <x:c r="H319" s="38"/>
      <x:c r="I319" s="40"/>
      <x:c r="J319" s="40" t="str">
        <x:f>IFERROR((C319-D319)/C319,"")</x:f>
      </x:c>
      <x:c r="K319" s="46" t="str">
        <x:f>IF(OR(F319="",H319=""),"",EDATE(F319,H319))</x:f>
      </x:c>
      <x:c r="L319" s="40" t="str">
        <x:f>J319</x:f>
      </x:c>
    </x:row>
    <x:row r="320">
      <x:c r="A320" s="38" t="str"/>
      <x:c r="B320" s="38" t="str"/>
      <x:c r="C320" s="39"/>
      <x:c r="D320" s="39"/>
      <x:c r="E320" s="39"/>
      <x:c r="F320" s="46"/>
      <x:c r="G320" s="38"/>
      <x:c r="H320" s="38"/>
      <x:c r="I320" s="40"/>
      <x:c r="J320" s="40" t="str">
        <x:f>IFERROR((C320-D320)/C320,"")</x:f>
      </x:c>
      <x:c r="K320" s="46" t="str">
        <x:f>IF(OR(F320="",H320=""),"",EDATE(F320,H320))</x:f>
      </x:c>
      <x:c r="L320" s="40" t="str">
        <x:f>J320</x:f>
      </x:c>
    </x:row>
    <x:row r="321">
      <x:c r="A321" s="38" t="str"/>
      <x:c r="B321" s="38" t="str"/>
      <x:c r="C321" s="39"/>
      <x:c r="D321" s="39"/>
      <x:c r="E321" s="39"/>
      <x:c r="F321" s="46"/>
      <x:c r="G321" s="38"/>
      <x:c r="H321" s="38"/>
      <x:c r="I321" s="40"/>
      <x:c r="J321" s="40" t="str">
        <x:f>IFERROR((C321-D321)/C321,"")</x:f>
      </x:c>
      <x:c r="K321" s="46" t="str">
        <x:f>IF(OR(F321="",H321=""),"",EDATE(F321,H321))</x:f>
      </x:c>
      <x:c r="L321" s="40" t="str">
        <x:f>J321</x:f>
      </x:c>
    </x:row>
    <x:row r="322">
      <x:c r="A322" s="38" t="str"/>
      <x:c r="B322" s="38" t="str"/>
      <x:c r="C322" s="39"/>
      <x:c r="D322" s="39"/>
      <x:c r="E322" s="39"/>
      <x:c r="F322" s="46"/>
      <x:c r="G322" s="38"/>
      <x:c r="H322" s="38"/>
      <x:c r="I322" s="40"/>
      <x:c r="J322" s="40" t="str">
        <x:f>IFERROR((C322-D322)/C322,"")</x:f>
      </x:c>
      <x:c r="K322" s="46" t="str">
        <x:f>IF(OR(F322="",H322=""),"",EDATE(F322,H322))</x:f>
      </x:c>
      <x:c r="L322" s="40" t="str">
        <x:f>J322</x:f>
      </x:c>
    </x:row>
    <x:row r="323">
      <x:c r="A323" s="38" t="str"/>
      <x:c r="B323" s="38" t="str"/>
      <x:c r="C323" s="39"/>
      <x:c r="D323" s="39"/>
      <x:c r="E323" s="39"/>
      <x:c r="F323" s="46"/>
      <x:c r="G323" s="38"/>
      <x:c r="H323" s="38"/>
      <x:c r="I323" s="40"/>
      <x:c r="J323" s="40" t="str">
        <x:f>IFERROR((C323-D323)/C323,"")</x:f>
      </x:c>
      <x:c r="K323" s="46" t="str">
        <x:f>IF(OR(F323="",H323=""),"",EDATE(F323,H323))</x:f>
      </x:c>
      <x:c r="L323" s="40" t="str">
        <x:f>J323</x:f>
      </x:c>
    </x:row>
    <x:row r="324">
      <x:c r="A324" s="38" t="str"/>
      <x:c r="B324" s="38" t="str"/>
      <x:c r="C324" s="39"/>
      <x:c r="D324" s="39"/>
      <x:c r="E324" s="39"/>
      <x:c r="F324" s="46"/>
      <x:c r="G324" s="38"/>
      <x:c r="H324" s="38"/>
      <x:c r="I324" s="40"/>
      <x:c r="J324" s="40" t="str">
        <x:f>IFERROR((C324-D324)/C324,"")</x:f>
      </x:c>
      <x:c r="K324" s="46" t="str">
        <x:f>IF(OR(F324="",H324=""),"",EDATE(F324,H324))</x:f>
      </x:c>
      <x:c r="L324" s="40" t="str">
        <x:f>J324</x:f>
      </x:c>
    </x:row>
    <x:row r="325">
      <x:c r="A325" s="38" t="str"/>
      <x:c r="B325" s="38" t="str"/>
      <x:c r="C325" s="39"/>
      <x:c r="D325" s="39"/>
      <x:c r="E325" s="39"/>
      <x:c r="F325" s="46"/>
      <x:c r="G325" s="38"/>
      <x:c r="H325" s="38"/>
      <x:c r="I325" s="40"/>
      <x:c r="J325" s="40" t="str">
        <x:f>IFERROR((C325-D325)/C325,"")</x:f>
      </x:c>
      <x:c r="K325" s="46" t="str">
        <x:f>IF(OR(F325="",H325=""),"",EDATE(F325,H325))</x:f>
      </x:c>
      <x:c r="L325" s="40" t="str">
        <x:f>J325</x:f>
      </x:c>
    </x:row>
    <x:row r="326">
      <x:c r="A326" s="38" t="str"/>
      <x:c r="B326" s="38" t="str"/>
      <x:c r="C326" s="39"/>
      <x:c r="D326" s="39"/>
      <x:c r="E326" s="39"/>
      <x:c r="F326" s="46"/>
      <x:c r="G326" s="38"/>
      <x:c r="H326" s="38"/>
      <x:c r="I326" s="40"/>
      <x:c r="J326" s="40" t="str">
        <x:f>IFERROR((C326-D326)/C326,"")</x:f>
      </x:c>
      <x:c r="K326" s="46" t="str">
        <x:f>IF(OR(F326="",H326=""),"",EDATE(F326,H326))</x:f>
      </x:c>
      <x:c r="L326" s="40" t="str">
        <x:f>J326</x:f>
      </x:c>
    </x:row>
    <x:row r="327">
      <x:c r="A327" s="38" t="str"/>
      <x:c r="B327" s="38" t="str"/>
      <x:c r="C327" s="39"/>
      <x:c r="D327" s="39"/>
      <x:c r="E327" s="39"/>
      <x:c r="F327" s="46"/>
      <x:c r="G327" s="38"/>
      <x:c r="H327" s="38"/>
      <x:c r="I327" s="40"/>
      <x:c r="J327" s="40" t="str">
        <x:f>IFERROR((C327-D327)/C327,"")</x:f>
      </x:c>
      <x:c r="K327" s="46" t="str">
        <x:f>IF(OR(F327="",H327=""),"",EDATE(F327,H327))</x:f>
      </x:c>
      <x:c r="L327" s="40" t="str">
        <x:f>J327</x:f>
      </x:c>
    </x:row>
    <x:row r="328">
      <x:c r="A328" s="38" t="str"/>
      <x:c r="B328" s="38" t="str"/>
      <x:c r="C328" s="39"/>
      <x:c r="D328" s="39"/>
      <x:c r="E328" s="39"/>
      <x:c r="F328" s="46"/>
      <x:c r="G328" s="38"/>
      <x:c r="H328" s="38"/>
      <x:c r="I328" s="40"/>
      <x:c r="J328" s="40" t="str">
        <x:f>IFERROR((C328-D328)/C328,"")</x:f>
      </x:c>
      <x:c r="K328" s="46" t="str">
        <x:f>IF(OR(F328="",H328=""),"",EDATE(F328,H328))</x:f>
      </x:c>
      <x:c r="L328" s="40" t="str">
        <x:f>J328</x:f>
      </x:c>
    </x:row>
    <x:row r="329">
      <x:c r="A329" s="38" t="str"/>
      <x:c r="B329" s="38" t="str"/>
      <x:c r="C329" s="39"/>
      <x:c r="D329" s="39"/>
      <x:c r="E329" s="39"/>
      <x:c r="F329" s="46"/>
      <x:c r="G329" s="38"/>
      <x:c r="H329" s="38"/>
      <x:c r="I329" s="40"/>
      <x:c r="J329" s="40" t="str">
        <x:f>IFERROR((C329-D329)/C329,"")</x:f>
      </x:c>
      <x:c r="K329" s="46" t="str">
        <x:f>IF(OR(F329="",H329=""),"",EDATE(F329,H329))</x:f>
      </x:c>
      <x:c r="L329" s="40" t="str">
        <x:f>J329</x:f>
      </x:c>
    </x:row>
    <x:row r="330">
      <x:c r="A330" s="38" t="str"/>
      <x:c r="B330" s="38" t="str"/>
      <x:c r="C330" s="39"/>
      <x:c r="D330" s="39"/>
      <x:c r="E330" s="39"/>
      <x:c r="F330" s="46"/>
      <x:c r="G330" s="38"/>
      <x:c r="H330" s="38"/>
      <x:c r="I330" s="40"/>
      <x:c r="J330" s="40" t="str">
        <x:f>IFERROR((C330-D330)/C330,"")</x:f>
      </x:c>
      <x:c r="K330" s="46" t="str">
        <x:f>IF(OR(F330="",H330=""),"",EDATE(F330,H330))</x:f>
      </x:c>
      <x:c r="L330" s="40" t="str">
        <x:f>J330</x:f>
      </x:c>
    </x:row>
    <x:row r="331">
      <x:c r="A331" s="38" t="str"/>
      <x:c r="B331" s="38" t="str"/>
      <x:c r="C331" s="39"/>
      <x:c r="D331" s="39"/>
      <x:c r="E331" s="39"/>
      <x:c r="F331" s="46"/>
      <x:c r="G331" s="38"/>
      <x:c r="H331" s="38"/>
      <x:c r="I331" s="40"/>
      <x:c r="J331" s="40" t="str">
        <x:f>IFERROR((C331-D331)/C331,"")</x:f>
      </x:c>
      <x:c r="K331" s="46" t="str">
        <x:f>IF(OR(F331="",H331=""),"",EDATE(F331,H331))</x:f>
      </x:c>
      <x:c r="L331" s="40" t="str">
        <x:f>J331</x:f>
      </x:c>
    </x:row>
    <x:row r="332">
      <x:c r="A332" s="38" t="str"/>
      <x:c r="B332" s="38" t="str"/>
      <x:c r="C332" s="39"/>
      <x:c r="D332" s="39"/>
      <x:c r="E332" s="39"/>
      <x:c r="F332" s="46"/>
      <x:c r="G332" s="38"/>
      <x:c r="H332" s="38"/>
      <x:c r="I332" s="40"/>
      <x:c r="J332" s="40" t="str">
        <x:f>IFERROR((C332-D332)/C332,"")</x:f>
      </x:c>
      <x:c r="K332" s="46" t="str">
        <x:f>IF(OR(F332="",H332=""),"",EDATE(F332,H332))</x:f>
      </x:c>
      <x:c r="L332" s="40" t="str">
        <x:f>J332</x:f>
      </x:c>
    </x:row>
    <x:row r="333">
      <x:c r="A333" s="38" t="str"/>
      <x:c r="B333" s="38" t="str"/>
      <x:c r="C333" s="39"/>
      <x:c r="D333" s="39"/>
      <x:c r="E333" s="39"/>
      <x:c r="F333" s="46"/>
      <x:c r="G333" s="38"/>
      <x:c r="H333" s="38"/>
      <x:c r="I333" s="40"/>
      <x:c r="J333" s="40" t="str">
        <x:f>IFERROR((C333-D333)/C333,"")</x:f>
      </x:c>
      <x:c r="K333" s="46" t="str">
        <x:f>IF(OR(F333="",H333=""),"",EDATE(F333,H333))</x:f>
      </x:c>
      <x:c r="L333" s="40" t="str">
        <x:f>J333</x:f>
      </x:c>
    </x:row>
    <x:row r="334">
      <x:c r="A334" s="38" t="str"/>
      <x:c r="B334" s="38" t="str"/>
      <x:c r="C334" s="39"/>
      <x:c r="D334" s="39"/>
      <x:c r="E334" s="39"/>
      <x:c r="F334" s="46"/>
      <x:c r="G334" s="38"/>
      <x:c r="H334" s="38"/>
      <x:c r="I334" s="40"/>
      <x:c r="J334" s="40" t="str">
        <x:f>IFERROR((C334-D334)/C334,"")</x:f>
      </x:c>
      <x:c r="K334" s="46" t="str">
        <x:f>IF(OR(F334="",H334=""),"",EDATE(F334,H334))</x:f>
      </x:c>
      <x:c r="L334" s="40" t="str">
        <x:f>J334</x:f>
      </x:c>
    </x:row>
    <x:row r="335">
      <x:c r="A335" s="38" t="str"/>
      <x:c r="B335" s="38" t="str"/>
      <x:c r="C335" s="39"/>
      <x:c r="D335" s="39"/>
      <x:c r="E335" s="39"/>
      <x:c r="F335" s="46"/>
      <x:c r="G335" s="38"/>
      <x:c r="H335" s="38"/>
      <x:c r="I335" s="40"/>
      <x:c r="J335" s="40" t="str">
        <x:f>IFERROR((C335-D335)/C335,"")</x:f>
      </x:c>
      <x:c r="K335" s="46" t="str">
        <x:f>IF(OR(F335="",H335=""),"",EDATE(F335,H335))</x:f>
      </x:c>
      <x:c r="L335" s="40" t="str">
        <x:f>J335</x:f>
      </x:c>
    </x:row>
    <x:row r="336">
      <x:c r="A336" s="38" t="str"/>
      <x:c r="B336" s="38" t="str"/>
      <x:c r="C336" s="39"/>
      <x:c r="D336" s="39"/>
      <x:c r="E336" s="39"/>
      <x:c r="F336" s="46"/>
      <x:c r="G336" s="38"/>
      <x:c r="H336" s="38"/>
      <x:c r="I336" s="40"/>
      <x:c r="J336" s="40" t="str">
        <x:f>IFERROR((C336-D336)/C336,"")</x:f>
      </x:c>
      <x:c r="K336" s="46" t="str">
        <x:f>IF(OR(F336="",H336=""),"",EDATE(F336,H336))</x:f>
      </x:c>
      <x:c r="L336" s="40" t="str">
        <x:f>J336</x:f>
      </x:c>
    </x:row>
    <x:row r="337">
      <x:c r="A337" s="38" t="str"/>
      <x:c r="B337" s="38" t="str"/>
      <x:c r="C337" s="39"/>
      <x:c r="D337" s="39"/>
      <x:c r="E337" s="39"/>
      <x:c r="F337" s="46"/>
      <x:c r="G337" s="38"/>
      <x:c r="H337" s="38"/>
      <x:c r="I337" s="40"/>
      <x:c r="J337" s="40" t="str">
        <x:f>IFERROR((C337-D337)/C337,"")</x:f>
      </x:c>
      <x:c r="K337" s="46" t="str">
        <x:f>IF(OR(F337="",H337=""),"",EDATE(F337,H337))</x:f>
      </x:c>
      <x:c r="L337" s="40" t="str">
        <x:f>J337</x:f>
      </x:c>
    </x:row>
    <x:row r="338">
      <x:c r="A338" s="38" t="str"/>
      <x:c r="B338" s="38" t="str"/>
      <x:c r="C338" s="39"/>
      <x:c r="D338" s="39"/>
      <x:c r="E338" s="39"/>
      <x:c r="F338" s="46"/>
      <x:c r="G338" s="38"/>
      <x:c r="H338" s="38"/>
      <x:c r="I338" s="40"/>
      <x:c r="J338" s="40" t="str">
        <x:f>IFERROR((C338-D338)/C338,"")</x:f>
      </x:c>
      <x:c r="K338" s="46" t="str">
        <x:f>IF(OR(F338="",H338=""),"",EDATE(F338,H338))</x:f>
      </x:c>
      <x:c r="L338" s="40" t="str">
        <x:f>J338</x:f>
      </x:c>
    </x:row>
    <x:row r="339">
      <x:c r="A339" s="38" t="str"/>
      <x:c r="B339" s="38" t="str"/>
      <x:c r="C339" s="39"/>
      <x:c r="D339" s="39"/>
      <x:c r="E339" s="39"/>
      <x:c r="F339" s="46"/>
      <x:c r="G339" s="38"/>
      <x:c r="H339" s="38"/>
      <x:c r="I339" s="40"/>
      <x:c r="J339" s="40" t="str">
        <x:f>IFERROR((C339-D339)/C339,"")</x:f>
      </x:c>
      <x:c r="K339" s="46" t="str">
        <x:f>IF(OR(F339="",H339=""),"",EDATE(F339,H339))</x:f>
      </x:c>
      <x:c r="L339" s="40" t="str">
        <x:f>J339</x:f>
      </x:c>
    </x:row>
    <x:row r="340">
      <x:c r="A340" s="38" t="str"/>
      <x:c r="B340" s="38" t="str"/>
      <x:c r="C340" s="39"/>
      <x:c r="D340" s="39"/>
      <x:c r="E340" s="39"/>
      <x:c r="F340" s="46"/>
      <x:c r="G340" s="38"/>
      <x:c r="H340" s="38"/>
      <x:c r="I340" s="40"/>
      <x:c r="J340" s="40" t="str">
        <x:f>IFERROR((C340-D340)/C340,"")</x:f>
      </x:c>
      <x:c r="K340" s="46" t="str">
        <x:f>IF(OR(F340="",H340=""),"",EDATE(F340,H340))</x:f>
      </x:c>
      <x:c r="L340" s="40" t="str">
        <x:f>J340</x:f>
      </x:c>
    </x:row>
    <x:row r="341">
      <x:c r="A341" s="38" t="str"/>
      <x:c r="B341" s="38" t="str"/>
      <x:c r="C341" s="39"/>
      <x:c r="D341" s="39"/>
      <x:c r="E341" s="39"/>
      <x:c r="F341" s="46"/>
      <x:c r="G341" s="38"/>
      <x:c r="H341" s="38"/>
      <x:c r="I341" s="40"/>
      <x:c r="J341" s="40" t="str">
        <x:f>IFERROR((C341-D341)/C341,"")</x:f>
      </x:c>
      <x:c r="K341" s="46" t="str">
        <x:f>IF(OR(F341="",H341=""),"",EDATE(F341,H341))</x:f>
      </x:c>
      <x:c r="L341" s="40" t="str">
        <x:f>J341</x:f>
      </x:c>
    </x:row>
    <x:row r="342">
      <x:c r="A342" s="38" t="str"/>
      <x:c r="B342" s="38" t="str"/>
      <x:c r="C342" s="39"/>
      <x:c r="D342" s="39"/>
      <x:c r="E342" s="39"/>
      <x:c r="F342" s="46"/>
      <x:c r="G342" s="38"/>
      <x:c r="H342" s="38"/>
      <x:c r="I342" s="40"/>
      <x:c r="J342" s="40" t="str">
        <x:f>IFERROR((C342-D342)/C342,"")</x:f>
      </x:c>
      <x:c r="K342" s="46" t="str">
        <x:f>IF(OR(F342="",H342=""),"",EDATE(F342,H342))</x:f>
      </x:c>
      <x:c r="L342" s="40" t="str">
        <x:f>J342</x:f>
      </x:c>
    </x:row>
    <x:row r="343">
      <x:c r="A343" s="38" t="str"/>
      <x:c r="B343" s="38" t="str"/>
      <x:c r="C343" s="39"/>
      <x:c r="D343" s="39"/>
      <x:c r="E343" s="39"/>
      <x:c r="F343" s="46"/>
      <x:c r="G343" s="38"/>
      <x:c r="H343" s="38"/>
      <x:c r="I343" s="40"/>
      <x:c r="J343" s="40" t="str">
        <x:f>IFERROR((C343-D343)/C343,"")</x:f>
      </x:c>
      <x:c r="K343" s="46" t="str">
        <x:f>IF(OR(F343="",H343=""),"",EDATE(F343,H343))</x:f>
      </x:c>
      <x:c r="L343" s="40" t="str">
        <x:f>J343</x:f>
      </x:c>
    </x:row>
    <x:row r="344">
      <x:c r="A344" s="38" t="str"/>
      <x:c r="B344" s="38" t="str"/>
      <x:c r="C344" s="39"/>
      <x:c r="D344" s="39"/>
      <x:c r="E344" s="39"/>
      <x:c r="F344" s="46"/>
      <x:c r="G344" s="38"/>
      <x:c r="H344" s="38"/>
      <x:c r="I344" s="40"/>
      <x:c r="J344" s="40" t="str">
        <x:f>IFERROR((C344-D344)/C344,"")</x:f>
      </x:c>
      <x:c r="K344" s="46" t="str">
        <x:f>IF(OR(F344="",H344=""),"",EDATE(F344,H344))</x:f>
      </x:c>
      <x:c r="L344" s="40" t="str">
        <x:f>J344</x:f>
      </x:c>
    </x:row>
    <x:row r="345">
      <x:c r="A345" s="38" t="str"/>
      <x:c r="B345" s="38" t="str"/>
      <x:c r="C345" s="39"/>
      <x:c r="D345" s="39"/>
      <x:c r="E345" s="39"/>
      <x:c r="F345" s="46"/>
      <x:c r="G345" s="38"/>
      <x:c r="H345" s="38"/>
      <x:c r="I345" s="40"/>
      <x:c r="J345" s="40" t="str">
        <x:f>IFERROR((C345-D345)/C345,"")</x:f>
      </x:c>
      <x:c r="K345" s="46" t="str">
        <x:f>IF(OR(F345="",H345=""),"",EDATE(F345,H345))</x:f>
      </x:c>
      <x:c r="L345" s="40" t="str">
        <x:f>J345</x:f>
      </x:c>
    </x:row>
    <x:row r="346">
      <x:c r="A346" s="38" t="str"/>
      <x:c r="B346" s="38" t="str"/>
      <x:c r="C346" s="39"/>
      <x:c r="D346" s="39"/>
      <x:c r="E346" s="39"/>
      <x:c r="F346" s="46"/>
      <x:c r="G346" s="38"/>
      <x:c r="H346" s="38"/>
      <x:c r="I346" s="40"/>
      <x:c r="J346" s="40" t="str">
        <x:f>IFERROR((C346-D346)/C346,"")</x:f>
      </x:c>
      <x:c r="K346" s="46" t="str">
        <x:f>IF(OR(F346="",H346=""),"",EDATE(F346,H346))</x:f>
      </x:c>
      <x:c r="L346" s="40" t="str">
        <x:f>J346</x:f>
      </x:c>
    </x:row>
    <x:row r="347">
      <x:c r="A347" s="38" t="str"/>
      <x:c r="B347" s="38" t="str"/>
      <x:c r="C347" s="39"/>
      <x:c r="D347" s="39"/>
      <x:c r="E347" s="39"/>
      <x:c r="F347" s="46"/>
      <x:c r="G347" s="38"/>
      <x:c r="H347" s="38"/>
      <x:c r="I347" s="40"/>
      <x:c r="J347" s="40" t="str">
        <x:f>IFERROR((C347-D347)/C347,"")</x:f>
      </x:c>
      <x:c r="K347" s="46" t="str">
        <x:f>IF(OR(F347="",H347=""),"",EDATE(F347,H347))</x:f>
      </x:c>
      <x:c r="L347" s="40" t="str">
        <x:f>J347</x:f>
      </x:c>
    </x:row>
    <x:row r="348">
      <x:c r="A348" s="38" t="str"/>
      <x:c r="B348" s="38" t="str"/>
      <x:c r="C348" s="39"/>
      <x:c r="D348" s="39"/>
      <x:c r="E348" s="39"/>
      <x:c r="F348" s="46"/>
      <x:c r="G348" s="38"/>
      <x:c r="H348" s="38"/>
      <x:c r="I348" s="40"/>
      <x:c r="J348" s="40" t="str">
        <x:f>IFERROR((C348-D348)/C348,"")</x:f>
      </x:c>
      <x:c r="K348" s="46" t="str">
        <x:f>IF(OR(F348="",H348=""),"",EDATE(F348,H348))</x:f>
      </x:c>
      <x:c r="L348" s="40" t="str">
        <x:f>J348</x:f>
      </x:c>
    </x:row>
    <x:row r="349">
      <x:c r="A349" s="38" t="str"/>
      <x:c r="B349" s="38" t="str"/>
      <x:c r="C349" s="39"/>
      <x:c r="D349" s="39"/>
      <x:c r="E349" s="39"/>
      <x:c r="F349" s="46"/>
      <x:c r="G349" s="38"/>
      <x:c r="H349" s="38"/>
      <x:c r="I349" s="40"/>
      <x:c r="J349" s="40" t="str">
        <x:f>IFERROR((C349-D349)/C349,"")</x:f>
      </x:c>
      <x:c r="K349" s="46" t="str">
        <x:f>IF(OR(F349="",H349=""),"",EDATE(F349,H349))</x:f>
      </x:c>
      <x:c r="L349" s="40" t="str">
        <x:f>J349</x:f>
      </x:c>
    </x:row>
    <x:row r="350">
      <x:c r="A350" s="38" t="str"/>
      <x:c r="B350" s="38" t="str"/>
      <x:c r="C350" s="39"/>
      <x:c r="D350" s="39"/>
      <x:c r="E350" s="39"/>
      <x:c r="F350" s="46"/>
      <x:c r="G350" s="38"/>
      <x:c r="H350" s="38"/>
      <x:c r="I350" s="40"/>
      <x:c r="J350" s="40" t="str">
        <x:f>IFERROR((C350-D350)/C350,"")</x:f>
      </x:c>
      <x:c r="K350" s="46" t="str">
        <x:f>IF(OR(F350="",H350=""),"",EDATE(F350,H350))</x:f>
      </x:c>
      <x:c r="L350" s="40" t="str">
        <x:f>J350</x:f>
      </x:c>
    </x:row>
    <x:row r="351">
      <x:c r="A351" s="38" t="str"/>
      <x:c r="B351" s="38" t="str"/>
      <x:c r="C351" s="39"/>
      <x:c r="D351" s="39"/>
      <x:c r="E351" s="39"/>
      <x:c r="F351" s="46"/>
      <x:c r="G351" s="38"/>
      <x:c r="H351" s="38"/>
      <x:c r="I351" s="40"/>
      <x:c r="J351" s="40" t="str">
        <x:f>IFERROR((C351-D351)/C351,"")</x:f>
      </x:c>
      <x:c r="K351" s="46" t="str">
        <x:f>IF(OR(F351="",H351=""),"",EDATE(F351,H351))</x:f>
      </x:c>
      <x:c r="L351" s="40" t="str">
        <x:f>J351</x:f>
      </x:c>
    </x:row>
    <x:row r="352">
      <x:c r="A352" s="38" t="str"/>
      <x:c r="B352" s="38" t="str"/>
      <x:c r="C352" s="39"/>
      <x:c r="D352" s="39"/>
      <x:c r="E352" s="39"/>
      <x:c r="F352" s="46"/>
      <x:c r="G352" s="38"/>
      <x:c r="H352" s="38"/>
      <x:c r="I352" s="40"/>
      <x:c r="J352" s="40" t="str">
        <x:f>IFERROR((C352-D352)/C352,"")</x:f>
      </x:c>
      <x:c r="K352" s="46" t="str">
        <x:f>IF(OR(F352="",H352=""),"",EDATE(F352,H352))</x:f>
      </x:c>
      <x:c r="L352" s="40" t="str">
        <x:f>J352</x:f>
      </x:c>
    </x:row>
    <x:row r="353">
      <x:c r="A353" s="38" t="str"/>
      <x:c r="B353" s="38" t="str"/>
      <x:c r="C353" s="39"/>
      <x:c r="D353" s="39"/>
      <x:c r="E353" s="39"/>
      <x:c r="F353" s="46"/>
      <x:c r="G353" s="38"/>
      <x:c r="H353" s="38"/>
      <x:c r="I353" s="40"/>
      <x:c r="J353" s="40" t="str">
        <x:f>IFERROR((C353-D353)/C353,"")</x:f>
      </x:c>
      <x:c r="K353" s="46" t="str">
        <x:f>IF(OR(F353="",H353=""),"",EDATE(F353,H353))</x:f>
      </x:c>
      <x:c r="L353" s="40" t="str">
        <x:f>J353</x:f>
      </x:c>
    </x:row>
    <x:row r="354">
      <x:c r="A354" s="38" t="str"/>
      <x:c r="B354" s="38" t="str"/>
      <x:c r="C354" s="39"/>
      <x:c r="D354" s="39"/>
      <x:c r="E354" s="39"/>
      <x:c r="F354" s="46"/>
      <x:c r="G354" s="38"/>
      <x:c r="H354" s="38"/>
      <x:c r="I354" s="40"/>
      <x:c r="J354" s="40" t="str">
        <x:f>IFERROR((C354-D354)/C354,"")</x:f>
      </x:c>
      <x:c r="K354" s="46" t="str">
        <x:f>IF(OR(F354="",H354=""),"",EDATE(F354,H354))</x:f>
      </x:c>
      <x:c r="L354" s="40" t="str">
        <x:f>J354</x:f>
      </x:c>
    </x:row>
    <x:row r="355">
      <x:c r="A355" s="38" t="str"/>
      <x:c r="B355" s="38" t="str"/>
      <x:c r="C355" s="39"/>
      <x:c r="D355" s="39"/>
      <x:c r="E355" s="39"/>
      <x:c r="F355" s="46"/>
      <x:c r="G355" s="38"/>
      <x:c r="H355" s="38"/>
      <x:c r="I355" s="40"/>
      <x:c r="J355" s="40" t="str">
        <x:f>IFERROR((C355-D355)/C355,"")</x:f>
      </x:c>
      <x:c r="K355" s="46" t="str">
        <x:f>IF(OR(F355="",H355=""),"",EDATE(F355,H355))</x:f>
      </x:c>
      <x:c r="L355" s="40" t="str">
        <x:f>J355</x:f>
      </x:c>
    </x:row>
    <x:row r="356">
      <x:c r="A356" s="38" t="str"/>
      <x:c r="B356" s="38" t="str"/>
      <x:c r="C356" s="39"/>
      <x:c r="D356" s="39"/>
      <x:c r="E356" s="39"/>
      <x:c r="F356" s="46"/>
      <x:c r="G356" s="38"/>
      <x:c r="H356" s="38"/>
      <x:c r="I356" s="40"/>
      <x:c r="J356" s="40" t="str">
        <x:f>IFERROR((C356-D356)/C356,"")</x:f>
      </x:c>
      <x:c r="K356" s="46" t="str">
        <x:f>IF(OR(F356="",H356=""),"",EDATE(F356,H356))</x:f>
      </x:c>
      <x:c r="L356" s="40" t="str">
        <x:f>J356</x:f>
      </x:c>
    </x:row>
    <x:row r="357">
      <x:c r="A357" s="38" t="str"/>
      <x:c r="B357" s="38" t="str"/>
      <x:c r="C357" s="39"/>
      <x:c r="D357" s="39"/>
      <x:c r="E357" s="39"/>
      <x:c r="F357" s="46"/>
      <x:c r="G357" s="38"/>
      <x:c r="H357" s="38"/>
      <x:c r="I357" s="40"/>
      <x:c r="J357" s="40" t="str">
        <x:f>IFERROR((C357-D357)/C357,"")</x:f>
      </x:c>
      <x:c r="K357" s="46" t="str">
        <x:f>IF(OR(F357="",H357=""),"",EDATE(F357,H357))</x:f>
      </x:c>
      <x:c r="L357" s="40" t="str">
        <x:f>J357</x:f>
      </x:c>
    </x:row>
    <x:row r="358">
      <x:c r="A358" s="38" t="str"/>
      <x:c r="B358" s="38" t="str"/>
      <x:c r="C358" s="39"/>
      <x:c r="D358" s="39"/>
      <x:c r="E358" s="39"/>
      <x:c r="F358" s="46"/>
      <x:c r="G358" s="38"/>
      <x:c r="H358" s="38"/>
      <x:c r="I358" s="40"/>
      <x:c r="J358" s="40" t="str">
        <x:f>IFERROR((C358-D358)/C358,"")</x:f>
      </x:c>
      <x:c r="K358" s="46" t="str">
        <x:f>IF(OR(F358="",H358=""),"",EDATE(F358,H358))</x:f>
      </x:c>
      <x:c r="L358" s="40" t="str">
        <x:f>J358</x:f>
      </x:c>
    </x:row>
    <x:row r="359">
      <x:c r="A359" s="38" t="str"/>
      <x:c r="B359" s="38" t="str"/>
      <x:c r="C359" s="39"/>
      <x:c r="D359" s="39"/>
      <x:c r="E359" s="39"/>
      <x:c r="F359" s="46"/>
      <x:c r="G359" s="38"/>
      <x:c r="H359" s="38"/>
      <x:c r="I359" s="40"/>
      <x:c r="J359" s="40" t="str">
        <x:f>IFERROR((C359-D359)/C359,"")</x:f>
      </x:c>
      <x:c r="K359" s="46" t="str">
        <x:f>IF(OR(F359="",H359=""),"",EDATE(F359,H359))</x:f>
      </x:c>
      <x:c r="L359" s="40" t="str">
        <x:f>J359</x:f>
      </x:c>
    </x:row>
    <x:row r="360">
      <x:c r="A360" s="38" t="str"/>
      <x:c r="B360" s="38" t="str"/>
      <x:c r="C360" s="39"/>
      <x:c r="D360" s="39"/>
      <x:c r="E360" s="39"/>
      <x:c r="F360" s="46"/>
      <x:c r="G360" s="38"/>
      <x:c r="H360" s="38"/>
      <x:c r="I360" s="40"/>
      <x:c r="J360" s="40" t="str">
        <x:f>IFERROR((C360-D360)/C360,"")</x:f>
      </x:c>
      <x:c r="K360" s="46" t="str">
        <x:f>IF(OR(F360="",H360=""),"",EDATE(F360,H360))</x:f>
      </x:c>
      <x:c r="L360" s="40" t="str">
        <x:f>J360</x:f>
      </x:c>
    </x:row>
    <x:row r="361">
      <x:c r="A361" s="38" t="str"/>
      <x:c r="B361" s="38" t="str"/>
      <x:c r="C361" s="39"/>
      <x:c r="D361" s="39"/>
      <x:c r="E361" s="39"/>
      <x:c r="F361" s="46"/>
      <x:c r="G361" s="38"/>
      <x:c r="H361" s="38"/>
      <x:c r="I361" s="40"/>
      <x:c r="J361" s="40" t="str">
        <x:f>IFERROR((C361-D361)/C361,"")</x:f>
      </x:c>
      <x:c r="K361" s="46" t="str">
        <x:f>IF(OR(F361="",H361=""),"",EDATE(F361,H361))</x:f>
      </x:c>
      <x:c r="L361" s="40" t="str">
        <x:f>J361</x:f>
      </x:c>
    </x:row>
    <x:row r="362">
      <x:c r="A362" s="38" t="str"/>
      <x:c r="B362" s="38" t="str"/>
      <x:c r="C362" s="39"/>
      <x:c r="D362" s="39"/>
      <x:c r="E362" s="39"/>
      <x:c r="F362" s="46"/>
      <x:c r="G362" s="38"/>
      <x:c r="H362" s="38"/>
      <x:c r="I362" s="40"/>
      <x:c r="J362" s="40" t="str">
        <x:f>IFERROR((C362-D362)/C362,"")</x:f>
      </x:c>
      <x:c r="K362" s="46" t="str">
        <x:f>IF(OR(F362="",H362=""),"",EDATE(F362,H362))</x:f>
      </x:c>
      <x:c r="L362" s="40" t="str">
        <x:f>J362</x:f>
      </x:c>
    </x:row>
    <x:row r="363">
      <x:c r="A363" s="38" t="str"/>
      <x:c r="B363" s="38" t="str"/>
      <x:c r="C363" s="39"/>
      <x:c r="D363" s="39"/>
      <x:c r="E363" s="39"/>
      <x:c r="F363" s="46"/>
      <x:c r="G363" s="38"/>
      <x:c r="H363" s="38"/>
      <x:c r="I363" s="40"/>
      <x:c r="J363" s="40" t="str">
        <x:f>IFERROR((C363-D363)/C363,"")</x:f>
      </x:c>
      <x:c r="K363" s="46" t="str">
        <x:f>IF(OR(F363="",H363=""),"",EDATE(F363,H363))</x:f>
      </x:c>
      <x:c r="L363" s="40" t="str">
        <x:f>J363</x:f>
      </x:c>
    </x:row>
    <x:row r="364">
      <x:c r="A364" s="38" t="str"/>
      <x:c r="B364" s="38" t="str"/>
      <x:c r="C364" s="39"/>
      <x:c r="D364" s="39"/>
      <x:c r="E364" s="39"/>
      <x:c r="F364" s="46"/>
      <x:c r="G364" s="38"/>
      <x:c r="H364" s="38"/>
      <x:c r="I364" s="40"/>
      <x:c r="J364" s="40" t="str">
        <x:f>IFERROR((C364-D364)/C364,"")</x:f>
      </x:c>
      <x:c r="K364" s="46" t="str">
        <x:f>IF(OR(F364="",H364=""),"",EDATE(F364,H364))</x:f>
      </x:c>
      <x:c r="L364" s="40" t="str">
        <x:f>J364</x:f>
      </x:c>
    </x:row>
    <x:row r="365">
      <x:c r="A365" s="38" t="str"/>
      <x:c r="B365" s="38" t="str"/>
      <x:c r="C365" s="39"/>
      <x:c r="D365" s="39"/>
      <x:c r="E365" s="39"/>
      <x:c r="F365" s="46"/>
      <x:c r="G365" s="38"/>
      <x:c r="H365" s="38"/>
      <x:c r="I365" s="40"/>
      <x:c r="J365" s="40" t="str">
        <x:f>IFERROR((C365-D365)/C365,"")</x:f>
      </x:c>
      <x:c r="K365" s="46" t="str">
        <x:f>IF(OR(F365="",H365=""),"",EDATE(F365,H365))</x:f>
      </x:c>
      <x:c r="L365" s="40" t="str">
        <x:f>J365</x:f>
      </x:c>
    </x:row>
    <x:row r="366">
      <x:c r="A366" s="38" t="str"/>
      <x:c r="B366" s="38" t="str"/>
      <x:c r="C366" s="39"/>
      <x:c r="D366" s="39"/>
      <x:c r="E366" s="39"/>
      <x:c r="F366" s="46"/>
      <x:c r="G366" s="38"/>
      <x:c r="H366" s="38"/>
      <x:c r="I366" s="40"/>
      <x:c r="J366" s="40" t="str">
        <x:f>IFERROR((C366-D366)/C366,"")</x:f>
      </x:c>
      <x:c r="K366" s="46" t="str">
        <x:f>IF(OR(F366="",H366=""),"",EDATE(F366,H366))</x:f>
      </x:c>
      <x:c r="L366" s="40" t="str">
        <x:f>J366</x:f>
      </x:c>
    </x:row>
    <x:row r="367">
      <x:c r="A367" s="38" t="str"/>
      <x:c r="B367" s="38" t="str"/>
      <x:c r="C367" s="39"/>
      <x:c r="D367" s="39"/>
      <x:c r="E367" s="39"/>
      <x:c r="F367" s="46"/>
      <x:c r="G367" s="38"/>
      <x:c r="H367" s="38"/>
      <x:c r="I367" s="40"/>
      <x:c r="J367" s="40" t="str">
        <x:f>IFERROR((C367-D367)/C367,"")</x:f>
      </x:c>
      <x:c r="K367" s="46" t="str">
        <x:f>IF(OR(F367="",H367=""),"",EDATE(F367,H367))</x:f>
      </x:c>
      <x:c r="L367" s="40" t="str">
        <x:f>J367</x:f>
      </x:c>
    </x:row>
    <x:row r="368">
      <x:c r="A368" s="38" t="str"/>
      <x:c r="B368" s="38" t="str"/>
      <x:c r="C368" s="39"/>
      <x:c r="D368" s="39"/>
      <x:c r="E368" s="39"/>
      <x:c r="F368" s="46"/>
      <x:c r="G368" s="38"/>
      <x:c r="H368" s="38"/>
      <x:c r="I368" s="40"/>
      <x:c r="J368" s="40" t="str">
        <x:f>IFERROR((C368-D368)/C368,"")</x:f>
      </x:c>
      <x:c r="K368" s="46" t="str">
        <x:f>IF(OR(F368="",H368=""),"",EDATE(F368,H368))</x:f>
      </x:c>
      <x:c r="L368" s="40" t="str">
        <x:f>J368</x:f>
      </x:c>
    </x:row>
    <x:row r="369">
      <x:c r="A369" s="38" t="str"/>
      <x:c r="B369" s="38" t="str"/>
      <x:c r="C369" s="39"/>
      <x:c r="D369" s="39"/>
      <x:c r="E369" s="39"/>
      <x:c r="F369" s="46"/>
      <x:c r="G369" s="38"/>
      <x:c r="H369" s="38"/>
      <x:c r="I369" s="40"/>
      <x:c r="J369" s="40" t="str">
        <x:f>IFERROR((C369-D369)/C369,"")</x:f>
      </x:c>
      <x:c r="K369" s="46" t="str">
        <x:f>IF(OR(F369="",H369=""),"",EDATE(F369,H369))</x:f>
      </x:c>
      <x:c r="L369" s="40" t="str">
        <x:f>J369</x:f>
      </x:c>
    </x:row>
    <x:row r="370">
      <x:c r="A370" s="38" t="str"/>
      <x:c r="B370" s="38" t="str"/>
      <x:c r="C370" s="39"/>
      <x:c r="D370" s="39"/>
      <x:c r="E370" s="39"/>
      <x:c r="F370" s="46"/>
      <x:c r="G370" s="38"/>
      <x:c r="H370" s="38"/>
      <x:c r="I370" s="40"/>
      <x:c r="J370" s="40" t="str">
        <x:f>IFERROR((C370-D370)/C370,"")</x:f>
      </x:c>
      <x:c r="K370" s="46" t="str">
        <x:f>IF(OR(F370="",H370=""),"",EDATE(F370,H370))</x:f>
      </x:c>
      <x:c r="L370" s="40" t="str">
        <x:f>J370</x:f>
      </x:c>
    </x:row>
    <x:row r="371">
      <x:c r="A371" s="38" t="str"/>
      <x:c r="B371" s="38" t="str"/>
      <x:c r="C371" s="39"/>
      <x:c r="D371" s="39"/>
      <x:c r="E371" s="39"/>
      <x:c r="F371" s="46"/>
      <x:c r="G371" s="38"/>
      <x:c r="H371" s="38"/>
      <x:c r="I371" s="40"/>
      <x:c r="J371" s="40" t="str">
        <x:f>IFERROR((C371-D371)/C371,"")</x:f>
      </x:c>
      <x:c r="K371" s="46" t="str">
        <x:f>IF(OR(F371="",H371=""),"",EDATE(F371,H371))</x:f>
      </x:c>
      <x:c r="L371" s="40" t="str">
        <x:f>J371</x:f>
      </x:c>
    </x:row>
    <x:row r="372">
      <x:c r="A372" s="38" t="str"/>
      <x:c r="B372" s="38" t="str"/>
      <x:c r="C372" s="39"/>
      <x:c r="D372" s="39"/>
      <x:c r="E372" s="39"/>
      <x:c r="F372" s="46"/>
      <x:c r="G372" s="38"/>
      <x:c r="H372" s="38"/>
      <x:c r="I372" s="40"/>
      <x:c r="J372" s="40" t="str">
        <x:f>IFERROR((C372-D372)/C372,"")</x:f>
      </x:c>
      <x:c r="K372" s="46" t="str">
        <x:f>IF(OR(F372="",H372=""),"",EDATE(F372,H372))</x:f>
      </x:c>
      <x:c r="L372" s="40" t="str">
        <x:f>J372</x:f>
      </x:c>
    </x:row>
    <x:row r="373">
      <x:c r="A373" s="38" t="str"/>
      <x:c r="B373" s="38" t="str"/>
      <x:c r="C373" s="39"/>
      <x:c r="D373" s="39"/>
      <x:c r="E373" s="39"/>
      <x:c r="F373" s="46"/>
      <x:c r="G373" s="38"/>
      <x:c r="H373" s="38"/>
      <x:c r="I373" s="40"/>
      <x:c r="J373" s="40" t="str">
        <x:f>IFERROR((C373-D373)/C373,"")</x:f>
      </x:c>
      <x:c r="K373" s="46" t="str">
        <x:f>IF(OR(F373="",H373=""),"",EDATE(F373,H373))</x:f>
      </x:c>
      <x:c r="L373" s="40" t="str">
        <x:f>J373</x:f>
      </x:c>
    </x:row>
    <x:row r="374">
      <x:c r="A374" s="38" t="str"/>
      <x:c r="B374" s="38" t="str"/>
      <x:c r="C374" s="39"/>
      <x:c r="D374" s="39"/>
      <x:c r="E374" s="39"/>
      <x:c r="F374" s="46"/>
      <x:c r="G374" s="38"/>
      <x:c r="H374" s="38"/>
      <x:c r="I374" s="40"/>
      <x:c r="J374" s="40" t="str">
        <x:f>IFERROR((C374-D374)/C374,"")</x:f>
      </x:c>
      <x:c r="K374" s="46" t="str">
        <x:f>IF(OR(F374="",H374=""),"",EDATE(F374,H374))</x:f>
      </x:c>
      <x:c r="L374" s="40" t="str">
        <x:f>J374</x:f>
      </x:c>
    </x:row>
    <x:row r="375">
      <x:c r="A375" s="38" t="str"/>
      <x:c r="B375" s="38" t="str"/>
      <x:c r="C375" s="39"/>
      <x:c r="D375" s="39"/>
      <x:c r="E375" s="39"/>
      <x:c r="F375" s="46"/>
      <x:c r="G375" s="38"/>
      <x:c r="H375" s="38"/>
      <x:c r="I375" s="40"/>
      <x:c r="J375" s="40" t="str">
        <x:f>IFERROR((C375-D375)/C375,"")</x:f>
      </x:c>
      <x:c r="K375" s="46" t="str">
        <x:f>IF(OR(F375="",H375=""),"",EDATE(F375,H375))</x:f>
      </x:c>
      <x:c r="L375" s="40" t="str">
        <x:f>J375</x:f>
      </x:c>
    </x:row>
    <x:row r="376">
      <x:c r="A376" s="38" t="str"/>
      <x:c r="B376" s="38" t="str"/>
      <x:c r="C376" s="39"/>
      <x:c r="D376" s="39"/>
      <x:c r="E376" s="39"/>
      <x:c r="F376" s="46"/>
      <x:c r="G376" s="38"/>
      <x:c r="H376" s="38"/>
      <x:c r="I376" s="40"/>
      <x:c r="J376" s="40" t="str">
        <x:f>IFERROR((C376-D376)/C376,"")</x:f>
      </x:c>
      <x:c r="K376" s="46" t="str">
        <x:f>IF(OR(F376="",H376=""),"",EDATE(F376,H376))</x:f>
      </x:c>
      <x:c r="L376" s="40" t="str">
        <x:f>J376</x:f>
      </x:c>
    </x:row>
    <x:row r="377">
      <x:c r="A377" s="38" t="str"/>
      <x:c r="B377" s="38" t="str"/>
      <x:c r="C377" s="39"/>
      <x:c r="D377" s="39"/>
      <x:c r="E377" s="39"/>
      <x:c r="F377" s="46"/>
      <x:c r="G377" s="38"/>
      <x:c r="H377" s="38"/>
      <x:c r="I377" s="40"/>
      <x:c r="J377" s="40" t="str">
        <x:f>IFERROR((C377-D377)/C377,"")</x:f>
      </x:c>
      <x:c r="K377" s="46" t="str">
        <x:f>IF(OR(F377="",H377=""),"",EDATE(F377,H377))</x:f>
      </x:c>
      <x:c r="L377" s="40" t="str">
        <x:f>J377</x:f>
      </x:c>
    </x:row>
    <x:row r="378">
      <x:c r="A378" s="38" t="str"/>
      <x:c r="B378" s="38" t="str"/>
      <x:c r="C378" s="39"/>
      <x:c r="D378" s="39"/>
      <x:c r="E378" s="39"/>
      <x:c r="F378" s="46"/>
      <x:c r="G378" s="38"/>
      <x:c r="H378" s="38"/>
      <x:c r="I378" s="40"/>
      <x:c r="J378" s="40" t="str">
        <x:f>IFERROR((C378-D378)/C378,"")</x:f>
      </x:c>
      <x:c r="K378" s="46" t="str">
        <x:f>IF(OR(F378="",H378=""),"",EDATE(F378,H378))</x:f>
      </x:c>
      <x:c r="L378" s="40" t="str">
        <x:f>J378</x:f>
      </x:c>
    </x:row>
    <x:row r="379">
      <x:c r="A379" s="38" t="str"/>
      <x:c r="B379" s="38" t="str"/>
      <x:c r="C379" s="39"/>
      <x:c r="D379" s="39"/>
      <x:c r="E379" s="39"/>
      <x:c r="F379" s="46"/>
      <x:c r="G379" s="38"/>
      <x:c r="H379" s="38"/>
      <x:c r="I379" s="40"/>
      <x:c r="J379" s="40" t="str">
        <x:f>IFERROR((C379-D379)/C379,"")</x:f>
      </x:c>
      <x:c r="K379" s="46" t="str">
        <x:f>IF(OR(F379="",H379=""),"",EDATE(F379,H379))</x:f>
      </x:c>
      <x:c r="L379" s="40" t="str">
        <x:f>J379</x:f>
      </x:c>
    </x:row>
    <x:row r="380">
      <x:c r="A380" s="38" t="str"/>
      <x:c r="B380" s="38" t="str"/>
      <x:c r="C380" s="39"/>
      <x:c r="D380" s="39"/>
      <x:c r="E380" s="39"/>
      <x:c r="F380" s="46"/>
      <x:c r="G380" s="38"/>
      <x:c r="H380" s="38"/>
      <x:c r="I380" s="40"/>
      <x:c r="J380" s="40" t="str">
        <x:f>IFERROR((C380-D380)/C380,"")</x:f>
      </x:c>
      <x:c r="K380" s="46" t="str">
        <x:f>IF(OR(F380="",H380=""),"",EDATE(F380,H380))</x:f>
      </x:c>
      <x:c r="L380" s="40" t="str">
        <x:f>J380</x:f>
      </x:c>
    </x:row>
    <x:row r="381">
      <x:c r="A381" s="38" t="str"/>
      <x:c r="B381" s="38" t="str"/>
      <x:c r="C381" s="39"/>
      <x:c r="D381" s="39"/>
      <x:c r="E381" s="39"/>
      <x:c r="F381" s="46"/>
      <x:c r="G381" s="38"/>
      <x:c r="H381" s="38"/>
      <x:c r="I381" s="40"/>
      <x:c r="J381" s="40" t="str">
        <x:f>IFERROR((C381-D381)/C381,"")</x:f>
      </x:c>
      <x:c r="K381" s="46" t="str">
        <x:f>IF(OR(F381="",H381=""),"",EDATE(F381,H381))</x:f>
      </x:c>
      <x:c r="L381" s="40" t="str">
        <x:f>J381</x:f>
      </x:c>
    </x:row>
    <x:row r="382">
      <x:c r="A382" s="38" t="str"/>
      <x:c r="B382" s="38" t="str"/>
      <x:c r="C382" s="39"/>
      <x:c r="D382" s="39"/>
      <x:c r="E382" s="39"/>
      <x:c r="F382" s="46"/>
      <x:c r="G382" s="38"/>
      <x:c r="H382" s="38"/>
      <x:c r="I382" s="40"/>
      <x:c r="J382" s="40" t="str">
        <x:f>IFERROR((C382-D382)/C382,"")</x:f>
      </x:c>
      <x:c r="K382" s="46" t="str">
        <x:f>IF(OR(F382="",H382=""),"",EDATE(F382,H382))</x:f>
      </x:c>
      <x:c r="L382" s="40" t="str">
        <x:f>J382</x:f>
      </x:c>
    </x:row>
    <x:row r="383">
      <x:c r="A383" s="38" t="str"/>
      <x:c r="B383" s="38" t="str"/>
      <x:c r="C383" s="39"/>
      <x:c r="D383" s="39"/>
      <x:c r="E383" s="39"/>
      <x:c r="F383" s="46"/>
      <x:c r="G383" s="38"/>
      <x:c r="H383" s="38"/>
      <x:c r="I383" s="40"/>
      <x:c r="J383" s="40" t="str">
        <x:f>IFERROR((C383-D383)/C383,"")</x:f>
      </x:c>
      <x:c r="K383" s="46" t="str">
        <x:f>IF(OR(F383="",H383=""),"",EDATE(F383,H383))</x:f>
      </x:c>
      <x:c r="L383" s="40" t="str">
        <x:f>J383</x:f>
      </x:c>
    </x:row>
    <x:row r="384">
      <x:c r="A384" s="38" t="str"/>
      <x:c r="B384" s="38" t="str"/>
      <x:c r="C384" s="39"/>
      <x:c r="D384" s="39"/>
      <x:c r="E384" s="39"/>
      <x:c r="F384" s="46"/>
      <x:c r="G384" s="38"/>
      <x:c r="H384" s="38"/>
      <x:c r="I384" s="40"/>
      <x:c r="J384" s="40" t="str">
        <x:f>IFERROR((C384-D384)/C384,"")</x:f>
      </x:c>
      <x:c r="K384" s="46" t="str">
        <x:f>IF(OR(F384="",H384=""),"",EDATE(F384,H384))</x:f>
      </x:c>
      <x:c r="L384" s="40" t="str">
        <x:f>J384</x:f>
      </x:c>
    </x:row>
    <x:row r="385">
      <x:c r="A385" s="38" t="str"/>
      <x:c r="B385" s="38" t="str"/>
      <x:c r="C385" s="39"/>
      <x:c r="D385" s="39"/>
      <x:c r="E385" s="39"/>
      <x:c r="F385" s="46"/>
      <x:c r="G385" s="38"/>
      <x:c r="H385" s="38"/>
      <x:c r="I385" s="40"/>
      <x:c r="J385" s="40" t="str">
        <x:f>IFERROR((C385-D385)/C385,"")</x:f>
      </x:c>
      <x:c r="K385" s="46" t="str">
        <x:f>IF(OR(F385="",H385=""),"",EDATE(F385,H385))</x:f>
      </x:c>
      <x:c r="L385" s="40" t="str">
        <x:f>J385</x:f>
      </x:c>
    </x:row>
    <x:row r="386">
      <x:c r="A386" s="38" t="str"/>
      <x:c r="B386" s="38" t="str"/>
      <x:c r="C386" s="39"/>
      <x:c r="D386" s="39"/>
      <x:c r="E386" s="39"/>
      <x:c r="F386" s="46"/>
      <x:c r="G386" s="38"/>
      <x:c r="H386" s="38"/>
      <x:c r="I386" s="40"/>
      <x:c r="J386" s="40" t="str">
        <x:f>IFERROR((C386-D386)/C386,"")</x:f>
      </x:c>
      <x:c r="K386" s="46" t="str">
        <x:f>IF(OR(F386="",H386=""),"",EDATE(F386,H386))</x:f>
      </x:c>
      <x:c r="L386" s="40" t="str">
        <x:f>J386</x:f>
      </x:c>
    </x:row>
    <x:row r="387">
      <x:c r="A387" s="38" t="str"/>
      <x:c r="B387" s="38" t="str"/>
      <x:c r="C387" s="39"/>
      <x:c r="D387" s="39"/>
      <x:c r="E387" s="39"/>
      <x:c r="F387" s="46"/>
      <x:c r="G387" s="38"/>
      <x:c r="H387" s="38"/>
      <x:c r="I387" s="40"/>
      <x:c r="J387" s="40" t="str">
        <x:f>IFERROR((C387-D387)/C387,"")</x:f>
      </x:c>
      <x:c r="K387" s="46" t="str">
        <x:f>IF(OR(F387="",H387=""),"",EDATE(F387,H387))</x:f>
      </x:c>
      <x:c r="L387" s="40" t="str">
        <x:f>J387</x:f>
      </x:c>
    </x:row>
    <x:row r="388">
      <x:c r="A388" s="38" t="str"/>
      <x:c r="B388" s="38" t="str"/>
      <x:c r="C388" s="39"/>
      <x:c r="D388" s="39"/>
      <x:c r="E388" s="39"/>
      <x:c r="F388" s="46"/>
      <x:c r="G388" s="38"/>
      <x:c r="H388" s="38"/>
      <x:c r="I388" s="40"/>
      <x:c r="J388" s="40" t="str">
        <x:f>IFERROR((C388-D388)/C388,"")</x:f>
      </x:c>
      <x:c r="K388" s="46" t="str">
        <x:f>IF(OR(F388="",H388=""),"",EDATE(F388,H388))</x:f>
      </x:c>
      <x:c r="L388" s="40" t="str">
        <x:f>J388</x:f>
      </x:c>
    </x:row>
    <x:row r="389">
      <x:c r="A389" s="38" t="str"/>
      <x:c r="B389" s="38" t="str"/>
      <x:c r="C389" s="39"/>
      <x:c r="D389" s="39"/>
      <x:c r="E389" s="39"/>
      <x:c r="F389" s="46"/>
      <x:c r="G389" s="38"/>
      <x:c r="H389" s="38"/>
      <x:c r="I389" s="40"/>
      <x:c r="J389" s="40" t="str">
        <x:f>IFERROR((C389-D389)/C389,"")</x:f>
      </x:c>
      <x:c r="K389" s="46" t="str">
        <x:f>IF(OR(F389="",H389=""),"",EDATE(F389,H389))</x:f>
      </x:c>
      <x:c r="L389" s="40" t="str">
        <x:f>J389</x:f>
      </x:c>
    </x:row>
    <x:row r="390">
      <x:c r="A390" s="38" t="str"/>
      <x:c r="B390" s="38" t="str"/>
      <x:c r="C390" s="39"/>
      <x:c r="D390" s="39"/>
      <x:c r="E390" s="39"/>
      <x:c r="F390" s="46"/>
      <x:c r="G390" s="38"/>
      <x:c r="H390" s="38"/>
      <x:c r="I390" s="40"/>
      <x:c r="J390" s="40" t="str">
        <x:f>IFERROR((C390-D390)/C390,"")</x:f>
      </x:c>
      <x:c r="K390" s="46" t="str">
        <x:f>IF(OR(F390="",H390=""),"",EDATE(F390,H390))</x:f>
      </x:c>
      <x:c r="L390" s="40" t="str">
        <x:f>J390</x:f>
      </x:c>
    </x:row>
    <x:row r="391">
      <x:c r="A391" s="38" t="str"/>
      <x:c r="B391" s="38" t="str"/>
      <x:c r="C391" s="39"/>
      <x:c r="D391" s="39"/>
      <x:c r="E391" s="39"/>
      <x:c r="F391" s="46"/>
      <x:c r="G391" s="38"/>
      <x:c r="H391" s="38"/>
      <x:c r="I391" s="40"/>
      <x:c r="J391" s="40" t="str">
        <x:f>IFERROR((C391-D391)/C391,"")</x:f>
      </x:c>
      <x:c r="K391" s="46" t="str">
        <x:f>IF(OR(F391="",H391=""),"",EDATE(F391,H391))</x:f>
      </x:c>
      <x:c r="L391" s="40" t="str">
        <x:f>J391</x:f>
      </x:c>
    </x:row>
    <x:row r="392">
      <x:c r="A392" s="38" t="str"/>
      <x:c r="B392" s="38" t="str"/>
      <x:c r="C392" s="39"/>
      <x:c r="D392" s="39"/>
      <x:c r="E392" s="39"/>
      <x:c r="F392" s="46"/>
      <x:c r="G392" s="38"/>
      <x:c r="H392" s="38"/>
      <x:c r="I392" s="40"/>
      <x:c r="J392" s="40" t="str">
        <x:f>IFERROR((C392-D392)/C392,"")</x:f>
      </x:c>
      <x:c r="K392" s="46" t="str">
        <x:f>IF(OR(F392="",H392=""),"",EDATE(F392,H392))</x:f>
      </x:c>
      <x:c r="L392" s="40" t="str">
        <x:f>J392</x:f>
      </x:c>
    </x:row>
    <x:row r="393">
      <x:c r="A393" s="38" t="str"/>
      <x:c r="B393" s="38" t="str"/>
      <x:c r="C393" s="39"/>
      <x:c r="D393" s="39"/>
      <x:c r="E393" s="39"/>
      <x:c r="F393" s="46"/>
      <x:c r="G393" s="38"/>
      <x:c r="H393" s="38"/>
      <x:c r="I393" s="40"/>
      <x:c r="J393" s="40" t="str">
        <x:f>IFERROR((C393-D393)/C393,"")</x:f>
      </x:c>
      <x:c r="K393" s="46" t="str">
        <x:f>IF(OR(F393="",H393=""),"",EDATE(F393,H393))</x:f>
      </x:c>
      <x:c r="L393" s="40" t="str">
        <x:f>J393</x:f>
      </x:c>
    </x:row>
    <x:row r="394">
      <x:c r="A394" s="38" t="str"/>
      <x:c r="B394" s="38" t="str"/>
      <x:c r="C394" s="39"/>
      <x:c r="D394" s="39"/>
      <x:c r="E394" s="39"/>
      <x:c r="F394" s="46"/>
      <x:c r="G394" s="38"/>
      <x:c r="H394" s="38"/>
      <x:c r="I394" s="40"/>
      <x:c r="J394" s="40" t="str">
        <x:f>IFERROR((C394-D394)/C394,"")</x:f>
      </x:c>
      <x:c r="K394" s="46" t="str">
        <x:f>IF(OR(F394="",H394=""),"",EDATE(F394,H394))</x:f>
      </x:c>
      <x:c r="L394" s="40" t="str">
        <x:f>J394</x:f>
      </x:c>
    </x:row>
    <x:row r="395">
      <x:c r="A395" s="38" t="str"/>
      <x:c r="B395" s="38" t="str"/>
      <x:c r="C395" s="39"/>
      <x:c r="D395" s="39"/>
      <x:c r="E395" s="39"/>
      <x:c r="F395" s="46"/>
      <x:c r="G395" s="38"/>
      <x:c r="H395" s="38"/>
      <x:c r="I395" s="40"/>
      <x:c r="J395" s="40" t="str">
        <x:f>IFERROR((C395-D395)/C395,"")</x:f>
      </x:c>
      <x:c r="K395" s="46" t="str">
        <x:f>IF(OR(F395="",H395=""),"",EDATE(F395,H395))</x:f>
      </x:c>
      <x:c r="L395" s="40" t="str">
        <x:f>J395</x:f>
      </x:c>
    </x:row>
    <x:row r="396">
      <x:c r="A396" s="38" t="str"/>
      <x:c r="B396" s="38" t="str"/>
      <x:c r="C396" s="39"/>
      <x:c r="D396" s="39"/>
      <x:c r="E396" s="39"/>
      <x:c r="F396" s="46"/>
      <x:c r="G396" s="38"/>
      <x:c r="H396" s="38"/>
      <x:c r="I396" s="40"/>
      <x:c r="J396" s="40" t="str">
        <x:f>IFERROR((C396-D396)/C396,"")</x:f>
      </x:c>
      <x:c r="K396" s="46" t="str">
        <x:f>IF(OR(F396="",H396=""),"",EDATE(F396,H396))</x:f>
      </x:c>
      <x:c r="L396" s="40" t="str">
        <x:f>J396</x:f>
      </x:c>
    </x:row>
    <x:row r="397">
      <x:c r="A397" s="38" t="str"/>
      <x:c r="B397" s="38" t="str"/>
      <x:c r="C397" s="39"/>
      <x:c r="D397" s="39"/>
      <x:c r="E397" s="39"/>
      <x:c r="F397" s="46"/>
      <x:c r="G397" s="38"/>
      <x:c r="H397" s="38"/>
      <x:c r="I397" s="40"/>
      <x:c r="J397" s="40" t="str">
        <x:f>IFERROR((C397-D397)/C397,"")</x:f>
      </x:c>
      <x:c r="K397" s="46" t="str">
        <x:f>IF(OR(F397="",H397=""),"",EDATE(F397,H397))</x:f>
      </x:c>
      <x:c r="L397" s="40" t="str">
        <x:f>J397</x:f>
      </x:c>
    </x:row>
    <x:row r="398">
      <x:c r="A398" s="38" t="str"/>
      <x:c r="B398" s="38" t="str"/>
      <x:c r="C398" s="39"/>
      <x:c r="D398" s="39"/>
      <x:c r="E398" s="39"/>
      <x:c r="F398" s="46"/>
      <x:c r="G398" s="38"/>
      <x:c r="H398" s="38"/>
      <x:c r="I398" s="40"/>
      <x:c r="J398" s="40" t="str">
        <x:f>IFERROR((C398-D398)/C398,"")</x:f>
      </x:c>
      <x:c r="K398" s="46" t="str">
        <x:f>IF(OR(F398="",H398=""),"",EDATE(F398,H398))</x:f>
      </x:c>
      <x:c r="L398" s="40" t="str">
        <x:f>J398</x:f>
      </x:c>
    </x:row>
    <x:row r="399">
      <x:c r="A399" s="38" t="str"/>
      <x:c r="B399" s="38" t="str"/>
      <x:c r="C399" s="39"/>
      <x:c r="D399" s="39"/>
      <x:c r="E399" s="39"/>
      <x:c r="F399" s="46"/>
      <x:c r="G399" s="38"/>
      <x:c r="H399" s="38"/>
      <x:c r="I399" s="40"/>
      <x:c r="J399" s="40" t="str">
        <x:f>IFERROR((C399-D399)/C399,"")</x:f>
      </x:c>
      <x:c r="K399" s="46" t="str">
        <x:f>IF(OR(F399="",H399=""),"",EDATE(F399,H399))</x:f>
      </x:c>
      <x:c r="L399" s="40" t="str">
        <x:f>J399</x:f>
      </x:c>
    </x:row>
    <x:row r="400">
      <x:c r="A400" s="38" t="str"/>
      <x:c r="B400" s="38" t="str"/>
      <x:c r="C400" s="39"/>
      <x:c r="D400" s="39"/>
      <x:c r="E400" s="39"/>
      <x:c r="F400" s="46"/>
      <x:c r="G400" s="38"/>
      <x:c r="H400" s="38"/>
      <x:c r="I400" s="40"/>
      <x:c r="J400" s="40" t="str">
        <x:f>IFERROR((C400-D400)/C400,"")</x:f>
      </x:c>
      <x:c r="K400" s="46" t="str">
        <x:f>IF(OR(F400="",H400=""),"",EDATE(F400,H400))</x:f>
      </x:c>
      <x:c r="L400" s="40" t="str">
        <x:f>J400</x:f>
      </x:c>
    </x:row>
    <x:row r="401">
      <x:c r="A401" s="38" t="str"/>
      <x:c r="B401" s="38" t="str"/>
      <x:c r="C401" s="39"/>
      <x:c r="D401" s="39"/>
      <x:c r="E401" s="39"/>
      <x:c r="F401" s="46"/>
      <x:c r="G401" s="38"/>
      <x:c r="H401" s="38"/>
      <x:c r="I401" s="40"/>
      <x:c r="J401" s="40" t="str">
        <x:f>IFERROR((C401-D401)/C401,"")</x:f>
      </x:c>
      <x:c r="K401" s="46" t="str">
        <x:f>IF(OR(F401="",H401=""),"",EDATE(F401,H401))</x:f>
      </x:c>
      <x:c r="L401" s="40" t="str">
        <x:f>J401</x:f>
      </x:c>
    </x:row>
    <x:row r="402">
      <x:c r="A402" s="38" t="str"/>
      <x:c r="B402" s="38" t="str"/>
      <x:c r="C402" s="39"/>
      <x:c r="D402" s="39"/>
      <x:c r="E402" s="39"/>
      <x:c r="F402" s="46"/>
      <x:c r="G402" s="38"/>
      <x:c r="H402" s="38"/>
      <x:c r="I402" s="40"/>
      <x:c r="J402" s="40" t="str">
        <x:f>IFERROR((C402-D402)/C402,"")</x:f>
      </x:c>
      <x:c r="K402" s="46" t="str">
        <x:f>IF(OR(F402="",H402=""),"",EDATE(F402,H402))</x:f>
      </x:c>
      <x:c r="L402" s="40" t="str">
        <x:f>J402</x:f>
      </x:c>
    </x:row>
    <x:row r="403">
      <x:c r="A403" s="38" t="str"/>
      <x:c r="B403" s="38" t="str"/>
      <x:c r="C403" s="39"/>
      <x:c r="D403" s="39"/>
      <x:c r="E403" s="39"/>
      <x:c r="F403" s="46"/>
      <x:c r="G403" s="38"/>
      <x:c r="H403" s="38"/>
      <x:c r="I403" s="40"/>
      <x:c r="J403" s="40" t="str">
        <x:f>IFERROR((C403-D403)/C403,"")</x:f>
      </x:c>
      <x:c r="K403" s="46" t="str">
        <x:f>IF(OR(F403="",H403=""),"",EDATE(F403,H403))</x:f>
      </x:c>
      <x:c r="L403" s="40" t="str">
        <x:f>J403</x:f>
      </x:c>
    </x:row>
    <x:row r="404">
      <x:c r="A404" s="38" t="str"/>
      <x:c r="B404" s="38" t="str"/>
      <x:c r="C404" s="39"/>
      <x:c r="D404" s="39"/>
      <x:c r="E404" s="39"/>
      <x:c r="F404" s="46"/>
      <x:c r="G404" s="38"/>
      <x:c r="H404" s="38"/>
      <x:c r="I404" s="40"/>
      <x:c r="J404" s="40" t="str">
        <x:f>IFERROR((C404-D404)/C404,"")</x:f>
      </x:c>
      <x:c r="K404" s="46" t="str">
        <x:f>IF(OR(F404="",H404=""),"",EDATE(F404,H404))</x:f>
      </x:c>
      <x:c r="L404" s="40" t="str">
        <x:f>J404</x:f>
      </x:c>
    </x:row>
    <x:row r="405">
      <x:c r="A405" s="38" t="str"/>
      <x:c r="B405" s="38" t="str"/>
      <x:c r="C405" s="39"/>
      <x:c r="D405" s="39"/>
      <x:c r="E405" s="39"/>
      <x:c r="F405" s="46"/>
      <x:c r="G405" s="38"/>
      <x:c r="H405" s="38"/>
      <x:c r="I405" s="40"/>
      <x:c r="J405" s="40" t="str">
        <x:f>IFERROR((C405-D405)/C405,"")</x:f>
      </x:c>
      <x:c r="K405" s="46" t="str">
        <x:f>IF(OR(F405="",H405=""),"",EDATE(F405,H405))</x:f>
      </x:c>
      <x:c r="L405" s="40" t="str">
        <x:f>J405</x:f>
      </x:c>
    </x:row>
    <x:row r="406">
      <x:c r="A406" s="38" t="str"/>
      <x:c r="B406" s="38" t="str"/>
      <x:c r="C406" s="39"/>
      <x:c r="D406" s="39"/>
      <x:c r="E406" s="39"/>
      <x:c r="F406" s="46"/>
      <x:c r="G406" s="38"/>
      <x:c r="H406" s="38"/>
      <x:c r="I406" s="40"/>
      <x:c r="J406" s="40" t="str">
        <x:f>IFERROR((C406-D406)/C406,"")</x:f>
      </x:c>
      <x:c r="K406" s="46" t="str">
        <x:f>IF(OR(F406="",H406=""),"",EDATE(F406,H406))</x:f>
      </x:c>
      <x:c r="L406" s="40" t="str">
        <x:f>J406</x:f>
      </x:c>
    </x:row>
    <x:row r="407">
      <x:c r="A407" s="38" t="str"/>
      <x:c r="B407" s="38" t="str"/>
      <x:c r="C407" s="39"/>
      <x:c r="D407" s="39"/>
      <x:c r="E407" s="39"/>
      <x:c r="F407" s="46"/>
      <x:c r="G407" s="38"/>
      <x:c r="H407" s="38"/>
      <x:c r="I407" s="40"/>
      <x:c r="J407" s="40" t="str">
        <x:f>IFERROR((C407-D407)/C407,"")</x:f>
      </x:c>
      <x:c r="K407" s="46" t="str">
        <x:f>IF(OR(F407="",H407=""),"",EDATE(F407,H407))</x:f>
      </x:c>
      <x:c r="L407" s="40" t="str">
        <x:f>J407</x:f>
      </x:c>
    </x:row>
    <x:row r="408">
      <x:c r="A408" s="38" t="str"/>
      <x:c r="B408" s="38" t="str"/>
      <x:c r="C408" s="39"/>
      <x:c r="D408" s="39"/>
      <x:c r="E408" s="39"/>
      <x:c r="F408" s="46"/>
      <x:c r="G408" s="38"/>
      <x:c r="H408" s="38"/>
      <x:c r="I408" s="40"/>
      <x:c r="J408" s="40" t="str">
        <x:f>IFERROR((C408-D408)/C408,"")</x:f>
      </x:c>
      <x:c r="K408" s="46" t="str">
        <x:f>IF(OR(F408="",H408=""),"",EDATE(F408,H408))</x:f>
      </x:c>
      <x:c r="L408" s="40" t="str">
        <x:f>J408</x:f>
      </x:c>
    </x:row>
    <x:row r="409">
      <x:c r="A409" s="38" t="str"/>
      <x:c r="B409" s="38" t="str"/>
      <x:c r="C409" s="39"/>
      <x:c r="D409" s="39"/>
      <x:c r="E409" s="39"/>
      <x:c r="F409" s="46"/>
      <x:c r="G409" s="38"/>
      <x:c r="H409" s="38"/>
      <x:c r="I409" s="40"/>
      <x:c r="J409" s="40" t="str">
        <x:f>IFERROR((C409-D409)/C409,"")</x:f>
      </x:c>
      <x:c r="K409" s="46" t="str">
        <x:f>IF(OR(F409="",H409=""),"",EDATE(F409,H409))</x:f>
      </x:c>
      <x:c r="L409" s="40" t="str">
        <x:f>J409</x:f>
      </x:c>
    </x:row>
    <x:row r="410">
      <x:c r="A410" s="38" t="str"/>
      <x:c r="B410" s="38" t="str"/>
      <x:c r="C410" s="39"/>
      <x:c r="D410" s="39"/>
      <x:c r="E410" s="39"/>
      <x:c r="F410" s="46"/>
      <x:c r="G410" s="38"/>
      <x:c r="H410" s="38"/>
      <x:c r="I410" s="40"/>
      <x:c r="J410" s="40" t="str">
        <x:f>IFERROR((C410-D410)/C410,"")</x:f>
      </x:c>
      <x:c r="K410" s="46" t="str">
        <x:f>IF(OR(F410="",H410=""),"",EDATE(F410,H410))</x:f>
      </x:c>
      <x:c r="L410" s="40" t="str">
        <x:f>J410</x:f>
      </x:c>
    </x:row>
    <x:row r="411">
      <x:c r="A411" s="38" t="str"/>
      <x:c r="B411" s="38" t="str"/>
      <x:c r="C411" s="39"/>
      <x:c r="D411" s="39"/>
      <x:c r="E411" s="39"/>
      <x:c r="F411" s="46"/>
      <x:c r="G411" s="38"/>
      <x:c r="H411" s="38"/>
      <x:c r="I411" s="40"/>
      <x:c r="J411" s="40" t="str">
        <x:f>IFERROR((C411-D411)/C411,"")</x:f>
      </x:c>
      <x:c r="K411" s="46" t="str">
        <x:f>IF(OR(F411="",H411=""),"",EDATE(F411,H411))</x:f>
      </x:c>
      <x:c r="L411" s="40" t="str">
        <x:f>J411</x:f>
      </x:c>
    </x:row>
    <x:row r="412">
      <x:c r="A412" s="38" t="str"/>
      <x:c r="B412" s="38" t="str"/>
      <x:c r="C412" s="39"/>
      <x:c r="D412" s="39"/>
      <x:c r="E412" s="39"/>
      <x:c r="F412" s="46"/>
      <x:c r="G412" s="38"/>
      <x:c r="H412" s="38"/>
      <x:c r="I412" s="40"/>
      <x:c r="J412" s="40" t="str">
        <x:f>IFERROR((C412-D412)/C412,"")</x:f>
      </x:c>
      <x:c r="K412" s="46" t="str">
        <x:f>IF(OR(F412="",H412=""),"",EDATE(F412,H412))</x:f>
      </x:c>
      <x:c r="L412" s="40" t="str">
        <x:f>J412</x:f>
      </x:c>
    </x:row>
    <x:row r="413">
      <x:c r="A413" s="38" t="str"/>
      <x:c r="B413" s="38" t="str"/>
      <x:c r="C413" s="39"/>
      <x:c r="D413" s="39"/>
      <x:c r="E413" s="39"/>
      <x:c r="F413" s="46"/>
      <x:c r="G413" s="38"/>
      <x:c r="H413" s="38"/>
      <x:c r="I413" s="40"/>
      <x:c r="J413" s="40" t="str">
        <x:f>IFERROR((C413-D413)/C413,"")</x:f>
      </x:c>
      <x:c r="K413" s="46" t="str">
        <x:f>IF(OR(F413="",H413=""),"",EDATE(F413,H413))</x:f>
      </x:c>
      <x:c r="L413" s="40" t="str">
        <x:f>J413</x:f>
      </x:c>
    </x:row>
    <x:row r="414">
      <x:c r="A414" s="38" t="str"/>
      <x:c r="B414" s="38" t="str"/>
      <x:c r="C414" s="39"/>
      <x:c r="D414" s="39"/>
      <x:c r="E414" s="39"/>
      <x:c r="F414" s="46"/>
      <x:c r="G414" s="38"/>
      <x:c r="H414" s="38"/>
      <x:c r="I414" s="40"/>
      <x:c r="J414" s="40" t="str">
        <x:f>IFERROR((C414-D414)/C414,"")</x:f>
      </x:c>
      <x:c r="K414" s="46" t="str">
        <x:f>IF(OR(F414="",H414=""),"",EDATE(F414,H414))</x:f>
      </x:c>
      <x:c r="L414" s="40" t="str">
        <x:f>J414</x:f>
      </x:c>
    </x:row>
    <x:row r="415">
      <x:c r="A415" s="38" t="str"/>
      <x:c r="B415" s="38" t="str"/>
      <x:c r="C415" s="39"/>
      <x:c r="D415" s="39"/>
      <x:c r="E415" s="39"/>
      <x:c r="F415" s="46"/>
      <x:c r="G415" s="38"/>
      <x:c r="H415" s="38"/>
      <x:c r="I415" s="40"/>
      <x:c r="J415" s="40" t="str">
        <x:f>IFERROR((C415-D415)/C415,"")</x:f>
      </x:c>
      <x:c r="K415" s="46" t="str">
        <x:f>IF(OR(F415="",H415=""),"",EDATE(F415,H415))</x:f>
      </x:c>
      <x:c r="L415" s="40" t="str">
        <x:f>J415</x:f>
      </x:c>
    </x:row>
    <x:row r="416">
      <x:c r="A416" s="38" t="str"/>
      <x:c r="B416" s="38" t="str"/>
      <x:c r="C416" s="39"/>
      <x:c r="D416" s="39"/>
      <x:c r="E416" s="39"/>
      <x:c r="F416" s="46"/>
      <x:c r="G416" s="38"/>
      <x:c r="H416" s="38"/>
      <x:c r="I416" s="40"/>
      <x:c r="J416" s="40" t="str">
        <x:f>IFERROR((C416-D416)/C416,"")</x:f>
      </x:c>
      <x:c r="K416" s="46" t="str">
        <x:f>IF(OR(F416="",H416=""),"",EDATE(F416,H416))</x:f>
      </x:c>
      <x:c r="L416" s="40" t="str">
        <x:f>J416</x:f>
      </x:c>
    </x:row>
    <x:row r="417">
      <x:c r="A417" s="38" t="str"/>
      <x:c r="B417" s="38" t="str"/>
      <x:c r="C417" s="39"/>
      <x:c r="D417" s="39"/>
      <x:c r="E417" s="39"/>
      <x:c r="F417" s="46"/>
      <x:c r="G417" s="38"/>
      <x:c r="H417" s="38"/>
      <x:c r="I417" s="40"/>
      <x:c r="J417" s="40" t="str">
        <x:f>IFERROR((C417-D417)/C417,"")</x:f>
      </x:c>
      <x:c r="K417" s="46" t="str">
        <x:f>IF(OR(F417="",H417=""),"",EDATE(F417,H417))</x:f>
      </x:c>
      <x:c r="L417" s="40" t="str">
        <x:f>J417</x:f>
      </x:c>
    </x:row>
    <x:row r="418">
      <x:c r="A418" s="38" t="str"/>
      <x:c r="B418" s="38" t="str"/>
      <x:c r="C418" s="39"/>
      <x:c r="D418" s="39"/>
      <x:c r="E418" s="39"/>
      <x:c r="F418" s="46"/>
      <x:c r="G418" s="38"/>
      <x:c r="H418" s="38"/>
      <x:c r="I418" s="40"/>
      <x:c r="J418" s="40" t="str">
        <x:f>IFERROR((C418-D418)/C418,"")</x:f>
      </x:c>
      <x:c r="K418" s="46" t="str">
        <x:f>IF(OR(F418="",H418=""),"",EDATE(F418,H418))</x:f>
      </x:c>
      <x:c r="L418" s="40" t="str">
        <x:f>J418</x:f>
      </x:c>
    </x:row>
    <x:row r="419">
      <x:c r="A419" s="38" t="str"/>
      <x:c r="B419" s="38" t="str"/>
      <x:c r="C419" s="39"/>
      <x:c r="D419" s="39"/>
      <x:c r="E419" s="39"/>
      <x:c r="F419" s="46"/>
      <x:c r="G419" s="38"/>
      <x:c r="H419" s="38"/>
      <x:c r="I419" s="40"/>
      <x:c r="J419" s="40" t="str">
        <x:f>IFERROR((C419-D419)/C419,"")</x:f>
      </x:c>
      <x:c r="K419" s="46" t="str">
        <x:f>IF(OR(F419="",H419=""),"",EDATE(F419,H419))</x:f>
      </x:c>
      <x:c r="L419" s="40" t="str">
        <x:f>J419</x:f>
      </x:c>
    </x:row>
    <x:row r="420">
      <x:c r="A420" s="38" t="str"/>
      <x:c r="B420" s="38" t="str"/>
      <x:c r="C420" s="39"/>
      <x:c r="D420" s="39"/>
      <x:c r="E420" s="39"/>
      <x:c r="F420" s="46"/>
      <x:c r="G420" s="38"/>
      <x:c r="H420" s="38"/>
      <x:c r="I420" s="40"/>
      <x:c r="J420" s="40" t="str">
        <x:f>IFERROR((C420-D420)/C420,"")</x:f>
      </x:c>
      <x:c r="K420" s="46" t="str">
        <x:f>IF(OR(F420="",H420=""),"",EDATE(F420,H420))</x:f>
      </x:c>
      <x:c r="L420" s="40" t="str">
        <x:f>J420</x:f>
      </x:c>
    </x:row>
    <x:row r="421">
      <x:c r="A421" s="38" t="str"/>
      <x:c r="B421" s="38" t="str"/>
      <x:c r="C421" s="39"/>
      <x:c r="D421" s="39"/>
      <x:c r="E421" s="39"/>
      <x:c r="F421" s="46"/>
      <x:c r="G421" s="38"/>
      <x:c r="H421" s="38"/>
      <x:c r="I421" s="40"/>
      <x:c r="J421" s="40" t="str">
        <x:f>IFERROR((C421-D421)/C421,"")</x:f>
      </x:c>
      <x:c r="K421" s="46" t="str">
        <x:f>IF(OR(F421="",H421=""),"",EDATE(F421,H421))</x:f>
      </x:c>
      <x:c r="L421" s="40" t="str">
        <x:f>J421</x:f>
      </x:c>
    </x:row>
    <x:row r="422">
      <x:c r="A422" s="38" t="str"/>
      <x:c r="B422" s="38" t="str"/>
      <x:c r="C422" s="39"/>
      <x:c r="D422" s="39"/>
      <x:c r="E422" s="39"/>
      <x:c r="F422" s="46"/>
      <x:c r="G422" s="38"/>
      <x:c r="H422" s="38"/>
      <x:c r="I422" s="40"/>
      <x:c r="J422" s="40" t="str">
        <x:f>IFERROR((C422-D422)/C422,"")</x:f>
      </x:c>
      <x:c r="K422" s="46" t="str">
        <x:f>IF(OR(F422="",H422=""),"",EDATE(F422,H422))</x:f>
      </x:c>
      <x:c r="L422" s="40" t="str">
        <x:f>J422</x:f>
      </x:c>
    </x:row>
    <x:row r="423">
      <x:c r="A423" s="38" t="str"/>
      <x:c r="B423" s="38" t="str"/>
      <x:c r="C423" s="39"/>
      <x:c r="D423" s="39"/>
      <x:c r="E423" s="39"/>
      <x:c r="F423" s="46"/>
      <x:c r="G423" s="38"/>
      <x:c r="H423" s="38"/>
      <x:c r="I423" s="40"/>
      <x:c r="J423" s="40" t="str">
        <x:f>IFERROR((C423-D423)/C423,"")</x:f>
      </x:c>
      <x:c r="K423" s="46" t="str">
        <x:f>IF(OR(F423="",H423=""),"",EDATE(F423,H423))</x:f>
      </x:c>
      <x:c r="L423" s="40" t="str">
        <x:f>J423</x:f>
      </x:c>
    </x:row>
    <x:row r="424">
      <x:c r="A424" s="38" t="str"/>
      <x:c r="B424" s="38" t="str"/>
      <x:c r="C424" s="39"/>
      <x:c r="D424" s="39"/>
      <x:c r="E424" s="39"/>
      <x:c r="F424" s="46"/>
      <x:c r="G424" s="38"/>
      <x:c r="H424" s="38"/>
      <x:c r="I424" s="40"/>
      <x:c r="J424" s="40" t="str">
        <x:f>IFERROR((C424-D424)/C424,"")</x:f>
      </x:c>
      <x:c r="K424" s="46" t="str">
        <x:f>IF(OR(F424="",H424=""),"",EDATE(F424,H424))</x:f>
      </x:c>
      <x:c r="L424" s="40" t="str">
        <x:f>J424</x:f>
      </x:c>
    </x:row>
    <x:row r="425">
      <x:c r="A425" s="38" t="str"/>
      <x:c r="B425" s="38" t="str"/>
      <x:c r="C425" s="39"/>
      <x:c r="D425" s="39"/>
      <x:c r="E425" s="39"/>
      <x:c r="F425" s="46"/>
      <x:c r="G425" s="38"/>
      <x:c r="H425" s="38"/>
      <x:c r="I425" s="40"/>
      <x:c r="J425" s="40" t="str">
        <x:f>IFERROR((C425-D425)/C425,"")</x:f>
      </x:c>
      <x:c r="K425" s="46" t="str">
        <x:f>IF(OR(F425="",H425=""),"",EDATE(F425,H425))</x:f>
      </x:c>
      <x:c r="L425" s="40" t="str">
        <x:f>J425</x:f>
      </x:c>
    </x:row>
    <x:row r="426">
      <x:c r="A426" s="38" t="str"/>
      <x:c r="B426" s="38" t="str"/>
      <x:c r="C426" s="39"/>
      <x:c r="D426" s="39"/>
      <x:c r="E426" s="39"/>
      <x:c r="F426" s="46"/>
      <x:c r="G426" s="38"/>
      <x:c r="H426" s="38"/>
      <x:c r="I426" s="40"/>
      <x:c r="J426" s="40" t="str">
        <x:f>IFERROR((C426-D426)/C426,"")</x:f>
      </x:c>
      <x:c r="K426" s="46" t="str">
        <x:f>IF(OR(F426="",H426=""),"",EDATE(F426,H426))</x:f>
      </x:c>
      <x:c r="L426" s="40" t="str">
        <x:f>J426</x:f>
      </x:c>
    </x:row>
    <x:row r="427">
      <x:c r="A427" s="38" t="str"/>
      <x:c r="B427" s="38" t="str"/>
      <x:c r="C427" s="39"/>
      <x:c r="D427" s="39"/>
      <x:c r="E427" s="39"/>
      <x:c r="F427" s="46"/>
      <x:c r="G427" s="38"/>
      <x:c r="H427" s="38"/>
      <x:c r="I427" s="40"/>
      <x:c r="J427" s="40" t="str">
        <x:f>IFERROR((C427-D427)/C427,"")</x:f>
      </x:c>
      <x:c r="K427" s="46" t="str">
        <x:f>IF(OR(F427="",H427=""),"",EDATE(F427,H427))</x:f>
      </x:c>
      <x:c r="L427" s="40" t="str">
        <x:f>J427</x:f>
      </x:c>
    </x:row>
    <x:row r="428">
      <x:c r="A428" s="38" t="str"/>
      <x:c r="B428" s="38" t="str"/>
      <x:c r="C428" s="39"/>
      <x:c r="D428" s="39"/>
      <x:c r="E428" s="39"/>
      <x:c r="F428" s="46"/>
      <x:c r="G428" s="38"/>
      <x:c r="H428" s="38"/>
      <x:c r="I428" s="40"/>
      <x:c r="J428" s="40" t="str">
        <x:f>IFERROR((C428-D428)/C428,"")</x:f>
      </x:c>
      <x:c r="K428" s="46" t="str">
        <x:f>IF(OR(F428="",H428=""),"",EDATE(F428,H428))</x:f>
      </x:c>
      <x:c r="L428" s="40" t="str">
        <x:f>J428</x:f>
      </x:c>
    </x:row>
    <x:row r="429">
      <x:c r="A429" s="38" t="str"/>
      <x:c r="B429" s="38" t="str"/>
      <x:c r="C429" s="39"/>
      <x:c r="D429" s="39"/>
      <x:c r="E429" s="39"/>
      <x:c r="F429" s="46"/>
      <x:c r="G429" s="38"/>
      <x:c r="H429" s="38"/>
      <x:c r="I429" s="40"/>
      <x:c r="J429" s="40" t="str">
        <x:f>IFERROR((C429-D429)/C429,"")</x:f>
      </x:c>
      <x:c r="K429" s="46" t="str">
        <x:f>IF(OR(F429="",H429=""),"",EDATE(F429,H429))</x:f>
      </x:c>
      <x:c r="L429" s="40" t="str">
        <x:f>J429</x:f>
      </x:c>
    </x:row>
    <x:row r="430">
      <x:c r="A430" s="38" t="str"/>
      <x:c r="B430" s="38" t="str"/>
      <x:c r="C430" s="39"/>
      <x:c r="D430" s="39"/>
      <x:c r="E430" s="39"/>
      <x:c r="F430" s="46"/>
      <x:c r="G430" s="38"/>
      <x:c r="H430" s="38"/>
      <x:c r="I430" s="40"/>
      <x:c r="J430" s="40" t="str">
        <x:f>IFERROR((C430-D430)/C430,"")</x:f>
      </x:c>
      <x:c r="K430" s="46" t="str">
        <x:f>IF(OR(F430="",H430=""),"",EDATE(F430,H430))</x:f>
      </x:c>
      <x:c r="L430" s="40" t="str">
        <x:f>J430</x:f>
      </x:c>
    </x:row>
    <x:row r="431">
      <x:c r="A431" s="38" t="str"/>
      <x:c r="B431" s="38" t="str"/>
      <x:c r="C431" s="39"/>
      <x:c r="D431" s="39"/>
      <x:c r="E431" s="39"/>
      <x:c r="F431" s="46"/>
      <x:c r="G431" s="38"/>
      <x:c r="H431" s="38"/>
      <x:c r="I431" s="40"/>
      <x:c r="J431" s="40" t="str">
        <x:f>IFERROR((C431-D431)/C431,"")</x:f>
      </x:c>
      <x:c r="K431" s="46" t="str">
        <x:f>IF(OR(F431="",H431=""),"",EDATE(F431,H431))</x:f>
      </x:c>
      <x:c r="L431" s="40" t="str">
        <x:f>J431</x:f>
      </x:c>
    </x:row>
    <x:row r="432">
      <x:c r="A432" s="38" t="str"/>
      <x:c r="B432" s="38" t="str"/>
      <x:c r="C432" s="39"/>
      <x:c r="D432" s="39"/>
      <x:c r="E432" s="39"/>
      <x:c r="F432" s="46"/>
      <x:c r="G432" s="38"/>
      <x:c r="H432" s="38"/>
      <x:c r="I432" s="40"/>
      <x:c r="J432" s="40" t="str">
        <x:f>IFERROR((C432-D432)/C432,"")</x:f>
      </x:c>
      <x:c r="K432" s="46" t="str">
        <x:f>IF(OR(F432="",H432=""),"",EDATE(F432,H432))</x:f>
      </x:c>
      <x:c r="L432" s="40" t="str">
        <x:f>J432</x:f>
      </x:c>
    </x:row>
    <x:row r="433">
      <x:c r="A433" s="38" t="str"/>
      <x:c r="B433" s="38" t="str"/>
      <x:c r="C433" s="39"/>
      <x:c r="D433" s="39"/>
      <x:c r="E433" s="39"/>
      <x:c r="F433" s="46"/>
      <x:c r="G433" s="38"/>
      <x:c r="H433" s="38"/>
      <x:c r="I433" s="40"/>
      <x:c r="J433" s="40" t="str">
        <x:f>IFERROR((C433-D433)/C433,"")</x:f>
      </x:c>
      <x:c r="K433" s="46" t="str">
        <x:f>IF(OR(F433="",H433=""),"",EDATE(F433,H433))</x:f>
      </x:c>
      <x:c r="L433" s="40" t="str">
        <x:f>J433</x:f>
      </x:c>
    </x:row>
    <x:row r="434">
      <x:c r="A434" s="38" t="str"/>
      <x:c r="B434" s="38" t="str"/>
      <x:c r="C434" s="39"/>
      <x:c r="D434" s="39"/>
      <x:c r="E434" s="39"/>
      <x:c r="F434" s="46"/>
      <x:c r="G434" s="38"/>
      <x:c r="H434" s="38"/>
      <x:c r="I434" s="40"/>
      <x:c r="J434" s="40" t="str">
        <x:f>IFERROR((C434-D434)/C434,"")</x:f>
      </x:c>
      <x:c r="K434" s="46" t="str">
        <x:f>IF(OR(F434="",H434=""),"",EDATE(F434,H434))</x:f>
      </x:c>
      <x:c r="L434" s="40" t="str">
        <x:f>J434</x:f>
      </x:c>
    </x:row>
    <x:row r="435">
      <x:c r="A435" s="38" t="str"/>
      <x:c r="B435" s="38" t="str"/>
      <x:c r="C435" s="39"/>
      <x:c r="D435" s="39"/>
      <x:c r="E435" s="39"/>
      <x:c r="F435" s="46"/>
      <x:c r="G435" s="38"/>
      <x:c r="H435" s="38"/>
      <x:c r="I435" s="40"/>
      <x:c r="J435" s="40" t="str">
        <x:f>IFERROR((C435-D435)/C435,"")</x:f>
      </x:c>
      <x:c r="K435" s="46" t="str">
        <x:f>IF(OR(F435="",H435=""),"",EDATE(F435,H435))</x:f>
      </x:c>
      <x:c r="L435" s="40" t="str">
        <x:f>J435</x:f>
      </x:c>
    </x:row>
    <x:row r="436">
      <x:c r="A436" s="38" t="str"/>
      <x:c r="B436" s="38" t="str"/>
      <x:c r="C436" s="39"/>
      <x:c r="D436" s="39"/>
      <x:c r="E436" s="39"/>
      <x:c r="F436" s="46"/>
      <x:c r="G436" s="38"/>
      <x:c r="H436" s="38"/>
      <x:c r="I436" s="40"/>
      <x:c r="J436" s="40" t="str">
        <x:f>IFERROR((C436-D436)/C436,"")</x:f>
      </x:c>
      <x:c r="K436" s="46" t="str">
        <x:f>IF(OR(F436="",H436=""),"",EDATE(F436,H436))</x:f>
      </x:c>
      <x:c r="L436" s="40" t="str">
        <x:f>J436</x:f>
      </x:c>
    </x:row>
    <x:row r="437">
      <x:c r="A437" s="38" t="str"/>
      <x:c r="B437" s="38" t="str"/>
      <x:c r="C437" s="39"/>
      <x:c r="D437" s="39"/>
      <x:c r="E437" s="39"/>
      <x:c r="F437" s="46"/>
      <x:c r="G437" s="38"/>
      <x:c r="H437" s="38"/>
      <x:c r="I437" s="40"/>
      <x:c r="J437" s="40" t="str">
        <x:f>IFERROR((C437-D437)/C437,"")</x:f>
      </x:c>
      <x:c r="K437" s="46" t="str">
        <x:f>IF(OR(F437="",H437=""),"",EDATE(F437,H437))</x:f>
      </x:c>
      <x:c r="L437" s="40" t="str">
        <x:f>J437</x:f>
      </x:c>
    </x:row>
    <x:row r="438">
      <x:c r="A438" s="38" t="str"/>
      <x:c r="B438" s="38" t="str"/>
      <x:c r="C438" s="39"/>
      <x:c r="D438" s="39"/>
      <x:c r="E438" s="39"/>
      <x:c r="F438" s="46"/>
      <x:c r="G438" s="38"/>
      <x:c r="H438" s="38"/>
      <x:c r="I438" s="40"/>
      <x:c r="J438" s="40" t="str">
        <x:f>IFERROR((C438-D438)/C438,"")</x:f>
      </x:c>
      <x:c r="K438" s="46" t="str">
        <x:f>IF(OR(F438="",H438=""),"",EDATE(F438,H438))</x:f>
      </x:c>
      <x:c r="L438" s="40" t="str">
        <x:f>J438</x:f>
      </x:c>
    </x:row>
    <x:row r="439">
      <x:c r="A439" s="38" t="str"/>
      <x:c r="B439" s="38" t="str"/>
      <x:c r="C439" s="39"/>
      <x:c r="D439" s="39"/>
      <x:c r="E439" s="39"/>
      <x:c r="F439" s="46"/>
      <x:c r="G439" s="38"/>
      <x:c r="H439" s="38"/>
      <x:c r="I439" s="40"/>
      <x:c r="J439" s="40" t="str">
        <x:f>IFERROR((C439-D439)/C439,"")</x:f>
      </x:c>
      <x:c r="K439" s="46" t="str">
        <x:f>IF(OR(F439="",H439=""),"",EDATE(F439,H439))</x:f>
      </x:c>
      <x:c r="L439" s="40" t="str">
        <x:f>J439</x:f>
      </x:c>
    </x:row>
    <x:row r="440">
      <x:c r="A440" s="38" t="str"/>
      <x:c r="B440" s="38" t="str"/>
      <x:c r="C440" s="39"/>
      <x:c r="D440" s="39"/>
      <x:c r="E440" s="39"/>
      <x:c r="F440" s="46"/>
      <x:c r="G440" s="38"/>
      <x:c r="H440" s="38"/>
      <x:c r="I440" s="40"/>
      <x:c r="J440" s="40" t="str">
        <x:f>IFERROR((C440-D440)/C440,"")</x:f>
      </x:c>
      <x:c r="K440" s="46" t="str">
        <x:f>IF(OR(F440="",H440=""),"",EDATE(F440,H440))</x:f>
      </x:c>
      <x:c r="L440" s="40" t="str">
        <x:f>J440</x:f>
      </x:c>
    </x:row>
    <x:row r="441">
      <x:c r="A441" s="38" t="str"/>
      <x:c r="B441" s="38" t="str"/>
      <x:c r="C441" s="39"/>
      <x:c r="D441" s="39"/>
      <x:c r="E441" s="39"/>
      <x:c r="F441" s="46"/>
      <x:c r="G441" s="38"/>
      <x:c r="H441" s="38"/>
      <x:c r="I441" s="40"/>
      <x:c r="J441" s="40" t="str">
        <x:f>IFERROR((C441-D441)/C441,"")</x:f>
      </x:c>
      <x:c r="K441" s="46" t="str">
        <x:f>IF(OR(F441="",H441=""),"",EDATE(F441,H441))</x:f>
      </x:c>
      <x:c r="L441" s="40" t="str">
        <x:f>J441</x:f>
      </x:c>
    </x:row>
    <x:row r="442">
      <x:c r="A442" s="38" t="str"/>
      <x:c r="B442" s="38" t="str"/>
      <x:c r="C442" s="39"/>
      <x:c r="D442" s="39"/>
      <x:c r="E442" s="39"/>
      <x:c r="F442" s="46"/>
      <x:c r="G442" s="38"/>
      <x:c r="H442" s="38"/>
      <x:c r="I442" s="40"/>
      <x:c r="J442" s="40" t="str">
        <x:f>IFERROR((C442-D442)/C442,"")</x:f>
      </x:c>
      <x:c r="K442" s="46" t="str">
        <x:f>IF(OR(F442="",H442=""),"",EDATE(F442,H442))</x:f>
      </x:c>
      <x:c r="L442" s="40" t="str">
        <x:f>J442</x:f>
      </x:c>
    </x:row>
    <x:row r="443">
      <x:c r="A443" s="38" t="str"/>
      <x:c r="B443" s="38" t="str"/>
      <x:c r="C443" s="39"/>
      <x:c r="D443" s="39"/>
      <x:c r="E443" s="39"/>
      <x:c r="F443" s="46"/>
      <x:c r="G443" s="38"/>
      <x:c r="H443" s="38"/>
      <x:c r="I443" s="40"/>
      <x:c r="J443" s="40" t="str">
        <x:f>IFERROR((C443-D443)/C443,"")</x:f>
      </x:c>
      <x:c r="K443" s="46" t="str">
        <x:f>IF(OR(F443="",H443=""),"",EDATE(F443,H443))</x:f>
      </x:c>
      <x:c r="L443" s="40" t="str">
        <x:f>J443</x:f>
      </x:c>
    </x:row>
    <x:row r="444">
      <x:c r="A444" s="38" t="str"/>
      <x:c r="B444" s="38" t="str"/>
      <x:c r="C444" s="39"/>
      <x:c r="D444" s="39"/>
      <x:c r="E444" s="39"/>
      <x:c r="F444" s="46"/>
      <x:c r="G444" s="38"/>
      <x:c r="H444" s="38"/>
      <x:c r="I444" s="40"/>
      <x:c r="J444" s="40" t="str">
        <x:f>IFERROR((C444-D444)/C444,"")</x:f>
      </x:c>
      <x:c r="K444" s="46" t="str">
        <x:f>IF(OR(F444="",H444=""),"",EDATE(F444,H444))</x:f>
      </x:c>
      <x:c r="L444" s="40" t="str">
        <x:f>J444</x:f>
      </x:c>
    </x:row>
    <x:row r="445">
      <x:c r="A445" s="38" t="str"/>
      <x:c r="B445" s="38" t="str"/>
      <x:c r="C445" s="39"/>
      <x:c r="D445" s="39"/>
      <x:c r="E445" s="39"/>
      <x:c r="F445" s="46"/>
      <x:c r="G445" s="38"/>
      <x:c r="H445" s="38"/>
      <x:c r="I445" s="40"/>
      <x:c r="J445" s="40" t="str">
        <x:f>IFERROR((C445-D445)/C445,"")</x:f>
      </x:c>
      <x:c r="K445" s="46" t="str">
        <x:f>IF(OR(F445="",H445=""),"",EDATE(F445,H445))</x:f>
      </x:c>
      <x:c r="L445" s="40" t="str">
        <x:f>J445</x:f>
      </x:c>
    </x:row>
    <x:row r="446">
      <x:c r="A446" s="38" t="str"/>
      <x:c r="B446" s="38" t="str"/>
      <x:c r="C446" s="39"/>
      <x:c r="D446" s="39"/>
      <x:c r="E446" s="39"/>
      <x:c r="F446" s="46"/>
      <x:c r="G446" s="38"/>
      <x:c r="H446" s="38"/>
      <x:c r="I446" s="40"/>
      <x:c r="J446" s="40" t="str">
        <x:f>IFERROR((C446-D446)/C446,"")</x:f>
      </x:c>
      <x:c r="K446" s="46" t="str">
        <x:f>IF(OR(F446="",H446=""),"",EDATE(F446,H446))</x:f>
      </x:c>
      <x:c r="L446" s="40" t="str">
        <x:f>J446</x:f>
      </x:c>
    </x:row>
    <x:row r="447">
      <x:c r="A447" s="38" t="str"/>
      <x:c r="B447" s="38" t="str"/>
      <x:c r="C447" s="39"/>
      <x:c r="D447" s="39"/>
      <x:c r="E447" s="39"/>
      <x:c r="F447" s="46"/>
      <x:c r="G447" s="38"/>
      <x:c r="H447" s="38"/>
      <x:c r="I447" s="40"/>
      <x:c r="J447" s="40" t="str">
        <x:f>IFERROR((C447-D447)/C447,"")</x:f>
      </x:c>
      <x:c r="K447" s="46" t="str">
        <x:f>IF(OR(F447="",H447=""),"",EDATE(F447,H447))</x:f>
      </x:c>
      <x:c r="L447" s="40" t="str">
        <x:f>J447</x:f>
      </x:c>
    </x:row>
    <x:row r="448">
      <x:c r="A448" s="38" t="str"/>
      <x:c r="B448" s="38" t="str"/>
      <x:c r="C448" s="39"/>
      <x:c r="D448" s="39"/>
      <x:c r="E448" s="39"/>
      <x:c r="F448" s="46"/>
      <x:c r="G448" s="38"/>
      <x:c r="H448" s="38"/>
      <x:c r="I448" s="40"/>
      <x:c r="J448" s="40" t="str">
        <x:f>IFERROR((C448-D448)/C448,"")</x:f>
      </x:c>
      <x:c r="K448" s="46" t="str">
        <x:f>IF(OR(F448="",H448=""),"",EDATE(F448,H448))</x:f>
      </x:c>
      <x:c r="L448" s="40" t="str">
        <x:f>J448</x:f>
      </x:c>
    </x:row>
    <x:row r="449">
      <x:c r="A449" s="38" t="str"/>
      <x:c r="B449" s="38" t="str"/>
      <x:c r="C449" s="39"/>
      <x:c r="D449" s="39"/>
      <x:c r="E449" s="39"/>
      <x:c r="F449" s="46"/>
      <x:c r="G449" s="38"/>
      <x:c r="H449" s="38"/>
      <x:c r="I449" s="40"/>
      <x:c r="J449" s="40" t="str">
        <x:f>IFERROR((C449-D449)/C449,"")</x:f>
      </x:c>
      <x:c r="K449" s="46" t="str">
        <x:f>IF(OR(F449="",H449=""),"",EDATE(F449,H449))</x:f>
      </x:c>
      <x:c r="L449" s="40" t="str">
        <x:f>J449</x:f>
      </x:c>
    </x:row>
    <x:row r="450">
      <x:c r="A450" s="38" t="str"/>
      <x:c r="B450" s="38" t="str"/>
      <x:c r="C450" s="39"/>
      <x:c r="D450" s="39"/>
      <x:c r="E450" s="39"/>
      <x:c r="F450" s="46"/>
      <x:c r="G450" s="38"/>
      <x:c r="H450" s="38"/>
      <x:c r="I450" s="40"/>
      <x:c r="J450" s="40" t="str">
        <x:f>IFERROR((C450-D450)/C450,"")</x:f>
      </x:c>
      <x:c r="K450" s="46" t="str">
        <x:f>IF(OR(F450="",H450=""),"",EDATE(F450,H450))</x:f>
      </x:c>
      <x:c r="L450" s="40" t="str">
        <x:f>J450</x:f>
      </x:c>
    </x:row>
    <x:row r="451">
      <x:c r="A451" s="38" t="str"/>
      <x:c r="B451" s="38" t="str"/>
      <x:c r="C451" s="39"/>
      <x:c r="D451" s="39"/>
      <x:c r="E451" s="39"/>
      <x:c r="F451" s="46"/>
      <x:c r="G451" s="38"/>
      <x:c r="H451" s="38"/>
      <x:c r="I451" s="40"/>
      <x:c r="J451" s="40" t="str">
        <x:f>IFERROR((C451-D451)/C451,"")</x:f>
      </x:c>
      <x:c r="K451" s="46" t="str">
        <x:f>IF(OR(F451="",H451=""),"",EDATE(F451,H451))</x:f>
      </x:c>
      <x:c r="L451" s="40" t="str">
        <x:f>J451</x:f>
      </x:c>
    </x:row>
    <x:row r="452">
      <x:c r="A452" s="38" t="str"/>
      <x:c r="B452" s="38" t="str"/>
      <x:c r="C452" s="39"/>
      <x:c r="D452" s="39"/>
      <x:c r="E452" s="39"/>
      <x:c r="F452" s="46"/>
      <x:c r="G452" s="38"/>
      <x:c r="H452" s="38"/>
      <x:c r="I452" s="40"/>
      <x:c r="J452" s="40" t="str">
        <x:f>IFERROR((C452-D452)/C452,"")</x:f>
      </x:c>
      <x:c r="K452" s="46" t="str">
        <x:f>IF(OR(F452="",H452=""),"",EDATE(F452,H452))</x:f>
      </x:c>
      <x:c r="L452" s="40" t="str">
        <x:f>J452</x:f>
      </x:c>
    </x:row>
    <x:row r="453">
      <x:c r="A453" s="38" t="str"/>
      <x:c r="B453" s="38" t="str"/>
      <x:c r="C453" s="39"/>
      <x:c r="D453" s="39"/>
      <x:c r="E453" s="39"/>
      <x:c r="F453" s="46"/>
      <x:c r="G453" s="38"/>
      <x:c r="H453" s="38"/>
      <x:c r="I453" s="40"/>
      <x:c r="J453" s="40" t="str">
        <x:f>IFERROR((C453-D453)/C453,"")</x:f>
      </x:c>
      <x:c r="K453" s="46" t="str">
        <x:f>IF(OR(F453="",H453=""),"",EDATE(F453,H453))</x:f>
      </x:c>
      <x:c r="L453" s="40" t="str">
        <x:f>J453</x:f>
      </x:c>
    </x:row>
    <x:row r="454">
      <x:c r="A454" s="38" t="str"/>
      <x:c r="B454" s="38" t="str"/>
      <x:c r="C454" s="39"/>
      <x:c r="D454" s="39"/>
      <x:c r="E454" s="39"/>
      <x:c r="F454" s="46"/>
      <x:c r="G454" s="38"/>
      <x:c r="H454" s="38"/>
      <x:c r="I454" s="40"/>
      <x:c r="J454" s="40" t="str">
        <x:f>IFERROR((C454-D454)/C454,"")</x:f>
      </x:c>
      <x:c r="K454" s="46" t="str">
        <x:f>IF(OR(F454="",H454=""),"",EDATE(F454,H454))</x:f>
      </x:c>
      <x:c r="L454" s="40" t="str">
        <x:f>J454</x:f>
      </x:c>
    </x:row>
    <x:row r="455">
      <x:c r="A455" s="38" t="str"/>
      <x:c r="B455" s="38" t="str"/>
      <x:c r="C455" s="39"/>
      <x:c r="D455" s="39"/>
      <x:c r="E455" s="39"/>
      <x:c r="F455" s="46"/>
      <x:c r="G455" s="38"/>
      <x:c r="H455" s="38"/>
      <x:c r="I455" s="40"/>
      <x:c r="J455" s="40" t="str">
        <x:f>IFERROR((C455-D455)/C455,"")</x:f>
      </x:c>
      <x:c r="K455" s="46" t="str">
        <x:f>IF(OR(F455="",H455=""),"",EDATE(F455,H455))</x:f>
      </x:c>
      <x:c r="L455" s="40" t="str">
        <x:f>J455</x:f>
      </x:c>
    </x:row>
    <x:row r="456">
      <x:c r="A456" s="38" t="str"/>
      <x:c r="B456" s="38" t="str"/>
      <x:c r="C456" s="39"/>
      <x:c r="D456" s="39"/>
      <x:c r="E456" s="39"/>
      <x:c r="F456" s="46"/>
      <x:c r="G456" s="38"/>
      <x:c r="H456" s="38"/>
      <x:c r="I456" s="40"/>
      <x:c r="J456" s="40" t="str">
        <x:f>IFERROR((C456-D456)/C456,"")</x:f>
      </x:c>
      <x:c r="K456" s="46" t="str">
        <x:f>IF(OR(F456="",H456=""),"",EDATE(F456,H456))</x:f>
      </x:c>
      <x:c r="L456" s="40" t="str">
        <x:f>J456</x:f>
      </x:c>
    </x:row>
    <x:row r="457">
      <x:c r="A457" s="38" t="str"/>
      <x:c r="B457" s="38" t="str"/>
      <x:c r="C457" s="39"/>
      <x:c r="D457" s="39"/>
      <x:c r="E457" s="39"/>
      <x:c r="F457" s="46"/>
      <x:c r="G457" s="38"/>
      <x:c r="H457" s="38"/>
      <x:c r="I457" s="40"/>
      <x:c r="J457" s="40" t="str">
        <x:f>IFERROR((C457-D457)/C457,"")</x:f>
      </x:c>
      <x:c r="K457" s="46" t="str">
        <x:f>IF(OR(F457="",H457=""),"",EDATE(F457,H457))</x:f>
      </x:c>
      <x:c r="L457" s="40" t="str">
        <x:f>J457</x:f>
      </x:c>
    </x:row>
    <x:row r="458">
      <x:c r="A458" s="38" t="str"/>
      <x:c r="B458" s="38" t="str"/>
      <x:c r="C458" s="39"/>
      <x:c r="D458" s="39"/>
      <x:c r="E458" s="39"/>
      <x:c r="F458" s="46"/>
      <x:c r="G458" s="38"/>
      <x:c r="H458" s="38"/>
      <x:c r="I458" s="40"/>
      <x:c r="J458" s="40" t="str">
        <x:f>IFERROR((C458-D458)/C458,"")</x:f>
      </x:c>
      <x:c r="K458" s="46" t="str">
        <x:f>IF(OR(F458="",H458=""),"",EDATE(F458,H458))</x:f>
      </x:c>
      <x:c r="L458" s="40" t="str">
        <x:f>J458</x:f>
      </x:c>
    </x:row>
    <x:row r="459">
      <x:c r="A459" s="38" t="str"/>
      <x:c r="B459" s="38" t="str"/>
      <x:c r="C459" s="39"/>
      <x:c r="D459" s="39"/>
      <x:c r="E459" s="39"/>
      <x:c r="F459" s="46"/>
      <x:c r="G459" s="38"/>
      <x:c r="H459" s="38"/>
      <x:c r="I459" s="40"/>
      <x:c r="J459" s="40" t="str">
        <x:f>IFERROR((C459-D459)/C459,"")</x:f>
      </x:c>
      <x:c r="K459" s="46" t="str">
        <x:f>IF(OR(F459="",H459=""),"",EDATE(F459,H459))</x:f>
      </x:c>
      <x:c r="L459" s="40" t="str">
        <x:f>J459</x:f>
      </x:c>
    </x:row>
    <x:row r="460">
      <x:c r="A460" s="38" t="str"/>
      <x:c r="B460" s="38" t="str"/>
      <x:c r="C460" s="39"/>
      <x:c r="D460" s="39"/>
      <x:c r="E460" s="39"/>
      <x:c r="F460" s="46"/>
      <x:c r="G460" s="38"/>
      <x:c r="H460" s="38"/>
      <x:c r="I460" s="40"/>
      <x:c r="J460" s="40" t="str">
        <x:f>IFERROR((C460-D460)/C460,"")</x:f>
      </x:c>
      <x:c r="K460" s="46" t="str">
        <x:f>IF(OR(F460="",H460=""),"",EDATE(F460,H460))</x:f>
      </x:c>
      <x:c r="L460" s="40" t="str">
        <x:f>J460</x:f>
      </x:c>
    </x:row>
    <x:row r="461">
      <x:c r="A461" s="38" t="str"/>
      <x:c r="B461" s="38" t="str"/>
      <x:c r="C461" s="39"/>
      <x:c r="D461" s="39"/>
      <x:c r="E461" s="39"/>
      <x:c r="F461" s="46"/>
      <x:c r="G461" s="38"/>
      <x:c r="H461" s="38"/>
      <x:c r="I461" s="40"/>
      <x:c r="J461" s="40" t="str">
        <x:f>IFERROR((C461-D461)/C461,"")</x:f>
      </x:c>
      <x:c r="K461" s="46" t="str">
        <x:f>IF(OR(F461="",H461=""),"",EDATE(F461,H461))</x:f>
      </x:c>
      <x:c r="L461" s="40" t="str">
        <x:f>J461</x:f>
      </x:c>
    </x:row>
    <x:row r="462">
      <x:c r="A462" s="38" t="str"/>
      <x:c r="B462" s="38" t="str"/>
      <x:c r="C462" s="39"/>
      <x:c r="D462" s="39"/>
      <x:c r="E462" s="39"/>
      <x:c r="F462" s="46"/>
      <x:c r="G462" s="38"/>
      <x:c r="H462" s="38"/>
      <x:c r="I462" s="40"/>
      <x:c r="J462" s="40" t="str">
        <x:f>IFERROR((C462-D462)/C462,"")</x:f>
      </x:c>
      <x:c r="K462" s="46" t="str">
        <x:f>IF(OR(F462="",H462=""),"",EDATE(F462,H462))</x:f>
      </x:c>
      <x:c r="L462" s="40" t="str">
        <x:f>J462</x:f>
      </x:c>
    </x:row>
    <x:row r="463">
      <x:c r="A463" s="38" t="str"/>
      <x:c r="B463" s="38" t="str"/>
      <x:c r="C463" s="39"/>
      <x:c r="D463" s="39"/>
      <x:c r="E463" s="39"/>
      <x:c r="F463" s="46"/>
      <x:c r="G463" s="38"/>
      <x:c r="H463" s="38"/>
      <x:c r="I463" s="40"/>
      <x:c r="J463" s="40" t="str">
        <x:f>IFERROR((C463-D463)/C463,"")</x:f>
      </x:c>
      <x:c r="K463" s="46" t="str">
        <x:f>IF(OR(F463="",H463=""),"",EDATE(F463,H463))</x:f>
      </x:c>
      <x:c r="L463" s="40" t="str">
        <x:f>J463</x:f>
      </x:c>
    </x:row>
    <x:row r="464">
      <x:c r="A464" s="38" t="str"/>
      <x:c r="B464" s="38" t="str"/>
      <x:c r="C464" s="39"/>
      <x:c r="D464" s="39"/>
      <x:c r="E464" s="39"/>
      <x:c r="F464" s="46"/>
      <x:c r="G464" s="38"/>
      <x:c r="H464" s="38"/>
      <x:c r="I464" s="40"/>
      <x:c r="J464" s="40" t="str">
        <x:f>IFERROR((C464-D464)/C464,"")</x:f>
      </x:c>
      <x:c r="K464" s="46" t="str">
        <x:f>IF(OR(F464="",H464=""),"",EDATE(F464,H464))</x:f>
      </x:c>
      <x:c r="L464" s="40" t="str">
        <x:f>J464</x:f>
      </x:c>
    </x:row>
    <x:row r="465">
      <x:c r="A465" s="38" t="str"/>
      <x:c r="B465" s="38" t="str"/>
      <x:c r="C465" s="39"/>
      <x:c r="D465" s="39"/>
      <x:c r="E465" s="39"/>
      <x:c r="F465" s="46"/>
      <x:c r="G465" s="38"/>
      <x:c r="H465" s="38"/>
      <x:c r="I465" s="40"/>
      <x:c r="J465" s="40" t="str">
        <x:f>IFERROR((C465-D465)/C465,"")</x:f>
      </x:c>
      <x:c r="K465" s="46" t="str">
        <x:f>IF(OR(F465="",H465=""),"",EDATE(F465,H465))</x:f>
      </x:c>
      <x:c r="L465" s="40" t="str">
        <x:f>J465</x:f>
      </x:c>
    </x:row>
    <x:row r="466">
      <x:c r="A466" s="38" t="str"/>
      <x:c r="B466" s="38" t="str"/>
      <x:c r="C466" s="39"/>
      <x:c r="D466" s="39"/>
      <x:c r="E466" s="39"/>
      <x:c r="F466" s="46"/>
      <x:c r="G466" s="38"/>
      <x:c r="H466" s="38"/>
      <x:c r="I466" s="40"/>
      <x:c r="J466" s="40" t="str">
        <x:f>IFERROR((C466-D466)/C466,"")</x:f>
      </x:c>
      <x:c r="K466" s="46" t="str">
        <x:f>IF(OR(F466="",H466=""),"",EDATE(F466,H466))</x:f>
      </x:c>
      <x:c r="L466" s="40" t="str">
        <x:f>J466</x:f>
      </x:c>
    </x:row>
    <x:row r="467">
      <x:c r="A467" s="38" t="str"/>
      <x:c r="B467" s="38" t="str"/>
      <x:c r="C467" s="39"/>
      <x:c r="D467" s="39"/>
      <x:c r="E467" s="39"/>
      <x:c r="F467" s="46"/>
      <x:c r="G467" s="38"/>
      <x:c r="H467" s="38"/>
      <x:c r="I467" s="40"/>
      <x:c r="J467" s="40" t="str">
        <x:f>IFERROR((C467-D467)/C467,"")</x:f>
      </x:c>
      <x:c r="K467" s="46" t="str">
        <x:f>IF(OR(F467="",H467=""),"",EDATE(F467,H467))</x:f>
      </x:c>
      <x:c r="L467" s="40" t="str">
        <x:f>J467</x:f>
      </x:c>
    </x:row>
    <x:row r="468">
      <x:c r="A468" s="38" t="str"/>
      <x:c r="B468" s="38" t="str"/>
      <x:c r="C468" s="39"/>
      <x:c r="D468" s="39"/>
      <x:c r="E468" s="39"/>
      <x:c r="F468" s="46"/>
      <x:c r="G468" s="38"/>
      <x:c r="H468" s="38"/>
      <x:c r="I468" s="40"/>
      <x:c r="J468" s="40" t="str">
        <x:f>IFERROR((C468-D468)/C468,"")</x:f>
      </x:c>
      <x:c r="K468" s="46" t="str">
        <x:f>IF(OR(F468="",H468=""),"",EDATE(F468,H468))</x:f>
      </x:c>
      <x:c r="L468" s="40" t="str">
        <x:f>J468</x:f>
      </x:c>
    </x:row>
    <x:row r="469">
      <x:c r="A469" s="38" t="str"/>
      <x:c r="B469" s="38" t="str"/>
      <x:c r="C469" s="39"/>
      <x:c r="D469" s="39"/>
      <x:c r="E469" s="39"/>
      <x:c r="F469" s="46"/>
      <x:c r="G469" s="38"/>
      <x:c r="H469" s="38"/>
      <x:c r="I469" s="40"/>
      <x:c r="J469" s="40" t="str">
        <x:f>IFERROR((C469-D469)/C469,"")</x:f>
      </x:c>
      <x:c r="K469" s="46" t="str">
        <x:f>IF(OR(F469="",H469=""),"",EDATE(F469,H469))</x:f>
      </x:c>
      <x:c r="L469" s="40" t="str">
        <x:f>J469</x:f>
      </x:c>
    </x:row>
    <x:row r="470">
      <x:c r="A470" s="38" t="str"/>
      <x:c r="B470" s="38" t="str"/>
      <x:c r="C470" s="39"/>
      <x:c r="D470" s="39"/>
      <x:c r="E470" s="39"/>
      <x:c r="F470" s="46"/>
      <x:c r="G470" s="38"/>
      <x:c r="H470" s="38"/>
      <x:c r="I470" s="40"/>
      <x:c r="J470" s="40" t="str">
        <x:f>IFERROR((C470-D470)/C470,"")</x:f>
      </x:c>
      <x:c r="K470" s="46" t="str">
        <x:f>IF(OR(F470="",H470=""),"",EDATE(F470,H470))</x:f>
      </x:c>
      <x:c r="L470" s="40" t="str">
        <x:f>J470</x:f>
      </x:c>
    </x:row>
    <x:row r="471">
      <x:c r="A471" s="38" t="str"/>
      <x:c r="B471" s="38" t="str"/>
      <x:c r="C471" s="39"/>
      <x:c r="D471" s="39"/>
      <x:c r="E471" s="39"/>
      <x:c r="F471" s="46"/>
      <x:c r="G471" s="38"/>
      <x:c r="H471" s="38"/>
      <x:c r="I471" s="40"/>
      <x:c r="J471" s="40" t="str">
        <x:f>IFERROR((C471-D471)/C471,"")</x:f>
      </x:c>
      <x:c r="K471" s="46" t="str">
        <x:f>IF(OR(F471="",H471=""),"",EDATE(F471,H471))</x:f>
      </x:c>
      <x:c r="L471" s="40" t="str">
        <x:f>J471</x:f>
      </x:c>
    </x:row>
    <x:row r="472">
      <x:c r="A472" s="38" t="str"/>
      <x:c r="B472" s="38" t="str"/>
      <x:c r="C472" s="39"/>
      <x:c r="D472" s="39"/>
      <x:c r="E472" s="39"/>
      <x:c r="F472" s="46"/>
      <x:c r="G472" s="38"/>
      <x:c r="H472" s="38"/>
      <x:c r="I472" s="40"/>
      <x:c r="J472" s="40" t="str">
        <x:f>IFERROR((C472-D472)/C472,"")</x:f>
      </x:c>
      <x:c r="K472" s="46" t="str">
        <x:f>IF(OR(F472="",H472=""),"",EDATE(F472,H472))</x:f>
      </x:c>
      <x:c r="L472" s="40" t="str">
        <x:f>J472</x:f>
      </x:c>
    </x:row>
    <x:row r="473">
      <x:c r="A473" s="38" t="str"/>
      <x:c r="B473" s="38" t="str"/>
      <x:c r="C473" s="39"/>
      <x:c r="D473" s="39"/>
      <x:c r="E473" s="39"/>
      <x:c r="F473" s="46"/>
      <x:c r="G473" s="38"/>
      <x:c r="H473" s="38"/>
      <x:c r="I473" s="40"/>
      <x:c r="J473" s="40" t="str">
        <x:f>IFERROR((C473-D473)/C473,"")</x:f>
      </x:c>
      <x:c r="K473" s="46" t="str">
        <x:f>IF(OR(F473="",H473=""),"",EDATE(F473,H473))</x:f>
      </x:c>
      <x:c r="L473" s="40" t="str">
        <x:f>J473</x:f>
      </x:c>
    </x:row>
    <x:row r="474">
      <x:c r="A474" s="38" t="str"/>
      <x:c r="B474" s="38" t="str"/>
      <x:c r="C474" s="39"/>
      <x:c r="D474" s="39"/>
      <x:c r="E474" s="39"/>
      <x:c r="F474" s="46"/>
      <x:c r="G474" s="38"/>
      <x:c r="H474" s="38"/>
      <x:c r="I474" s="40"/>
      <x:c r="J474" s="40" t="str">
        <x:f>IFERROR((C474-D474)/C474,"")</x:f>
      </x:c>
      <x:c r="K474" s="46" t="str">
        <x:f>IF(OR(F474="",H474=""),"",EDATE(F474,H474))</x:f>
      </x:c>
      <x:c r="L474" s="40" t="str">
        <x:f>J474</x:f>
      </x:c>
    </x:row>
    <x:row r="475">
      <x:c r="A475" s="38" t="str"/>
      <x:c r="B475" s="38" t="str"/>
      <x:c r="C475" s="39"/>
      <x:c r="D475" s="39"/>
      <x:c r="E475" s="39"/>
      <x:c r="F475" s="46"/>
      <x:c r="G475" s="38"/>
      <x:c r="H475" s="38"/>
      <x:c r="I475" s="40"/>
      <x:c r="J475" s="40" t="str">
        <x:f>IFERROR((C475-D475)/C475,"")</x:f>
      </x:c>
      <x:c r="K475" s="46" t="str">
        <x:f>IF(OR(F475="",H475=""),"",EDATE(F475,H475))</x:f>
      </x:c>
      <x:c r="L475" s="40" t="str">
        <x:f>J475</x:f>
      </x:c>
    </x:row>
    <x:row r="476">
      <x:c r="A476" s="38" t="str"/>
      <x:c r="B476" s="38" t="str"/>
      <x:c r="C476" s="39"/>
      <x:c r="D476" s="39"/>
      <x:c r="E476" s="39"/>
      <x:c r="F476" s="46"/>
      <x:c r="G476" s="38"/>
      <x:c r="H476" s="38"/>
      <x:c r="I476" s="40"/>
      <x:c r="J476" s="40" t="str">
        <x:f>IFERROR((C476-D476)/C476,"")</x:f>
      </x:c>
      <x:c r="K476" s="46" t="str">
        <x:f>IF(OR(F476="",H476=""),"",EDATE(F476,H476))</x:f>
      </x:c>
      <x:c r="L476" s="40" t="str">
        <x:f>J476</x:f>
      </x:c>
    </x:row>
    <x:row r="477">
      <x:c r="A477" s="38" t="str"/>
      <x:c r="B477" s="38" t="str"/>
      <x:c r="C477" s="39"/>
      <x:c r="D477" s="39"/>
      <x:c r="E477" s="39"/>
      <x:c r="F477" s="46"/>
      <x:c r="G477" s="38"/>
      <x:c r="H477" s="38"/>
      <x:c r="I477" s="40"/>
      <x:c r="J477" s="40" t="str">
        <x:f>IFERROR((C477-D477)/C477,"")</x:f>
      </x:c>
      <x:c r="K477" s="46" t="str">
        <x:f>IF(OR(F477="",H477=""),"",EDATE(F477,H477))</x:f>
      </x:c>
      <x:c r="L477" s="40" t="str">
        <x:f>J477</x:f>
      </x:c>
    </x:row>
    <x:row r="478">
      <x:c r="A478" s="38" t="str"/>
      <x:c r="B478" s="38" t="str"/>
      <x:c r="C478" s="39"/>
      <x:c r="D478" s="39"/>
      <x:c r="E478" s="39"/>
      <x:c r="F478" s="46"/>
      <x:c r="G478" s="38"/>
      <x:c r="H478" s="38"/>
      <x:c r="I478" s="40"/>
      <x:c r="J478" s="40" t="str">
        <x:f>IFERROR((C478-D478)/C478,"")</x:f>
      </x:c>
      <x:c r="K478" s="46" t="str">
        <x:f>IF(OR(F478="",H478=""),"",EDATE(F478,H478))</x:f>
      </x:c>
      <x:c r="L478" s="40" t="str">
        <x:f>J478</x:f>
      </x:c>
    </x:row>
    <x:row r="479">
      <x:c r="A479" s="38" t="str"/>
      <x:c r="B479" s="38" t="str"/>
      <x:c r="C479" s="39"/>
      <x:c r="D479" s="39"/>
      <x:c r="E479" s="39"/>
      <x:c r="F479" s="46"/>
      <x:c r="G479" s="38"/>
      <x:c r="H479" s="38"/>
      <x:c r="I479" s="40"/>
      <x:c r="J479" s="40" t="str">
        <x:f>IFERROR((C479-D479)/C479,"")</x:f>
      </x:c>
      <x:c r="K479" s="46" t="str">
        <x:f>IF(OR(F479="",H479=""),"",EDATE(F479,H479))</x:f>
      </x:c>
      <x:c r="L479" s="40" t="str">
        <x:f>J479</x:f>
      </x:c>
    </x:row>
    <x:row r="480">
      <x:c r="A480" s="38" t="str"/>
      <x:c r="B480" s="38" t="str"/>
      <x:c r="C480" s="39"/>
      <x:c r="D480" s="39"/>
      <x:c r="E480" s="39"/>
      <x:c r="F480" s="46"/>
      <x:c r="G480" s="38"/>
      <x:c r="H480" s="38"/>
      <x:c r="I480" s="40"/>
      <x:c r="J480" s="40" t="str">
        <x:f>IFERROR((C480-D480)/C480,"")</x:f>
      </x:c>
      <x:c r="K480" s="46" t="str">
        <x:f>IF(OR(F480="",H480=""),"",EDATE(F480,H480))</x:f>
      </x:c>
      <x:c r="L480" s="40" t="str">
        <x:f>J480</x:f>
      </x:c>
    </x:row>
    <x:row r="481">
      <x:c r="A481" s="38" t="str"/>
      <x:c r="B481" s="38" t="str"/>
      <x:c r="C481" s="39"/>
      <x:c r="D481" s="39"/>
      <x:c r="E481" s="39"/>
      <x:c r="F481" s="46"/>
      <x:c r="G481" s="38"/>
      <x:c r="H481" s="38"/>
      <x:c r="I481" s="40"/>
      <x:c r="J481" s="40" t="str">
        <x:f>IFERROR((C481-D481)/C481,"")</x:f>
      </x:c>
      <x:c r="K481" s="46" t="str">
        <x:f>IF(OR(F481="",H481=""),"",EDATE(F481,H481))</x:f>
      </x:c>
      <x:c r="L481" s="40" t="str">
        <x:f>J481</x:f>
      </x:c>
    </x:row>
    <x:row r="482">
      <x:c r="A482" s="38" t="str"/>
      <x:c r="B482" s="38" t="str"/>
      <x:c r="C482" s="39"/>
      <x:c r="D482" s="39"/>
      <x:c r="E482" s="39"/>
      <x:c r="F482" s="46"/>
      <x:c r="G482" s="38"/>
      <x:c r="H482" s="38"/>
      <x:c r="I482" s="40"/>
      <x:c r="J482" s="40" t="str">
        <x:f>IFERROR((C482-D482)/C482,"")</x:f>
      </x:c>
      <x:c r="K482" s="46" t="str">
        <x:f>IF(OR(F482="",H482=""),"",EDATE(F482,H482))</x:f>
      </x:c>
      <x:c r="L482" s="40" t="str">
        <x:f>J482</x:f>
      </x:c>
    </x:row>
    <x:row r="483">
      <x:c r="A483" s="38" t="str"/>
      <x:c r="B483" s="38" t="str"/>
      <x:c r="C483" s="39"/>
      <x:c r="D483" s="39"/>
      <x:c r="E483" s="39"/>
      <x:c r="F483" s="46"/>
      <x:c r="G483" s="38"/>
      <x:c r="H483" s="38"/>
      <x:c r="I483" s="40"/>
      <x:c r="J483" s="40" t="str">
        <x:f>IFERROR((C483-D483)/C483,"")</x:f>
      </x:c>
      <x:c r="K483" s="46" t="str">
        <x:f>IF(OR(F483="",H483=""),"",EDATE(F483,H483))</x:f>
      </x:c>
      <x:c r="L483" s="40" t="str">
        <x:f>J483</x:f>
      </x:c>
    </x:row>
    <x:row r="484">
      <x:c r="A484" s="38" t="str"/>
      <x:c r="B484" s="38" t="str"/>
      <x:c r="C484" s="39"/>
      <x:c r="D484" s="39"/>
      <x:c r="E484" s="39"/>
      <x:c r="F484" s="46"/>
      <x:c r="G484" s="38"/>
      <x:c r="H484" s="38"/>
      <x:c r="I484" s="40"/>
      <x:c r="J484" s="40" t="str">
        <x:f>IFERROR((C484-D484)/C484,"")</x:f>
      </x:c>
      <x:c r="K484" s="46" t="str">
        <x:f>IF(OR(F484="",H484=""),"",EDATE(F484,H484))</x:f>
      </x:c>
      <x:c r="L484" s="40" t="str">
        <x:f>J484</x:f>
      </x:c>
    </x:row>
    <x:row r="485">
      <x:c r="A485" s="38" t="str"/>
      <x:c r="B485" s="38" t="str"/>
      <x:c r="C485" s="39"/>
      <x:c r="D485" s="39"/>
      <x:c r="E485" s="39"/>
      <x:c r="F485" s="46"/>
      <x:c r="G485" s="38"/>
      <x:c r="H485" s="38"/>
      <x:c r="I485" s="40"/>
      <x:c r="J485" s="40" t="str">
        <x:f>IFERROR((C485-D485)/C485,"")</x:f>
      </x:c>
      <x:c r="K485" s="46" t="str">
        <x:f>IF(OR(F485="",H485=""),"",EDATE(F485,H485))</x:f>
      </x:c>
      <x:c r="L485" s="40" t="str">
        <x:f>J485</x:f>
      </x:c>
    </x:row>
    <x:row r="486">
      <x:c r="A486" s="38" t="str"/>
      <x:c r="B486" s="38" t="str"/>
      <x:c r="C486" s="39"/>
      <x:c r="D486" s="39"/>
      <x:c r="E486" s="39"/>
      <x:c r="F486" s="46"/>
      <x:c r="G486" s="38"/>
      <x:c r="H486" s="38"/>
      <x:c r="I486" s="40"/>
      <x:c r="J486" s="40" t="str">
        <x:f>IFERROR((C486-D486)/C486,"")</x:f>
      </x:c>
      <x:c r="K486" s="46" t="str">
        <x:f>IF(OR(F486="",H486=""),"",EDATE(F486,H486))</x:f>
      </x:c>
      <x:c r="L486" s="40" t="str">
        <x:f>J486</x:f>
      </x:c>
    </x:row>
    <x:row r="487">
      <x:c r="A487" s="38" t="str"/>
      <x:c r="B487" s="38" t="str"/>
      <x:c r="C487" s="39"/>
      <x:c r="D487" s="39"/>
      <x:c r="E487" s="39"/>
      <x:c r="F487" s="46"/>
      <x:c r="G487" s="38"/>
      <x:c r="H487" s="38"/>
      <x:c r="I487" s="40"/>
      <x:c r="J487" s="40" t="str">
        <x:f>IFERROR((C487-D487)/C487,"")</x:f>
      </x:c>
      <x:c r="K487" s="46" t="str">
        <x:f>IF(OR(F487="",H487=""),"",EDATE(F487,H487))</x:f>
      </x:c>
      <x:c r="L487" s="40" t="str">
        <x:f>J487</x:f>
      </x:c>
    </x:row>
    <x:row r="488">
      <x:c r="A488" s="38" t="str"/>
      <x:c r="B488" s="38" t="str"/>
      <x:c r="C488" s="39"/>
      <x:c r="D488" s="39"/>
      <x:c r="E488" s="39"/>
      <x:c r="F488" s="46"/>
      <x:c r="G488" s="38"/>
      <x:c r="H488" s="38"/>
      <x:c r="I488" s="40"/>
      <x:c r="J488" s="40" t="str">
        <x:f>IFERROR((C488-D488)/C488,"")</x:f>
      </x:c>
      <x:c r="K488" s="46" t="str">
        <x:f>IF(OR(F488="",H488=""),"",EDATE(F488,H488))</x:f>
      </x:c>
      <x:c r="L488" s="40" t="str">
        <x:f>J488</x:f>
      </x:c>
    </x:row>
    <x:row r="489">
      <x:c r="A489" s="38" t="str"/>
      <x:c r="B489" s="38" t="str"/>
      <x:c r="C489" s="39"/>
      <x:c r="D489" s="39"/>
      <x:c r="E489" s="39"/>
      <x:c r="F489" s="46"/>
      <x:c r="G489" s="38"/>
      <x:c r="H489" s="38"/>
      <x:c r="I489" s="40"/>
      <x:c r="J489" s="40" t="str">
        <x:f>IFERROR((C489-D489)/C489,"")</x:f>
      </x:c>
      <x:c r="K489" s="46" t="str">
        <x:f>IF(OR(F489="",H489=""),"",EDATE(F489,H489))</x:f>
      </x:c>
      <x:c r="L489" s="40" t="str">
        <x:f>J489</x:f>
      </x:c>
    </x:row>
    <x:row r="490">
      <x:c r="A490" s="38" t="str"/>
      <x:c r="B490" s="38" t="str"/>
      <x:c r="C490" s="39"/>
      <x:c r="D490" s="39"/>
      <x:c r="E490" s="39"/>
      <x:c r="F490" s="46"/>
      <x:c r="G490" s="38"/>
      <x:c r="H490" s="38"/>
      <x:c r="I490" s="40"/>
      <x:c r="J490" s="40" t="str">
        <x:f>IFERROR((C490-D490)/C490,"")</x:f>
      </x:c>
      <x:c r="K490" s="46" t="str">
        <x:f>IF(OR(F490="",H490=""),"",EDATE(F490,H490))</x:f>
      </x:c>
      <x:c r="L490" s="40" t="str">
        <x:f>J490</x:f>
      </x:c>
    </x:row>
    <x:row r="491">
      <x:c r="A491" s="38" t="str"/>
      <x:c r="B491" s="38" t="str"/>
      <x:c r="C491" s="39"/>
      <x:c r="D491" s="39"/>
      <x:c r="E491" s="39"/>
      <x:c r="F491" s="46"/>
      <x:c r="G491" s="38"/>
      <x:c r="H491" s="38"/>
      <x:c r="I491" s="40"/>
      <x:c r="J491" s="40" t="str">
        <x:f>IFERROR((C491-D491)/C491,"")</x:f>
      </x:c>
      <x:c r="K491" s="46" t="str">
        <x:f>IF(OR(F491="",H491=""),"",EDATE(F491,H491))</x:f>
      </x:c>
      <x:c r="L491" s="40" t="str">
        <x:f>J491</x:f>
      </x:c>
    </x:row>
    <x:row r="492">
      <x:c r="A492" s="38" t="str"/>
      <x:c r="B492" s="38" t="str"/>
      <x:c r="C492" s="39"/>
      <x:c r="D492" s="39"/>
      <x:c r="E492" s="39"/>
      <x:c r="F492" s="46"/>
      <x:c r="G492" s="38"/>
      <x:c r="H492" s="38"/>
      <x:c r="I492" s="40"/>
      <x:c r="J492" s="40" t="str">
        <x:f>IFERROR((C492-D492)/C492,"")</x:f>
      </x:c>
      <x:c r="K492" s="46" t="str">
        <x:f>IF(OR(F492="",H492=""),"",EDATE(F492,H492))</x:f>
      </x:c>
      <x:c r="L492" s="40" t="str">
        <x:f>J492</x:f>
      </x:c>
    </x:row>
    <x:row r="493">
      <x:c r="A493" s="38" t="str"/>
      <x:c r="B493" s="38" t="str"/>
      <x:c r="C493" s="39"/>
      <x:c r="D493" s="39"/>
      <x:c r="E493" s="39"/>
      <x:c r="F493" s="46"/>
      <x:c r="G493" s="38"/>
      <x:c r="H493" s="38"/>
      <x:c r="I493" s="40"/>
      <x:c r="J493" s="40" t="str">
        <x:f>IFERROR((C493-D493)/C493,"")</x:f>
      </x:c>
      <x:c r="K493" s="46" t="str">
        <x:f>IF(OR(F493="",H493=""),"",EDATE(F493,H493))</x:f>
      </x:c>
      <x:c r="L493" s="40" t="str">
        <x:f>J493</x:f>
      </x:c>
    </x:row>
    <x:row r="494">
      <x:c r="A494" s="38" t="str"/>
      <x:c r="B494" s="38" t="str"/>
      <x:c r="C494" s="39"/>
      <x:c r="D494" s="39"/>
      <x:c r="E494" s="39"/>
      <x:c r="F494" s="46"/>
      <x:c r="G494" s="38"/>
      <x:c r="H494" s="38"/>
      <x:c r="I494" s="40"/>
      <x:c r="J494" s="40" t="str">
        <x:f>IFERROR((C494-D494)/C494,"")</x:f>
      </x:c>
      <x:c r="K494" s="46" t="str">
        <x:f>IF(OR(F494="",H494=""),"",EDATE(F494,H494))</x:f>
      </x:c>
      <x:c r="L494" s="40" t="str">
        <x:f>J494</x:f>
      </x:c>
    </x:row>
    <x:row r="495">
      <x:c r="A495" s="38" t="str"/>
      <x:c r="B495" s="38" t="str"/>
      <x:c r="C495" s="39"/>
      <x:c r="D495" s="39"/>
      <x:c r="E495" s="39"/>
      <x:c r="F495" s="46"/>
      <x:c r="G495" s="38"/>
      <x:c r="H495" s="38"/>
      <x:c r="I495" s="40"/>
      <x:c r="J495" s="40" t="str">
        <x:f>IFERROR((C495-D495)/C495,"")</x:f>
      </x:c>
      <x:c r="K495" s="46" t="str">
        <x:f>IF(OR(F495="",H495=""),"",EDATE(F495,H495))</x:f>
      </x:c>
      <x:c r="L495" s="40" t="str">
        <x:f>J495</x:f>
      </x:c>
    </x:row>
    <x:row r="496">
      <x:c r="A496" s="38" t="str"/>
      <x:c r="B496" s="38" t="str"/>
      <x:c r="C496" s="39"/>
      <x:c r="D496" s="39"/>
      <x:c r="E496" s="39"/>
      <x:c r="F496" s="46"/>
      <x:c r="G496" s="38"/>
      <x:c r="H496" s="38"/>
      <x:c r="I496" s="40"/>
      <x:c r="J496" s="40" t="str">
        <x:f>IFERROR((C496-D496)/C496,"")</x:f>
      </x:c>
      <x:c r="K496" s="46" t="str">
        <x:f>IF(OR(F496="",H496=""),"",EDATE(F496,H496))</x:f>
      </x:c>
      <x:c r="L496" s="40" t="str">
        <x:f>J496</x:f>
      </x:c>
    </x:row>
    <x:row r="497">
      <x:c r="A497" s="38" t="str"/>
      <x:c r="B497" s="38" t="str"/>
      <x:c r="C497" s="39"/>
      <x:c r="D497" s="39"/>
      <x:c r="E497" s="39"/>
      <x:c r="F497" s="46"/>
      <x:c r="G497" s="38"/>
      <x:c r="H497" s="38"/>
      <x:c r="I497" s="40"/>
      <x:c r="J497" s="40" t="str">
        <x:f>IFERROR((C497-D497)/C497,"")</x:f>
      </x:c>
      <x:c r="K497" s="46" t="str">
        <x:f>IF(OR(F497="",H497=""),"",EDATE(F497,H497))</x:f>
      </x:c>
      <x:c r="L497" s="40" t="str">
        <x:f>J497</x:f>
      </x:c>
    </x:row>
    <x:row r="498">
      <x:c r="A498" s="38" t="str"/>
      <x:c r="B498" s="38" t="str"/>
      <x:c r="C498" s="39"/>
      <x:c r="D498" s="39"/>
      <x:c r="E498" s="39"/>
      <x:c r="F498" s="46"/>
      <x:c r="G498" s="38"/>
      <x:c r="H498" s="38"/>
      <x:c r="I498" s="40"/>
      <x:c r="J498" s="40" t="str">
        <x:f>IFERROR((C498-D498)/C498,"")</x:f>
      </x:c>
      <x:c r="K498" s="46" t="str">
        <x:f>IF(OR(F498="",H498=""),"",EDATE(F498,H498))</x:f>
      </x:c>
      <x:c r="L498" s="40" t="str">
        <x:f>J498</x:f>
      </x:c>
    </x:row>
    <x:row r="499">
      <x:c r="A499" s="38" t="str"/>
      <x:c r="B499" s="38" t="str"/>
      <x:c r="C499" s="39"/>
      <x:c r="D499" s="39"/>
      <x:c r="E499" s="39"/>
      <x:c r="F499" s="46"/>
      <x:c r="G499" s="38"/>
      <x:c r="H499" s="38"/>
      <x:c r="I499" s="40"/>
      <x:c r="J499" s="40" t="str">
        <x:f>IFERROR((C499-D499)/C499,"")</x:f>
      </x:c>
      <x:c r="K499" s="46" t="str">
        <x:f>IF(OR(F499="",H499=""),"",EDATE(F499,H499))</x:f>
      </x:c>
      <x:c r="L499" s="40" t="str">
        <x:f>J499</x:f>
      </x:c>
    </x:row>
    <x:row r="500">
      <x:c r="A500" s="38" t="str"/>
      <x:c r="B500" s="38" t="str"/>
      <x:c r="C500" s="39"/>
      <x:c r="D500" s="39"/>
      <x:c r="E500" s="39"/>
      <x:c r="F500" s="46"/>
      <x:c r="G500" s="38"/>
      <x:c r="H500" s="38"/>
      <x:c r="I500" s="40"/>
      <x:c r="J500" s="40" t="str">
        <x:f>IFERROR((C500-D500)/C500,"")</x:f>
      </x:c>
      <x:c r="K500" s="46" t="str">
        <x:f>IF(OR(F500="",H500=""),"",EDATE(F500,H500))</x:f>
      </x:c>
      <x:c r="L500" s="40" t="str">
        <x:f>J500</x:f>
      </x:c>
    </x:row>
    <x:row r="501">
      <x:c r="A501" s="38" t="str"/>
      <x:c r="B501" s="38" t="str"/>
      <x:c r="C501" s="39"/>
      <x:c r="D501" s="39"/>
      <x:c r="E501" s="39"/>
      <x:c r="F501" s="46"/>
      <x:c r="G501" s="38"/>
      <x:c r="H501" s="38"/>
      <x:c r="I501" s="40"/>
      <x:c r="J501" s="40" t="str">
        <x:f>IFERROR((C501-D501)/C501,"")</x:f>
      </x:c>
      <x:c r="K501" s="46" t="str">
        <x:f>IF(OR(F501="",H501=""),"",EDATE(F501,H501))</x:f>
      </x:c>
      <x:c r="L501" s="40" t="str">
        <x:f>J501</x:f>
      </x:c>
    </x:row>
    <x:row r="502">
      <x:c r="A502" s="38" t="str"/>
      <x:c r="B502" s="38" t="str"/>
      <x:c r="C502" s="39"/>
      <x:c r="D502" s="39"/>
      <x:c r="E502" s="39"/>
      <x:c r="F502" s="46"/>
      <x:c r="G502" s="38"/>
      <x:c r="H502" s="38"/>
      <x:c r="I502" s="40"/>
      <x:c r="J502" s="40" t="str">
        <x:f>IFERROR((C502-D502)/C502,"")</x:f>
      </x:c>
      <x:c r="K502" s="46" t="str">
        <x:f>IF(OR(F502="",H502=""),"",EDATE(F502,H502))</x:f>
      </x:c>
      <x:c r="L502" s="40" t="str">
        <x:f>J502</x:f>
      </x:c>
    </x:row>
    <x:row r="503">
      <x:c r="A503" s="38" t="str"/>
      <x:c r="B503" s="38" t="str"/>
      <x:c r="C503" s="39"/>
      <x:c r="D503" s="39"/>
      <x:c r="E503" s="39"/>
      <x:c r="F503" s="46"/>
      <x:c r="G503" s="38"/>
      <x:c r="H503" s="38"/>
      <x:c r="I503" s="40"/>
      <x:c r="J503" s="40" t="str">
        <x:f>IFERROR((C503-D503)/C503,"")</x:f>
      </x:c>
      <x:c r="K503" s="46" t="str">
        <x:f>IF(OR(F503="",H503=""),"",EDATE(F503,H503))</x:f>
      </x:c>
      <x:c r="L503" s="40" t="str">
        <x:f>J503</x:f>
      </x:c>
    </x:row>
    <x:row r="504">
      <x:c r="A504" s="38" t="str"/>
      <x:c r="B504" s="38" t="str"/>
      <x:c r="C504" s="39"/>
      <x:c r="D504" s="39"/>
      <x:c r="E504" s="39"/>
      <x:c r="F504" s="46"/>
      <x:c r="G504" s="38"/>
      <x:c r="H504" s="38"/>
      <x:c r="I504" s="40"/>
      <x:c r="J504" s="40" t="str">
        <x:f>IFERROR((C504-D504)/C504,"")</x:f>
      </x:c>
      <x:c r="K504" s="46" t="str">
        <x:f>IF(OR(F504="",H504=""),"",EDATE(F504,H504))</x:f>
      </x:c>
      <x:c r="L504" s="40" t="str">
        <x:f>J504</x:f>
      </x:c>
    </x:row>
    <x:row r="505">
      <x:c r="A505" s="38" t="str"/>
      <x:c r="B505" s="38" t="str"/>
      <x:c r="C505" s="39"/>
      <x:c r="D505" s="39"/>
      <x:c r="E505" s="39"/>
      <x:c r="F505" s="46"/>
      <x:c r="G505" s="38"/>
      <x:c r="H505" s="38"/>
      <x:c r="I505" s="40"/>
      <x:c r="J505" s="40" t="str">
        <x:f>IFERROR((C505-D505)/C505,"")</x:f>
      </x:c>
      <x:c r="K505" s="46" t="str">
        <x:f>IF(OR(F505="",H505=""),"",EDATE(F505,H505))</x:f>
      </x:c>
      <x:c r="L505" s="40" t="n">
        <x:f>J505</x:f>
        <x:v>0</x:v>
      </x:c>
    </x:row>
  </x:sheetData>
  <x:mergeCells>
    <x:mergeCell ref="A1:L1"/>
    <x:mergeCell ref="A2:L2"/>
  </x:mergeCells>
  <x:conditionalFormatting sqref="L6:L505">
    <x:cfRule type="dataBar" priority="1">
      <x:dataBar>
        <x:cfvo type="min"/>
        <x:cfvo type="max"/>
        <x:color rgb="FF16A34A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89ba3543fd4a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5" hidden="0" customWidth="1"/>
    <x:col min="7" max="7" width="13.75" hidden="0" customWidth="1"/>
  </x:cols>
  <x:sheetData>
    <x:row r="1" ht="28.5" customHeight="1">
      <x:c r="A1" s="34" t="str">
        <x:v>Ahorro Mensual</x:v>
      </x:c>
      <x:c r="B1" s="34" t="str">
        <x:v>Ahorro Mensual</x:v>
      </x:c>
      <x:c r="C1" s="34" t="str">
        <x:v>Ahorro Mensual</x:v>
      </x:c>
      <x:c r="D1" s="34" t="str">
        <x:v>Ahorro Mensual</x:v>
      </x:c>
      <x:c r="E1" s="34" t="str">
        <x:v>Ahorro Mensual</x:v>
      </x:c>
      <x:c r="F1" s="34" t="str">
        <x:v>Ahorro Mensual</x:v>
      </x:c>
      <x:c r="G1" s="34" t="str">
        <x:v>Ahorro Mensual</x:v>
      </x:c>
    </x:row>
    <x:row r="2" ht="19.5" customHeight="1">
      <x:c r="A2" s="36" t="str">
        <x:v>Metas de ahorro mensuales, ahorro real y cumplimiento.</x:v>
      </x:c>
      <x:c r="B2" s="36" t="str">
        <x:v>Metas de ahorro mensuales, ahorro real y cumplimiento.</x:v>
      </x:c>
      <x:c r="C2" s="36" t="str">
        <x:v>Metas de ahorro mensuales, ahorro real y cumplimiento.</x:v>
      </x:c>
      <x:c r="D2" s="36" t="str">
        <x:v>Metas de ahorro mensuales, ahorro real y cumplimiento.</x:v>
      </x:c>
      <x:c r="E2" s="36" t="str">
        <x:v>Metas de ahorro mensuales, ahorro real y cumplimiento.</x:v>
      </x:c>
      <x:c r="F2" s="36" t="str">
        <x:v>Metas de ahorro mensuales, ahorro real y cumplimiento.</x:v>
      </x:c>
      <x:c r="G2" s="36" t="str">
        <x:v>Metas de ahorro mensuales, ahorro real y cumplimiento.</x:v>
      </x:c>
    </x:row>
    <x:row r="3">
      <x:c r="A3" s="35"/>
      <x:c r="B3" s="35"/>
      <x:c r="C3" s="35"/>
      <x:c r="D3" s="35"/>
      <x:c r="E3" s="35"/>
      <x:c r="F3" s="35"/>
      <x:c r="G3" s="35"/>
    </x:row>
    <x:row r="4">
      <x:c r="A4" s="35"/>
      <x:c r="B4" s="35"/>
      <x:c r="C4" s="35"/>
      <x:c r="D4" s="35"/>
      <x:c r="E4" s="35"/>
      <x:c r="F4" s="35"/>
      <x:c r="G4" s="35"/>
    </x:row>
    <x:row r="5">
      <x:c r="A5" s="37" t="str">
        <x:v>Mes</x:v>
      </x:c>
      <x:c r="B5" s="37" t="str">
        <x:v>Ingreso total</x:v>
      </x:c>
      <x:c r="C5" s="37" t="str">
        <x:v>Meta de ahorro</x:v>
      </x:c>
      <x:c r="D5" s="37" t="str">
        <x:v>Ahorro real</x:v>
      </x:c>
      <x:c r="E5" s="37" t="str">
        <x:v>Diferencia</x:v>
      </x:c>
      <x:c r="F5" s="37" t="str">
        <x:v>% cumplimiento</x:v>
      </x:c>
      <x:c r="G5" s="37" t="str">
        <x:v>Tendencia</x:v>
      </x:c>
    </x:row>
    <x:row r="6">
      <x:c r="A6" s="42" t="n">
        <x:v>46023</x:v>
      </x:c>
      <x:c r="B6" s="39" t="n">
        <x:f>SUMIFS('Registro de Ingresos'!$E$6:$E$505,'Registro de Ingresos'!$A$6:$A$505,"&gt;="&amp;A6,'Registro de Ingresos'!$A$6:$A$505,"&lt;"&amp;EDATE(A6,1))</x:f>
        <x:v>0</x:v>
      </x:c>
      <x:c r="C6" s="39" t="n">
        <x:v>800</x:v>
      </x:c>
      <x:c r="D6" s="39" t="n">
        <x:f>B6-SUMIFS('Registro de Gastos'!$E$6:$E$505,'Registro de Gastos'!$A$6:$A$505,"&gt;="&amp;A6,'Registro de Gastos'!$A$6:$A$505,"&lt;"&amp;EDATE(A6,1),'Registro de Gastos'!$H$6:$H$505,"Pagado")</x:f>
        <x:v>0</x:v>
      </x:c>
      <x:c r="E6" s="39" t="n">
        <x:f>D6-C6</x:f>
        <x:v>-800</x:v>
      </x:c>
      <x:c r="F6" s="40" t="n">
        <x:f>IFERROR(D6/C6,"")</x:f>
        <x:v>0</x:v>
      </x:c>
      <x:c r="G6" s="38" t="str">
        <x:f>IF(ROW()=6,"Base",IF(D6&gt;D5,"Sube",IF(D6&lt;D5,"Baja","Estable")))</x:f>
        <x:v>Base</x:v>
      </x:c>
    </x:row>
    <x:row r="7">
      <x:c r="A7" s="42" t="n">
        <x:v>46054</x:v>
      </x:c>
      <x:c r="B7" s="39" t="n">
        <x:f>SUMIFS('Registro de Ingresos'!$E$6:$E$505,'Registro de Ingresos'!$A$6:$A$505,"&gt;="&amp;A7,'Registro de Ingresos'!$A$6:$A$505,"&lt;"&amp;EDATE(A7,1))</x:f>
        <x:v>0</x:v>
      </x:c>
      <x:c r="C7" s="39" t="n">
        <x:v>800</x:v>
      </x:c>
      <x:c r="D7" s="39" t="n">
        <x:f>B7-SUMIFS('Registro de Gastos'!$E$6:$E$505,'Registro de Gastos'!$A$6:$A$505,"&gt;="&amp;A7,'Registro de Gastos'!$A$6:$A$505,"&lt;"&amp;EDATE(A7,1),'Registro de Gastos'!$H$6:$H$505,"Pagado")</x:f>
        <x:v>0</x:v>
      </x:c>
      <x:c r="E7" s="39" t="n">
        <x:f>D7-C7</x:f>
        <x:v>-800</x:v>
      </x:c>
      <x:c r="F7" s="40" t="n">
        <x:f>IFERROR(D7/C7,"")</x:f>
        <x:v>0</x:v>
      </x:c>
      <x:c r="G7" s="38" t="str">
        <x:f>IF(ROW()=6,"Base",IF(D7&gt;D6,"Sube",IF(D7&lt;D6,"Baja","Estable")))</x:f>
        <x:v>Estable</x:v>
      </x:c>
    </x:row>
    <x:row r="8">
      <x:c r="A8" s="42" t="n">
        <x:v>46082</x:v>
      </x:c>
      <x:c r="B8" s="39" t="n">
        <x:f>SUMIFS('Registro de Ingresos'!$E$6:$E$505,'Registro de Ingresos'!$A$6:$A$505,"&gt;="&amp;A8,'Registro de Ingresos'!$A$6:$A$505,"&lt;"&amp;EDATE(A8,1))</x:f>
        <x:v>0</x:v>
      </x:c>
      <x:c r="C8" s="39" t="n">
        <x:v>800</x:v>
      </x:c>
      <x:c r="D8" s="39" t="n">
        <x:f>B8-SUMIFS('Registro de Gastos'!$E$6:$E$505,'Registro de Gastos'!$A$6:$A$505,"&gt;="&amp;A8,'Registro de Gastos'!$A$6:$A$505,"&lt;"&amp;EDATE(A8,1),'Registro de Gastos'!$H$6:$H$505,"Pagado")</x:f>
        <x:v>0</x:v>
      </x:c>
      <x:c r="E8" s="39" t="n">
        <x:f>D8-C8</x:f>
        <x:v>-800</x:v>
      </x:c>
      <x:c r="F8" s="40" t="n">
        <x:f>IFERROR(D8/C8,"")</x:f>
        <x:v>0</x:v>
      </x:c>
      <x:c r="G8" s="38" t="str">
        <x:f>IF(ROW()=6,"Base",IF(D8&gt;D7,"Sube",IF(D8&lt;D7,"Baja","Estable")))</x:f>
        <x:v>Estable</x:v>
      </x:c>
    </x:row>
    <x:row r="9">
      <x:c r="A9" s="42" t="n">
        <x:v>46113</x:v>
      </x:c>
      <x:c r="B9" s="39" t="n">
        <x:f>SUMIFS('Registro de Ingresos'!$E$6:$E$505,'Registro de Ingresos'!$A$6:$A$505,"&gt;="&amp;A9,'Registro de Ingresos'!$A$6:$A$505,"&lt;"&amp;EDATE(A9,1))</x:f>
        <x:v>0</x:v>
      </x:c>
      <x:c r="C9" s="39" t="n">
        <x:v>800</x:v>
      </x:c>
      <x:c r="D9" s="39" t="n">
        <x:f>B9-SUMIFS('Registro de Gastos'!$E$6:$E$505,'Registro de Gastos'!$A$6:$A$505,"&gt;="&amp;A9,'Registro de Gastos'!$A$6:$A$505,"&lt;"&amp;EDATE(A9,1),'Registro de Gastos'!$H$6:$H$505,"Pagado")</x:f>
        <x:v>0</x:v>
      </x:c>
      <x:c r="E9" s="39" t="n">
        <x:f>D9-C9</x:f>
        <x:v>-800</x:v>
      </x:c>
      <x:c r="F9" s="40" t="n">
        <x:f>IFERROR(D9/C9,"")</x:f>
        <x:v>0</x:v>
      </x:c>
      <x:c r="G9" s="38" t="str">
        <x:f>IF(ROW()=6,"Base",IF(D9&gt;D8,"Sube",IF(D9&lt;D8,"Baja","Estable")))</x:f>
        <x:v>Estable</x:v>
      </x:c>
    </x:row>
    <x:row r="10">
      <x:c r="A10" s="42" t="n">
        <x:v>46143</x:v>
      </x:c>
      <x:c r="B10" s="39" t="n">
        <x:f>SUMIFS('Registro de Ingresos'!$E$6:$E$505,'Registro de Ingresos'!$A$6:$A$505,"&gt;="&amp;A10,'Registro de Ingresos'!$A$6:$A$505,"&lt;"&amp;EDATE(A10,1))</x:f>
        <x:v>0</x:v>
      </x:c>
      <x:c r="C10" s="39" t="n">
        <x:v>800</x:v>
      </x:c>
      <x:c r="D10" s="39" t="n">
        <x:f>B10-SUMIFS('Registro de Gastos'!$E$6:$E$505,'Registro de Gastos'!$A$6:$A$505,"&gt;="&amp;A10,'Registro de Gastos'!$A$6:$A$505,"&lt;"&amp;EDATE(A10,1),'Registro de Gastos'!$H$6:$H$505,"Pagado")</x:f>
        <x:v>0</x:v>
      </x:c>
      <x:c r="E10" s="39" t="n">
        <x:f>D10-C10</x:f>
        <x:v>-800</x:v>
      </x:c>
      <x:c r="F10" s="40" t="n">
        <x:f>IFERROR(D10/C10,"")</x:f>
        <x:v>0</x:v>
      </x:c>
      <x:c r="G10" s="38" t="str">
        <x:f>IF(ROW()=6,"Base",IF(D10&gt;D9,"Sube",IF(D10&lt;D9,"Baja","Estable")))</x:f>
        <x:v>Estable</x:v>
      </x:c>
    </x:row>
    <x:row r="11">
      <x:c r="A11" s="42" t="n">
        <x:v>46174</x:v>
      </x:c>
      <x:c r="B11" s="39" t="n">
        <x:f>SUMIFS('Registro de Ingresos'!$E$6:$E$505,'Registro de Ingresos'!$A$6:$A$505,"&gt;="&amp;A11,'Registro de Ingresos'!$A$6:$A$505,"&lt;"&amp;EDATE(A11,1))</x:f>
        <x:v>4970</x:v>
      </x:c>
      <x:c r="C11" s="39" t="n">
        <x:v>800</x:v>
      </x:c>
      <x:c r="D11" s="39" t="n">
        <x:f>B11-SUMIFS('Registro de Gastos'!$E$6:$E$505,'Registro de Gastos'!$A$6:$A$505,"&gt;="&amp;A11,'Registro de Gastos'!$A$6:$A$505,"&lt;"&amp;EDATE(A11,1),'Registro de Gastos'!$H$6:$H$505,"Pagado")</x:f>
        <x:v>3255</x:v>
      </x:c>
      <x:c r="E11" s="39" t="n">
        <x:f>D11-C11</x:f>
        <x:v>2455</x:v>
      </x:c>
      <x:c r="F11" s="40" t="n">
        <x:f>IFERROR(D11/C11,"")</x:f>
        <x:v>4.06875</x:v>
      </x:c>
      <x:c r="G11" s="38" t="str">
        <x:f>IF(ROW()=6,"Base",IF(D11&gt;D10,"Sube",IF(D11&lt;D10,"Baja","Estable")))</x:f>
        <x:v>Sube</x:v>
      </x:c>
    </x:row>
    <x:row r="12">
      <x:c r="A12" s="42" t="n">
        <x:v>46204</x:v>
      </x:c>
      <x:c r="B12" s="39" t="n">
        <x:f>SUMIFS('Registro de Ingresos'!$E$6:$E$505,'Registro de Ingresos'!$A$6:$A$505,"&gt;="&amp;A12,'Registro de Ingresos'!$A$6:$A$505,"&lt;"&amp;EDATE(A12,1))</x:f>
        <x:v>0</x:v>
      </x:c>
      <x:c r="C12" s="39" t="n">
        <x:v>800</x:v>
      </x:c>
      <x:c r="D12" s="39" t="n">
        <x:f>B12-SUMIFS('Registro de Gastos'!$E$6:$E$505,'Registro de Gastos'!$A$6:$A$505,"&gt;="&amp;A12,'Registro de Gastos'!$A$6:$A$505,"&lt;"&amp;EDATE(A12,1),'Registro de Gastos'!$H$6:$H$505,"Pagado")</x:f>
        <x:v>0</x:v>
      </x:c>
      <x:c r="E12" s="39" t="n">
        <x:f>D12-C12</x:f>
        <x:v>-800</x:v>
      </x:c>
      <x:c r="F12" s="40" t="n">
        <x:f>IFERROR(D12/C12,"")</x:f>
        <x:v>0</x:v>
      </x:c>
      <x:c r="G12" s="38" t="str">
        <x:f>IF(ROW()=6,"Base",IF(D12&gt;D11,"Sube",IF(D12&lt;D11,"Baja","Estable")))</x:f>
        <x:v>Baja</x:v>
      </x:c>
    </x:row>
    <x:row r="13">
      <x:c r="A13" s="42" t="n">
        <x:v>46235</x:v>
      </x:c>
      <x:c r="B13" s="39" t="n">
        <x:f>SUMIFS('Registro de Ingresos'!$E$6:$E$505,'Registro de Ingresos'!$A$6:$A$505,"&gt;="&amp;A13,'Registro de Ingresos'!$A$6:$A$505,"&lt;"&amp;EDATE(A13,1))</x:f>
        <x:v>0</x:v>
      </x:c>
      <x:c r="C13" s="39" t="n">
        <x:v>800</x:v>
      </x:c>
      <x:c r="D13" s="39" t="n">
        <x:f>B13-SUMIFS('Registro de Gastos'!$E$6:$E$505,'Registro de Gastos'!$A$6:$A$505,"&gt;="&amp;A13,'Registro de Gastos'!$A$6:$A$505,"&lt;"&amp;EDATE(A13,1),'Registro de Gastos'!$H$6:$H$505,"Pagado")</x:f>
        <x:v>0</x:v>
      </x:c>
      <x:c r="E13" s="39" t="n">
        <x:f>D13-C13</x:f>
        <x:v>-800</x:v>
      </x:c>
      <x:c r="F13" s="40" t="n">
        <x:f>IFERROR(D13/C13,"")</x:f>
        <x:v>0</x:v>
      </x:c>
      <x:c r="G13" s="38" t="str">
        <x:f>IF(ROW()=6,"Base",IF(D13&gt;D12,"Sube",IF(D13&lt;D12,"Baja","Estable")))</x:f>
        <x:v>Estable</x:v>
      </x:c>
    </x:row>
    <x:row r="14">
      <x:c r="A14" s="42" t="n">
        <x:v>46266</x:v>
      </x:c>
      <x:c r="B14" s="39" t="n">
        <x:f>SUMIFS('Registro de Ingresos'!$E$6:$E$505,'Registro de Ingresos'!$A$6:$A$505,"&gt;="&amp;A14,'Registro de Ingresos'!$A$6:$A$505,"&lt;"&amp;EDATE(A14,1))</x:f>
        <x:v>0</x:v>
      </x:c>
      <x:c r="C14" s="39" t="n">
        <x:v>800</x:v>
      </x:c>
      <x:c r="D14" s="39" t="n">
        <x:f>B14-SUMIFS('Registro de Gastos'!$E$6:$E$505,'Registro de Gastos'!$A$6:$A$505,"&gt;="&amp;A14,'Registro de Gastos'!$A$6:$A$505,"&lt;"&amp;EDATE(A14,1),'Registro de Gastos'!$H$6:$H$505,"Pagado")</x:f>
        <x:v>0</x:v>
      </x:c>
      <x:c r="E14" s="39" t="n">
        <x:f>D14-C14</x:f>
        <x:v>-800</x:v>
      </x:c>
      <x:c r="F14" s="40" t="n">
        <x:f>IFERROR(D14/C14,"")</x:f>
        <x:v>0</x:v>
      </x:c>
      <x:c r="G14" s="38" t="str">
        <x:f>IF(ROW()=6,"Base",IF(D14&gt;D13,"Sube",IF(D14&lt;D13,"Baja","Estable")))</x:f>
        <x:v>Estable</x:v>
      </x:c>
    </x:row>
    <x:row r="15">
      <x:c r="A15" s="42" t="n">
        <x:v>46296</x:v>
      </x:c>
      <x:c r="B15" s="39" t="n">
        <x:f>SUMIFS('Registro de Ingresos'!$E$6:$E$505,'Registro de Ingresos'!$A$6:$A$505,"&gt;="&amp;A15,'Registro de Ingresos'!$A$6:$A$505,"&lt;"&amp;EDATE(A15,1))</x:f>
        <x:v>0</x:v>
      </x:c>
      <x:c r="C15" s="39" t="n">
        <x:v>800</x:v>
      </x:c>
      <x:c r="D15" s="39" t="n">
        <x:f>B15-SUMIFS('Registro de Gastos'!$E$6:$E$505,'Registro de Gastos'!$A$6:$A$505,"&gt;="&amp;A15,'Registro de Gastos'!$A$6:$A$505,"&lt;"&amp;EDATE(A15,1),'Registro de Gastos'!$H$6:$H$505,"Pagado")</x:f>
        <x:v>0</x:v>
      </x:c>
      <x:c r="E15" s="39" t="n">
        <x:f>D15-C15</x:f>
        <x:v>-800</x:v>
      </x:c>
      <x:c r="F15" s="40" t="n">
        <x:f>IFERROR(D15/C15,"")</x:f>
        <x:v>0</x:v>
      </x:c>
      <x:c r="G15" s="38" t="str">
        <x:f>IF(ROW()=6,"Base",IF(D15&gt;D14,"Sube",IF(D15&lt;D14,"Baja","Estable")))</x:f>
        <x:v>Estable</x:v>
      </x:c>
    </x:row>
    <x:row r="16">
      <x:c r="A16" s="42" t="n">
        <x:v>46327</x:v>
      </x:c>
      <x:c r="B16" s="39" t="n">
        <x:f>SUMIFS('Registro de Ingresos'!$E$6:$E$505,'Registro de Ingresos'!$A$6:$A$505,"&gt;="&amp;A16,'Registro de Ingresos'!$A$6:$A$505,"&lt;"&amp;EDATE(A16,1))</x:f>
        <x:v>0</x:v>
      </x:c>
      <x:c r="C16" s="39" t="n">
        <x:v>800</x:v>
      </x:c>
      <x:c r="D16" s="39" t="n">
        <x:f>B16-SUMIFS('Registro de Gastos'!$E$6:$E$505,'Registro de Gastos'!$A$6:$A$505,"&gt;="&amp;A16,'Registro de Gastos'!$A$6:$A$505,"&lt;"&amp;EDATE(A16,1),'Registro de Gastos'!$H$6:$H$505,"Pagado")</x:f>
        <x:v>0</x:v>
      </x:c>
      <x:c r="E16" s="39" t="n">
        <x:f>D16-C16</x:f>
        <x:v>-800</x:v>
      </x:c>
      <x:c r="F16" s="40" t="n">
        <x:f>IFERROR(D16/C16,"")</x:f>
        <x:v>0</x:v>
      </x:c>
      <x:c r="G16" s="38" t="str">
        <x:f>IF(ROW()=6,"Base",IF(D16&gt;D15,"Sube",IF(D16&lt;D15,"Baja","Estable")))</x:f>
        <x:v>Estable</x:v>
      </x:c>
    </x:row>
    <x:row r="17">
      <x:c r="A17" s="42" t="n">
        <x:v>46357</x:v>
      </x:c>
      <x:c r="B17" s="39" t="n">
        <x:f>SUMIFS('Registro de Ingresos'!$E$6:$E$505,'Registro de Ingresos'!$A$6:$A$505,"&gt;="&amp;A17,'Registro de Ingresos'!$A$6:$A$505,"&lt;"&amp;EDATE(A17,1))</x:f>
        <x:v>0</x:v>
      </x:c>
      <x:c r="C17" s="39" t="n">
        <x:v>800</x:v>
      </x:c>
      <x:c r="D17" s="39" t="n">
        <x:f>B17-SUMIFS('Registro de Gastos'!$E$6:$E$505,'Registro de Gastos'!$A$6:$A$505,"&gt;="&amp;A17,'Registro de Gastos'!$A$6:$A$505,"&lt;"&amp;EDATE(A17,1),'Registro de Gastos'!$H$6:$H$505,"Pagado")</x:f>
        <x:v>0</x:v>
      </x:c>
      <x:c r="E17" s="39" t="n">
        <x:f>D17-C17</x:f>
        <x:v>-800</x:v>
      </x:c>
      <x:c r="F17" s="40" t="n">
        <x:f>IFERROR(D17/C17,"")</x:f>
        <x:v>0</x:v>
      </x:c>
      <x:c r="G17" s="38" t="str">
        <x:f>IF(ROW()=6,"Base",IF(D17&gt;D16,"Sube",IF(D17&lt;D16,"Baja","Estable")))</x:f>
        <x:v>Estable</x:v>
      </x:c>
    </x:row>
    <x:row r="18">
      <x:c r="A18" s="42" t="n">
        <x:v>46388</x:v>
      </x:c>
      <x:c r="B18" s="39" t="n">
        <x:f>SUMIFS('Registro de Ingresos'!$E$6:$E$505,'Registro de Ingresos'!$A$6:$A$505,"&gt;="&amp;A18,'Registro de Ingresos'!$A$6:$A$505,"&lt;"&amp;EDATE(A18,1))</x:f>
        <x:v>0</x:v>
      </x:c>
      <x:c r="C18" s="39" t="n">
        <x:v>800</x:v>
      </x:c>
      <x:c r="D18" s="39" t="n">
        <x:f>B18-SUMIFS('Registro de Gastos'!$E$6:$E$505,'Registro de Gastos'!$A$6:$A$505,"&gt;="&amp;A18,'Registro de Gastos'!$A$6:$A$505,"&lt;"&amp;EDATE(A18,1),'Registro de Gastos'!$H$6:$H$505,"Pagado")</x:f>
        <x:v>0</x:v>
      </x:c>
      <x:c r="E18" s="39" t="n">
        <x:f>D18-C18</x:f>
        <x:v>-800</x:v>
      </x:c>
      <x:c r="F18" s="40" t="n">
        <x:f>IFERROR(D18/C18,"")</x:f>
        <x:v>0</x:v>
      </x:c>
      <x:c r="G18" s="38" t="str">
        <x:f>IF(ROW()=6,"Base",IF(D18&gt;D17,"Sube",IF(D18&lt;D17,"Baja","Estable")))</x:f>
        <x:v>Estable</x:v>
      </x:c>
    </x:row>
    <x:row r="19">
      <x:c r="A19" s="42" t="n">
        <x:v>46419</x:v>
      </x:c>
      <x:c r="B19" s="39" t="n">
        <x:f>SUMIFS('Registro de Ingresos'!$E$6:$E$505,'Registro de Ingresos'!$A$6:$A$505,"&gt;="&amp;A19,'Registro de Ingresos'!$A$6:$A$505,"&lt;"&amp;EDATE(A19,1))</x:f>
        <x:v>0</x:v>
      </x:c>
      <x:c r="C19" s="39" t="n">
        <x:v>800</x:v>
      </x:c>
      <x:c r="D19" s="39" t="n">
        <x:f>B19-SUMIFS('Registro de Gastos'!$E$6:$E$505,'Registro de Gastos'!$A$6:$A$505,"&gt;="&amp;A19,'Registro de Gastos'!$A$6:$A$505,"&lt;"&amp;EDATE(A19,1),'Registro de Gastos'!$H$6:$H$505,"Pagado")</x:f>
        <x:v>0</x:v>
      </x:c>
      <x:c r="E19" s="39" t="n">
        <x:f>D19-C19</x:f>
        <x:v>-800</x:v>
      </x:c>
      <x:c r="F19" s="40" t="n">
        <x:f>IFERROR(D19/C19,"")</x:f>
        <x:v>0</x:v>
      </x:c>
      <x:c r="G19" s="38" t="str">
        <x:f>IF(ROW()=6,"Base",IF(D19&gt;D18,"Sube",IF(D19&lt;D18,"Baja","Estable")))</x:f>
        <x:v>Estable</x:v>
      </x:c>
    </x:row>
    <x:row r="20">
      <x:c r="A20" s="42" t="n">
        <x:v>46447</x:v>
      </x:c>
      <x:c r="B20" s="39" t="n">
        <x:f>SUMIFS('Registro de Ingresos'!$E$6:$E$505,'Registro de Ingresos'!$A$6:$A$505,"&gt;="&amp;A20,'Registro de Ingresos'!$A$6:$A$505,"&lt;"&amp;EDATE(A20,1))</x:f>
        <x:v>0</x:v>
      </x:c>
      <x:c r="C20" s="39" t="n">
        <x:v>800</x:v>
      </x:c>
      <x:c r="D20" s="39" t="n">
        <x:f>B20-SUMIFS('Registro de Gastos'!$E$6:$E$505,'Registro de Gastos'!$A$6:$A$505,"&gt;="&amp;A20,'Registro de Gastos'!$A$6:$A$505,"&lt;"&amp;EDATE(A20,1),'Registro de Gastos'!$H$6:$H$505,"Pagado")</x:f>
        <x:v>0</x:v>
      </x:c>
      <x:c r="E20" s="39" t="n">
        <x:f>D20-C20</x:f>
        <x:v>-800</x:v>
      </x:c>
      <x:c r="F20" s="40" t="n">
        <x:f>IFERROR(D20/C20,"")</x:f>
        <x:v>0</x:v>
      </x:c>
      <x:c r="G20" s="38" t="str">
        <x:f>IF(ROW()=6,"Base",IF(D20&gt;D19,"Sube",IF(D20&lt;D19,"Baja","Estable")))</x:f>
        <x:v>Estable</x:v>
      </x:c>
    </x:row>
    <x:row r="21">
      <x:c r="A21" s="42" t="n">
        <x:v>46478</x:v>
      </x:c>
      <x:c r="B21" s="39" t="n">
        <x:f>SUMIFS('Registro de Ingresos'!$E$6:$E$505,'Registro de Ingresos'!$A$6:$A$505,"&gt;="&amp;A21,'Registro de Ingresos'!$A$6:$A$505,"&lt;"&amp;EDATE(A21,1))</x:f>
        <x:v>0</x:v>
      </x:c>
      <x:c r="C21" s="39" t="n">
        <x:v>800</x:v>
      </x:c>
      <x:c r="D21" s="39" t="n">
        <x:f>B21-SUMIFS('Registro de Gastos'!$E$6:$E$505,'Registro de Gastos'!$A$6:$A$505,"&gt;="&amp;A21,'Registro de Gastos'!$A$6:$A$505,"&lt;"&amp;EDATE(A21,1),'Registro de Gastos'!$H$6:$H$505,"Pagado")</x:f>
        <x:v>0</x:v>
      </x:c>
      <x:c r="E21" s="39" t="n">
        <x:f>D21-C21</x:f>
        <x:v>-800</x:v>
      </x:c>
      <x:c r="F21" s="40" t="n">
        <x:f>IFERROR(D21/C21,"")</x:f>
        <x:v>0</x:v>
      </x:c>
      <x:c r="G21" s="38" t="str">
        <x:f>IF(ROW()=6,"Base",IF(D21&gt;D20,"Sube",IF(D21&lt;D20,"Baja","Estable")))</x:f>
        <x:v>Estable</x:v>
      </x:c>
    </x:row>
    <x:row r="22">
      <x:c r="A22" s="42" t="n">
        <x:v>46508</x:v>
      </x:c>
      <x:c r="B22" s="39" t="n">
        <x:f>SUMIFS('Registro de Ingresos'!$E$6:$E$505,'Registro de Ingresos'!$A$6:$A$505,"&gt;="&amp;A22,'Registro de Ingresos'!$A$6:$A$505,"&lt;"&amp;EDATE(A22,1))</x:f>
        <x:v>0</x:v>
      </x:c>
      <x:c r="C22" s="39" t="n">
        <x:v>800</x:v>
      </x:c>
      <x:c r="D22" s="39" t="n">
        <x:f>B22-SUMIFS('Registro de Gastos'!$E$6:$E$505,'Registro de Gastos'!$A$6:$A$505,"&gt;="&amp;A22,'Registro de Gastos'!$A$6:$A$505,"&lt;"&amp;EDATE(A22,1),'Registro de Gastos'!$H$6:$H$505,"Pagado")</x:f>
        <x:v>0</x:v>
      </x:c>
      <x:c r="E22" s="39" t="n">
        <x:f>D22-C22</x:f>
        <x:v>-800</x:v>
      </x:c>
      <x:c r="F22" s="40" t="n">
        <x:f>IFERROR(D22/C22,"")</x:f>
        <x:v>0</x:v>
      </x:c>
      <x:c r="G22" s="38" t="str">
        <x:f>IF(ROW()=6,"Base",IF(D22&gt;D21,"Sube",IF(D22&lt;D21,"Baja","Estable")))</x:f>
        <x:v>Estable</x:v>
      </x:c>
    </x:row>
    <x:row r="23">
      <x:c r="A23" s="42" t="n">
        <x:v>46539</x:v>
      </x:c>
      <x:c r="B23" s="39" t="n">
        <x:f>SUMIFS('Registro de Ingresos'!$E$6:$E$505,'Registro de Ingresos'!$A$6:$A$505,"&gt;="&amp;A23,'Registro de Ingresos'!$A$6:$A$505,"&lt;"&amp;EDATE(A23,1))</x:f>
        <x:v>0</x:v>
      </x:c>
      <x:c r="C23" s="39" t="n">
        <x:v>800</x:v>
      </x:c>
      <x:c r="D23" s="39" t="n">
        <x:f>B23-SUMIFS('Registro de Gastos'!$E$6:$E$505,'Registro de Gastos'!$A$6:$A$505,"&gt;="&amp;A23,'Registro de Gastos'!$A$6:$A$505,"&lt;"&amp;EDATE(A23,1),'Registro de Gastos'!$H$6:$H$505,"Pagado")</x:f>
        <x:v>0</x:v>
      </x:c>
      <x:c r="E23" s="39" t="n">
        <x:f>D23-C23</x:f>
        <x:v>-800</x:v>
      </x:c>
      <x:c r="F23" s="40" t="n">
        <x:f>IFERROR(D23/C23,"")</x:f>
        <x:v>0</x:v>
      </x:c>
      <x:c r="G23" s="38" t="str">
        <x:f>IF(ROW()=6,"Base",IF(D23&gt;D22,"Sube",IF(D23&lt;D22,"Baja","Estable")))</x:f>
        <x:v>Estable</x:v>
      </x:c>
    </x:row>
    <x:row r="24">
      <x:c r="A24" s="42" t="n">
        <x:v>46569</x:v>
      </x:c>
      <x:c r="B24" s="39" t="n">
        <x:f>SUMIFS('Registro de Ingresos'!$E$6:$E$505,'Registro de Ingresos'!$A$6:$A$505,"&gt;="&amp;A24,'Registro de Ingresos'!$A$6:$A$505,"&lt;"&amp;EDATE(A24,1))</x:f>
        <x:v>0</x:v>
      </x:c>
      <x:c r="C24" s="39" t="n">
        <x:v>800</x:v>
      </x:c>
      <x:c r="D24" s="39" t="n">
        <x:f>B24-SUMIFS('Registro de Gastos'!$E$6:$E$505,'Registro de Gastos'!$A$6:$A$505,"&gt;="&amp;A24,'Registro de Gastos'!$A$6:$A$505,"&lt;"&amp;EDATE(A24,1),'Registro de Gastos'!$H$6:$H$505,"Pagado")</x:f>
        <x:v>0</x:v>
      </x:c>
      <x:c r="E24" s="39" t="n">
        <x:f>D24-C24</x:f>
        <x:v>-800</x:v>
      </x:c>
      <x:c r="F24" s="40" t="n">
        <x:f>IFERROR(D24/C24,"")</x:f>
        <x:v>0</x:v>
      </x:c>
      <x:c r="G24" s="38" t="str">
        <x:f>IF(ROW()=6,"Base",IF(D24&gt;D23,"Sube",IF(D24&lt;D23,"Baja","Estable")))</x:f>
        <x:v>Estable</x:v>
      </x:c>
    </x:row>
    <x:row r="25">
      <x:c r="A25" s="42" t="n">
        <x:v>46600</x:v>
      </x:c>
      <x:c r="B25" s="39" t="n">
        <x:f>SUMIFS('Registro de Ingresos'!$E$6:$E$505,'Registro de Ingresos'!$A$6:$A$505,"&gt;="&amp;A25,'Registro de Ingresos'!$A$6:$A$505,"&lt;"&amp;EDATE(A25,1))</x:f>
        <x:v>0</x:v>
      </x:c>
      <x:c r="C25" s="39" t="n">
        <x:v>800</x:v>
      </x:c>
      <x:c r="D25" s="39" t="n">
        <x:f>B25-SUMIFS('Registro de Gastos'!$E$6:$E$505,'Registro de Gastos'!$A$6:$A$505,"&gt;="&amp;A25,'Registro de Gastos'!$A$6:$A$505,"&lt;"&amp;EDATE(A25,1),'Registro de Gastos'!$H$6:$H$505,"Pagado")</x:f>
        <x:v>0</x:v>
      </x:c>
      <x:c r="E25" s="39" t="n">
        <x:f>D25-C25</x:f>
        <x:v>-800</x:v>
      </x:c>
      <x:c r="F25" s="40" t="n">
        <x:f>IFERROR(D25/C25,"")</x:f>
        <x:v>0</x:v>
      </x:c>
      <x:c r="G25" s="38" t="str">
        <x:f>IF(ROW()=6,"Base",IF(D25&gt;D24,"Sube",IF(D25&lt;D24,"Baja","Estable")))</x:f>
        <x:v>Estable</x:v>
      </x:c>
    </x:row>
    <x:row r="26">
      <x:c r="A26" s="42" t="n">
        <x:v>46631</x:v>
      </x:c>
      <x:c r="B26" s="39" t="n">
        <x:f>SUMIFS('Registro de Ingresos'!$E$6:$E$505,'Registro de Ingresos'!$A$6:$A$505,"&gt;="&amp;A26,'Registro de Ingresos'!$A$6:$A$505,"&lt;"&amp;EDATE(A26,1))</x:f>
        <x:v>0</x:v>
      </x:c>
      <x:c r="C26" s="39" t="n">
        <x:v>800</x:v>
      </x:c>
      <x:c r="D26" s="39" t="n">
        <x:f>B26-SUMIFS('Registro de Gastos'!$E$6:$E$505,'Registro de Gastos'!$A$6:$A$505,"&gt;="&amp;A26,'Registro de Gastos'!$A$6:$A$505,"&lt;"&amp;EDATE(A26,1),'Registro de Gastos'!$H$6:$H$505,"Pagado")</x:f>
        <x:v>0</x:v>
      </x:c>
      <x:c r="E26" s="39" t="n">
        <x:f>D26-C26</x:f>
        <x:v>-800</x:v>
      </x:c>
      <x:c r="F26" s="40" t="n">
        <x:f>IFERROR(D26/C26,"")</x:f>
        <x:v>0</x:v>
      </x:c>
      <x:c r="G26" s="38" t="str">
        <x:f>IF(ROW()=6,"Base",IF(D26&gt;D25,"Sube",IF(D26&lt;D25,"Baja","Estable")))</x:f>
        <x:v>Estable</x:v>
      </x:c>
    </x:row>
    <x:row r="27">
      <x:c r="A27" s="42" t="n">
        <x:v>46661</x:v>
      </x:c>
      <x:c r="B27" s="39" t="n">
        <x:f>SUMIFS('Registro de Ingresos'!$E$6:$E$505,'Registro de Ingresos'!$A$6:$A$505,"&gt;="&amp;A27,'Registro de Ingresos'!$A$6:$A$505,"&lt;"&amp;EDATE(A27,1))</x:f>
        <x:v>0</x:v>
      </x:c>
      <x:c r="C27" s="39" t="n">
        <x:v>800</x:v>
      </x:c>
      <x:c r="D27" s="39" t="n">
        <x:f>B27-SUMIFS('Registro de Gastos'!$E$6:$E$505,'Registro de Gastos'!$A$6:$A$505,"&gt;="&amp;A27,'Registro de Gastos'!$A$6:$A$505,"&lt;"&amp;EDATE(A27,1),'Registro de Gastos'!$H$6:$H$505,"Pagado")</x:f>
        <x:v>0</x:v>
      </x:c>
      <x:c r="E27" s="39" t="n">
        <x:f>D27-C27</x:f>
        <x:v>-800</x:v>
      </x:c>
      <x:c r="F27" s="40" t="n">
        <x:f>IFERROR(D27/C27,"")</x:f>
        <x:v>0</x:v>
      </x:c>
      <x:c r="G27" s="38" t="str">
        <x:f>IF(ROW()=6,"Base",IF(D27&gt;D26,"Sube",IF(D27&lt;D26,"Baja","Estable")))</x:f>
        <x:v>Estable</x:v>
      </x:c>
    </x:row>
    <x:row r="28">
      <x:c r="A28" s="42" t="n">
        <x:v>46692</x:v>
      </x:c>
      <x:c r="B28" s="39" t="n">
        <x:f>SUMIFS('Registro de Ingresos'!$E$6:$E$505,'Registro de Ingresos'!$A$6:$A$505,"&gt;="&amp;A28,'Registro de Ingresos'!$A$6:$A$505,"&lt;"&amp;EDATE(A28,1))</x:f>
        <x:v>0</x:v>
      </x:c>
      <x:c r="C28" s="39" t="n">
        <x:v>800</x:v>
      </x:c>
      <x:c r="D28" s="39" t="n">
        <x:f>B28-SUMIFS('Registro de Gastos'!$E$6:$E$505,'Registro de Gastos'!$A$6:$A$505,"&gt;="&amp;A28,'Registro de Gastos'!$A$6:$A$505,"&lt;"&amp;EDATE(A28,1),'Registro de Gastos'!$H$6:$H$505,"Pagado")</x:f>
        <x:v>0</x:v>
      </x:c>
      <x:c r="E28" s="39" t="n">
        <x:f>D28-C28</x:f>
        <x:v>-800</x:v>
      </x:c>
      <x:c r="F28" s="40" t="n">
        <x:f>IFERROR(D28/C28,"")</x:f>
        <x:v>0</x:v>
      </x:c>
      <x:c r="G28" s="38" t="str">
        <x:f>IF(ROW()=6,"Base",IF(D28&gt;D27,"Sube",IF(D28&lt;D27,"Baja","Estable")))</x:f>
        <x:v>Estable</x:v>
      </x:c>
    </x:row>
    <x:row r="29">
      <x:c r="A29" s="42" t="n">
        <x:v>46722</x:v>
      </x:c>
      <x:c r="B29" s="39" t="n">
        <x:f>SUMIFS('Registro de Ingresos'!$E$6:$E$505,'Registro de Ingresos'!$A$6:$A$505,"&gt;="&amp;A29,'Registro de Ingresos'!$A$6:$A$505,"&lt;"&amp;EDATE(A29,1))</x:f>
        <x:v>0</x:v>
      </x:c>
      <x:c r="C29" s="39" t="n">
        <x:v>800</x:v>
      </x:c>
      <x:c r="D29" s="39" t="n">
        <x:f>B29-SUMIFS('Registro de Gastos'!$E$6:$E$505,'Registro de Gastos'!$A$6:$A$505,"&gt;="&amp;A29,'Registro de Gastos'!$A$6:$A$505,"&lt;"&amp;EDATE(A29,1),'Registro de Gastos'!$H$6:$H$505,"Pagado")</x:f>
        <x:v>0</x:v>
      </x:c>
      <x:c r="E29" s="39" t="n">
        <x:f>D29-C29</x:f>
        <x:v>-800</x:v>
      </x:c>
      <x:c r="F29" s="40" t="n">
        <x:f>IFERROR(D29/C29,"")</x:f>
        <x:v>0</x:v>
      </x:c>
      <x:c r="G29" s="38" t="str">
        <x:f>IF(ROW()=6,"Base",IF(D29&gt;D28,"Sube",IF(D29&lt;D28,"Baja","Estable")))</x:f>
        <x:v>Estable</x:v>
      </x:c>
    </x:row>
    <x:row r="30">
      <x:c r="A30" s="42" t="n">
        <x:v>46753</x:v>
      </x:c>
      <x:c r="B30" s="39" t="n">
        <x:f>SUMIFS('Registro de Ingresos'!$E$6:$E$505,'Registro de Ingresos'!$A$6:$A$505,"&gt;="&amp;A30,'Registro de Ingresos'!$A$6:$A$505,"&lt;"&amp;EDATE(A30,1))</x:f>
        <x:v>0</x:v>
      </x:c>
      <x:c r="C30" s="39" t="n">
        <x:v>800</x:v>
      </x:c>
      <x:c r="D30" s="39" t="n">
        <x:f>B30-SUMIFS('Registro de Gastos'!$E$6:$E$505,'Registro de Gastos'!$A$6:$A$505,"&gt;="&amp;A30,'Registro de Gastos'!$A$6:$A$505,"&lt;"&amp;EDATE(A30,1),'Registro de Gastos'!$H$6:$H$505,"Pagado")</x:f>
        <x:v>0</x:v>
      </x:c>
      <x:c r="E30" s="39" t="n">
        <x:f>D30-C30</x:f>
        <x:v>-800</x:v>
      </x:c>
      <x:c r="F30" s="40" t="n">
        <x:f>IFERROR(D30/C30,"")</x:f>
        <x:v>0</x:v>
      </x:c>
      <x:c r="G30" s="38" t="str">
        <x:f>IF(ROW()=6,"Base",IF(D30&gt;D29,"Sube",IF(D30&lt;D29,"Baja","Estable")))</x:f>
        <x:v>Estable</x:v>
      </x:c>
    </x:row>
    <x:row r="31">
      <x:c r="A31" s="42" t="n">
        <x:v>46784</x:v>
      </x:c>
      <x:c r="B31" s="39" t="n">
        <x:f>SUMIFS('Registro de Ingresos'!$E$6:$E$505,'Registro de Ingresos'!$A$6:$A$505,"&gt;="&amp;A31,'Registro de Ingresos'!$A$6:$A$505,"&lt;"&amp;EDATE(A31,1))</x:f>
        <x:v>0</x:v>
      </x:c>
      <x:c r="C31" s="39" t="n">
        <x:v>800</x:v>
      </x:c>
      <x:c r="D31" s="39" t="n">
        <x:f>B31-SUMIFS('Registro de Gastos'!$E$6:$E$505,'Registro de Gastos'!$A$6:$A$505,"&gt;="&amp;A31,'Registro de Gastos'!$A$6:$A$505,"&lt;"&amp;EDATE(A31,1),'Registro de Gastos'!$H$6:$H$505,"Pagado")</x:f>
        <x:v>0</x:v>
      </x:c>
      <x:c r="E31" s="39" t="n">
        <x:f>D31-C31</x:f>
        <x:v>-800</x:v>
      </x:c>
      <x:c r="F31" s="40" t="n">
        <x:f>IFERROR(D31/C31,"")</x:f>
        <x:v>0</x:v>
      </x:c>
      <x:c r="G31" s="38" t="str">
        <x:f>IF(ROW()=6,"Base",IF(D31&gt;D30,"Sube",IF(D31&lt;D30,"Baja","Estable")))</x:f>
        <x:v>Estable</x:v>
      </x:c>
    </x:row>
    <x:row r="32">
      <x:c r="A32" s="42" t="n">
        <x:v>46813</x:v>
      </x:c>
      <x:c r="B32" s="39" t="n">
        <x:f>SUMIFS('Registro de Ingresos'!$E$6:$E$505,'Registro de Ingresos'!$A$6:$A$505,"&gt;="&amp;A32,'Registro de Ingresos'!$A$6:$A$505,"&lt;"&amp;EDATE(A32,1))</x:f>
        <x:v>0</x:v>
      </x:c>
      <x:c r="C32" s="39" t="n">
        <x:v>800</x:v>
      </x:c>
      <x:c r="D32" s="39" t="n">
        <x:f>B32-SUMIFS('Registro de Gastos'!$E$6:$E$505,'Registro de Gastos'!$A$6:$A$505,"&gt;="&amp;A32,'Registro de Gastos'!$A$6:$A$505,"&lt;"&amp;EDATE(A32,1),'Registro de Gastos'!$H$6:$H$505,"Pagado")</x:f>
        <x:v>0</x:v>
      </x:c>
      <x:c r="E32" s="39" t="n">
        <x:f>D32-C32</x:f>
        <x:v>-800</x:v>
      </x:c>
      <x:c r="F32" s="40" t="n">
        <x:f>IFERROR(D32/C32,"")</x:f>
        <x:v>0</x:v>
      </x:c>
      <x:c r="G32" s="38" t="str">
        <x:f>IF(ROW()=6,"Base",IF(D32&gt;D31,"Sube",IF(D32&lt;D31,"Baja","Estable")))</x:f>
        <x:v>Estable</x:v>
      </x:c>
    </x:row>
    <x:row r="33">
      <x:c r="A33" s="42" t="n">
        <x:v>46844</x:v>
      </x:c>
      <x:c r="B33" s="39" t="n">
        <x:f>SUMIFS('Registro de Ingresos'!$E$6:$E$505,'Registro de Ingresos'!$A$6:$A$505,"&gt;="&amp;A33,'Registro de Ingresos'!$A$6:$A$505,"&lt;"&amp;EDATE(A33,1))</x:f>
        <x:v>0</x:v>
      </x:c>
      <x:c r="C33" s="39" t="n">
        <x:v>800</x:v>
      </x:c>
      <x:c r="D33" s="39" t="n">
        <x:f>B33-SUMIFS('Registro de Gastos'!$E$6:$E$505,'Registro de Gastos'!$A$6:$A$505,"&gt;="&amp;A33,'Registro de Gastos'!$A$6:$A$505,"&lt;"&amp;EDATE(A33,1),'Registro de Gastos'!$H$6:$H$505,"Pagado")</x:f>
        <x:v>0</x:v>
      </x:c>
      <x:c r="E33" s="39" t="n">
        <x:f>D33-C33</x:f>
        <x:v>-800</x:v>
      </x:c>
      <x:c r="F33" s="40" t="n">
        <x:f>IFERROR(D33/C33,"")</x:f>
        <x:v>0</x:v>
      </x:c>
      <x:c r="G33" s="38" t="str">
        <x:f>IF(ROW()=6,"Base",IF(D33&gt;D32,"Sube",IF(D33&lt;D32,"Baja","Estable")))</x:f>
        <x:v>Estable</x:v>
      </x:c>
    </x:row>
    <x:row r="34">
      <x:c r="A34" s="42" t="n">
        <x:v>46874</x:v>
      </x:c>
      <x:c r="B34" s="39" t="n">
        <x:f>SUMIFS('Registro de Ingresos'!$E$6:$E$505,'Registro de Ingresos'!$A$6:$A$505,"&gt;="&amp;A34,'Registro de Ingresos'!$A$6:$A$505,"&lt;"&amp;EDATE(A34,1))</x:f>
        <x:v>0</x:v>
      </x:c>
      <x:c r="C34" s="39" t="n">
        <x:v>800</x:v>
      </x:c>
      <x:c r="D34" s="39" t="n">
        <x:f>B34-SUMIFS('Registro de Gastos'!$E$6:$E$505,'Registro de Gastos'!$A$6:$A$505,"&gt;="&amp;A34,'Registro de Gastos'!$A$6:$A$505,"&lt;"&amp;EDATE(A34,1),'Registro de Gastos'!$H$6:$H$505,"Pagado")</x:f>
        <x:v>0</x:v>
      </x:c>
      <x:c r="E34" s="39" t="n">
        <x:f>D34-C34</x:f>
        <x:v>-800</x:v>
      </x:c>
      <x:c r="F34" s="40" t="n">
        <x:f>IFERROR(D34/C34,"")</x:f>
        <x:v>0</x:v>
      </x:c>
      <x:c r="G34" s="38" t="str">
        <x:f>IF(ROW()=6,"Base",IF(D34&gt;D33,"Sube",IF(D34&lt;D33,"Baja","Estable")))</x:f>
        <x:v>Estable</x:v>
      </x:c>
    </x:row>
    <x:row r="35">
      <x:c r="A35" s="42" t="n">
        <x:v>46905</x:v>
      </x:c>
      <x:c r="B35" s="39" t="n">
        <x:f>SUMIFS('Registro de Ingresos'!$E$6:$E$505,'Registro de Ingresos'!$A$6:$A$505,"&gt;="&amp;A35,'Registro de Ingresos'!$A$6:$A$505,"&lt;"&amp;EDATE(A35,1))</x:f>
        <x:v>0</x:v>
      </x:c>
      <x:c r="C35" s="39" t="n">
        <x:v>800</x:v>
      </x:c>
      <x:c r="D35" s="39" t="n">
        <x:f>B35-SUMIFS('Registro de Gastos'!$E$6:$E$505,'Registro de Gastos'!$A$6:$A$505,"&gt;="&amp;A35,'Registro de Gastos'!$A$6:$A$505,"&lt;"&amp;EDATE(A35,1),'Registro de Gastos'!$H$6:$H$505,"Pagado")</x:f>
        <x:v>0</x:v>
      </x:c>
      <x:c r="E35" s="39" t="n">
        <x:f>D35-C35</x:f>
        <x:v>-800</x:v>
      </x:c>
      <x:c r="F35" s="40" t="n">
        <x:f>IFERROR(D35/C35,"")</x:f>
        <x:v>0</x:v>
      </x:c>
      <x:c r="G35" s="38" t="str">
        <x:f>IF(ROW()=6,"Base",IF(D35&gt;D34,"Sube",IF(D35&lt;D34,"Baja","Estable")))</x:f>
        <x:v>Estable</x:v>
      </x:c>
    </x:row>
    <x:row r="36">
      <x:c r="A36" s="42" t="n">
        <x:v>46935</x:v>
      </x:c>
      <x:c r="B36" s="39" t="n">
        <x:f>SUMIFS('Registro de Ingresos'!$E$6:$E$505,'Registro de Ingresos'!$A$6:$A$505,"&gt;="&amp;A36,'Registro de Ingresos'!$A$6:$A$505,"&lt;"&amp;EDATE(A36,1))</x:f>
        <x:v>0</x:v>
      </x:c>
      <x:c r="C36" s="39" t="n">
        <x:v>800</x:v>
      </x:c>
      <x:c r="D36" s="39" t="n">
        <x:f>B36-SUMIFS('Registro de Gastos'!$E$6:$E$505,'Registro de Gastos'!$A$6:$A$505,"&gt;="&amp;A36,'Registro de Gastos'!$A$6:$A$505,"&lt;"&amp;EDATE(A36,1),'Registro de Gastos'!$H$6:$H$505,"Pagado")</x:f>
        <x:v>0</x:v>
      </x:c>
      <x:c r="E36" s="39" t="n">
        <x:f>D36-C36</x:f>
        <x:v>-800</x:v>
      </x:c>
      <x:c r="F36" s="40" t="n">
        <x:f>IFERROR(D36/C36,"")</x:f>
        <x:v>0</x:v>
      </x:c>
      <x:c r="G36" s="38" t="str">
        <x:f>IF(ROW()=6,"Base",IF(D36&gt;D35,"Sube",IF(D36&lt;D35,"Baja","Estable")))</x:f>
        <x:v>Estable</x:v>
      </x:c>
    </x:row>
    <x:row r="37">
      <x:c r="A37" s="42" t="n">
        <x:v>46966</x:v>
      </x:c>
      <x:c r="B37" s="39" t="n">
        <x:f>SUMIFS('Registro de Ingresos'!$E$6:$E$505,'Registro de Ingresos'!$A$6:$A$505,"&gt;="&amp;A37,'Registro de Ingresos'!$A$6:$A$505,"&lt;"&amp;EDATE(A37,1))</x:f>
        <x:v>0</x:v>
      </x:c>
      <x:c r="C37" s="39" t="n">
        <x:v>800</x:v>
      </x:c>
      <x:c r="D37" s="39" t="n">
        <x:f>B37-SUMIFS('Registro de Gastos'!$E$6:$E$505,'Registro de Gastos'!$A$6:$A$505,"&gt;="&amp;A37,'Registro de Gastos'!$A$6:$A$505,"&lt;"&amp;EDATE(A37,1),'Registro de Gastos'!$H$6:$H$505,"Pagado")</x:f>
        <x:v>0</x:v>
      </x:c>
      <x:c r="E37" s="39" t="n">
        <x:f>D37-C37</x:f>
        <x:v>-800</x:v>
      </x:c>
      <x:c r="F37" s="40" t="n">
        <x:f>IFERROR(D37/C37,"")</x:f>
        <x:v>0</x:v>
      </x:c>
      <x:c r="G37" s="38" t="str">
        <x:f>IF(ROW()=6,"Base",IF(D37&gt;D36,"Sube",IF(D37&lt;D36,"Baja","Estable")))</x:f>
        <x:v>Estable</x:v>
      </x:c>
    </x:row>
    <x:row r="38">
      <x:c r="A38" s="42" t="n">
        <x:v>46997</x:v>
      </x:c>
      <x:c r="B38" s="39" t="n">
        <x:f>SUMIFS('Registro de Ingresos'!$E$6:$E$505,'Registro de Ingresos'!$A$6:$A$505,"&gt;="&amp;A38,'Registro de Ingresos'!$A$6:$A$505,"&lt;"&amp;EDATE(A38,1))</x:f>
        <x:v>0</x:v>
      </x:c>
      <x:c r="C38" s="39" t="n">
        <x:v>800</x:v>
      </x:c>
      <x:c r="D38" s="39" t="n">
        <x:f>B38-SUMIFS('Registro de Gastos'!$E$6:$E$505,'Registro de Gastos'!$A$6:$A$505,"&gt;="&amp;A38,'Registro de Gastos'!$A$6:$A$505,"&lt;"&amp;EDATE(A38,1),'Registro de Gastos'!$H$6:$H$505,"Pagado")</x:f>
        <x:v>0</x:v>
      </x:c>
      <x:c r="E38" s="39" t="n">
        <x:f>D38-C38</x:f>
        <x:v>-800</x:v>
      </x:c>
      <x:c r="F38" s="40" t="n">
        <x:f>IFERROR(D38/C38,"")</x:f>
        <x:v>0</x:v>
      </x:c>
      <x:c r="G38" s="38" t="str">
        <x:f>IF(ROW()=6,"Base",IF(D38&gt;D37,"Sube",IF(D38&lt;D37,"Baja","Estable")))</x:f>
        <x:v>Estable</x:v>
      </x:c>
    </x:row>
    <x:row r="39">
      <x:c r="A39" s="42" t="n">
        <x:v>47027</x:v>
      </x:c>
      <x:c r="B39" s="39" t="n">
        <x:f>SUMIFS('Registro de Ingresos'!$E$6:$E$505,'Registro de Ingresos'!$A$6:$A$505,"&gt;="&amp;A39,'Registro de Ingresos'!$A$6:$A$505,"&lt;"&amp;EDATE(A39,1))</x:f>
        <x:v>0</x:v>
      </x:c>
      <x:c r="C39" s="39" t="n">
        <x:v>800</x:v>
      </x:c>
      <x:c r="D39" s="39" t="n">
        <x:f>B39-SUMIFS('Registro de Gastos'!$E$6:$E$505,'Registro de Gastos'!$A$6:$A$505,"&gt;="&amp;A39,'Registro de Gastos'!$A$6:$A$505,"&lt;"&amp;EDATE(A39,1),'Registro de Gastos'!$H$6:$H$505,"Pagado")</x:f>
        <x:v>0</x:v>
      </x:c>
      <x:c r="E39" s="39" t="n">
        <x:f>D39-C39</x:f>
        <x:v>-800</x:v>
      </x:c>
      <x:c r="F39" s="40" t="n">
        <x:f>IFERROR(D39/C39,"")</x:f>
        <x:v>0</x:v>
      </x:c>
      <x:c r="G39" s="38" t="str">
        <x:f>IF(ROW()=6,"Base",IF(D39&gt;D38,"Sube",IF(D39&lt;D38,"Baja","Estable")))</x:f>
        <x:v>Estable</x:v>
      </x:c>
    </x:row>
    <x:row r="40">
      <x:c r="A40" s="42" t="n">
        <x:v>47058</x:v>
      </x:c>
      <x:c r="B40" s="39" t="n">
        <x:f>SUMIFS('Registro de Ingresos'!$E$6:$E$505,'Registro de Ingresos'!$A$6:$A$505,"&gt;="&amp;A40,'Registro de Ingresos'!$A$6:$A$505,"&lt;"&amp;EDATE(A40,1))</x:f>
        <x:v>0</x:v>
      </x:c>
      <x:c r="C40" s="39" t="n">
        <x:v>800</x:v>
      </x:c>
      <x:c r="D40" s="39" t="n">
        <x:f>B40-SUMIFS('Registro de Gastos'!$E$6:$E$505,'Registro de Gastos'!$A$6:$A$505,"&gt;="&amp;A40,'Registro de Gastos'!$A$6:$A$505,"&lt;"&amp;EDATE(A40,1),'Registro de Gastos'!$H$6:$H$505,"Pagado")</x:f>
        <x:v>0</x:v>
      </x:c>
      <x:c r="E40" s="39" t="n">
        <x:f>D40-C40</x:f>
        <x:v>-800</x:v>
      </x:c>
      <x:c r="F40" s="40" t="n">
        <x:f>IFERROR(D40/C40,"")</x:f>
        <x:v>0</x:v>
      </x:c>
      <x:c r="G40" s="38" t="str">
        <x:f>IF(ROW()=6,"Base",IF(D40&gt;D39,"Sube",IF(D40&lt;D39,"Baja","Estable")))</x:f>
        <x:v>Estable</x:v>
      </x:c>
    </x:row>
    <x:row r="41">
      <x:c r="A41" s="42" t="n">
        <x:v>47088</x:v>
      </x:c>
      <x:c r="B41" s="39" t="n">
        <x:f>SUMIFS('Registro de Ingresos'!$E$6:$E$505,'Registro de Ingresos'!$A$6:$A$505,"&gt;="&amp;A41,'Registro de Ingresos'!$A$6:$A$505,"&lt;"&amp;EDATE(A41,1))</x:f>
        <x:v>0</x:v>
      </x:c>
      <x:c r="C41" s="39" t="n">
        <x:v>800</x:v>
      </x:c>
      <x:c r="D41" s="39" t="n">
        <x:f>B41-SUMIFS('Registro de Gastos'!$E$6:$E$505,'Registro de Gastos'!$A$6:$A$505,"&gt;="&amp;A41,'Registro de Gastos'!$A$6:$A$505,"&lt;"&amp;EDATE(A41,1),'Registro de Gastos'!$H$6:$H$505,"Pagado")</x:f>
        <x:v>0</x:v>
      </x:c>
      <x:c r="E41" s="39" t="n">
        <x:f>D41-C41</x:f>
        <x:v>-800</x:v>
      </x:c>
      <x:c r="F41" s="40" t="n">
        <x:f>IFERROR(D41/C41,"")</x:f>
        <x:v>0</x:v>
      </x:c>
      <x:c r="G41" s="38" t="str">
        <x:f>IF(ROW()=6,"Base",IF(D41&gt;D40,"Sube",IF(D41&lt;D40,"Baja","Estable")))</x:f>
        <x:v>Estable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5105ab291e843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6.25" hidden="0" customWidth="1"/>
    <x:col min="4" max="4" width="3.75" hidden="0" customWidth="1"/>
    <x:col min="5" max="5" width="23.75" hidden="0" customWidth="1"/>
    <x:col min="6" max="6" width="16.25" hidden="0" customWidth="1"/>
    <x:col min="7" max="7" width="11.25" hidden="0" customWidth="1"/>
    <x:col min="8" max="8" width="15" hidden="0" customWidth="1"/>
  </x:cols>
  <x:sheetData>
    <x:row r="1" ht="28.5" customHeight="1">
      <x:c r="A1" s="34" t="str">
        <x:v>Fondo de Emergencia</x:v>
      </x:c>
      <x:c r="B1" s="34" t="str">
        <x:v>Fondo de Emergencia</x:v>
      </x:c>
      <x:c r="C1" s="34" t="str">
        <x:v>Fondo de Emergencia</x:v>
      </x:c>
      <x:c r="D1" s="34" t="str">
        <x:v>Fondo de Emergencia</x:v>
      </x:c>
      <x:c r="E1" s="34" t="str">
        <x:v>Fondo de Emergencia</x:v>
      </x:c>
      <x:c r="F1" s="34" t="str">
        <x:v>Fondo de Emergencia</x:v>
      </x:c>
      <x:c r="G1" s="34" t="str">
        <x:v>Fondo de Emergencia</x:v>
      </x:c>
      <x:c r="H1" s="34" t="str">
        <x:v>Fondo de Emergencia</x:v>
      </x:c>
    </x:row>
    <x:row r="2" ht="19.5" customHeight="1">
      <x:c r="A2" s="36" t="str">
        <x:v>Aportes y cobertura en meses de gastos esenciales.</x:v>
      </x:c>
      <x:c r="B2" s="36" t="str">
        <x:v>Aportes y cobertura en meses de gastos esenciales.</x:v>
      </x:c>
      <x:c r="C2" s="36" t="str">
        <x:v>Aportes y cobertura en meses de gastos esenciales.</x:v>
      </x:c>
      <x:c r="D2" s="36" t="str">
        <x:v>Aportes y cobertura en meses de gastos esenciales.</x:v>
      </x:c>
      <x:c r="E2" s="36" t="str">
        <x:v>Aportes y cobertura en meses de gastos esenciales.</x:v>
      </x:c>
      <x:c r="F2" s="36" t="str">
        <x:v>Aportes y cobertura en meses de gastos esenciales.</x:v>
      </x:c>
      <x:c r="G2" s="36" t="str">
        <x:v>Aportes y cobertura en meses de gastos esenciales.</x:v>
      </x:c>
      <x:c r="H2" s="36" t="str">
        <x:v>Aportes y cobertura en meses de gastos esenciales.</x:v>
      </x:c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5"/>
      <x:c r="B4" s="35"/>
      <x:c r="C4" s="35"/>
      <x:c r="D4" s="35"/>
      <x:c r="E4" s="35"/>
      <x:c r="F4" s="35"/>
      <x:c r="G4" s="35"/>
      <x:c r="H4" s="35"/>
    </x:row>
    <x:row r="5">
      <x:c r="A5" s="37" t="str">
        <x:v>Fecha</x:v>
      </x:c>
      <x:c r="B5" s="37" t="str">
        <x:v>Aporte</x:v>
      </x:c>
      <x:c r="C5" s="37" t="str">
        <x:v>Saldo acumulado</x:v>
      </x:c>
      <x:c r="D5" s="35"/>
      <x:c r="E5" s="37" t="str">
        <x:v>Indicador</x:v>
      </x:c>
      <x:c r="F5" s="37" t="str">
        <x:v>Valor</x:v>
      </x:c>
      <x:c r="G5" s="37" t="str">
        <x:v>Meta</x:v>
      </x:c>
      <x:c r="H5" s="37" t="str">
        <x:v>% alcanzado</x:v>
      </x:c>
    </x:row>
    <x:row r="6">
      <x:c r="A6" s="46" t="n">
        <x:v>46176</x:v>
      </x:c>
      <x:c r="B6" s="39" t="n">
        <x:v>500</x:v>
      </x:c>
      <x:c r="C6" s="39" t="n">
        <x:f>IF(A6="","",SUM($B$6:B6))</x:f>
        <x:v>500</x:v>
      </x:c>
      <x:c r="D6" s="35"/>
      <x:c r="E6" s="38" t="str">
        <x:v>Gasto esencial mensual</x:v>
      </x:c>
      <x:c r="F6" s="39" t="n">
        <x:f>SUMIFS('Registro de Gastos'!$E$6:$E$505,'Registro de Gastos'!$B$6:$B$505,"Renta/Hipoteca",'Registro de Gastos'!$H$6:$H$505,"Pagado")+SUMIFS('Registro de Gastos'!$E$6:$E$505,'Registro de Gastos'!$B$6:$B$505,"Agua",'Registro de Gastos'!$H$6:$H$505,"Pagado")+SUMIFS('Registro de Gastos'!$E$6:$E$505,'Registro de Gastos'!$B$6:$B$505,"Electricidad",'Registro de Gastos'!$H$6:$H$505,"Pagado")+SUMIFS('Registro de Gastos'!$E$6:$E$505,'Registro de Gastos'!$B$6:$B$505,"Gas",'Registro de Gastos'!$H$6:$H$505,"Pagado")+SUMIFS('Registro de Gastos'!$E$6:$E$505,'Registro de Gastos'!$B$6:$B$505,"Mercado",'Registro de Gastos'!$H$6:$H$505,"Pagado")</x:f>
        <x:v>1635</x:v>
      </x:c>
      <x:c r="G6" s="38" t="str">
        <x:v>Base</x:v>
      </x:c>
      <x:c r="H6" s="38" t="str"/>
    </x:row>
    <x:row r="7">
      <x:c r="A7" s="46" t="n">
        <x:v>46190</x:v>
      </x:c>
      <x:c r="B7" s="39" t="n">
        <x:v>300</x:v>
      </x:c>
      <x:c r="C7" s="39" t="n">
        <x:f>IF(A7="","",SUM($B$6:B7))</x:f>
        <x:v>800</x:v>
      </x:c>
      <x:c r="D7" s="35"/>
      <x:c r="E7" s="38" t="str">
        <x:v>Meta 3 meses</x:v>
      </x:c>
      <x:c r="F7" s="39" t="n">
        <x:f>F6*3</x:f>
        <x:v>4905</x:v>
      </x:c>
      <x:c r="G7" s="38" t="n">
        <x:v>3</x:v>
      </x:c>
      <x:c r="H7" s="40" t="n">
        <x:f>IFERROR($F$10/F7,0)</x:f>
        <x:v>0.16309887869520898</x:v>
      </x:c>
    </x:row>
    <x:row r="8">
      <x:c r="A8" s="46"/>
      <x:c r="B8" s="39"/>
      <x:c r="C8" s="39" t="str">
        <x:f>IF(A8="","",SUM($B$6:B8))</x:f>
      </x:c>
      <x:c r="D8" s="35"/>
      <x:c r="E8" s="38" t="str">
        <x:v>Meta 6 meses</x:v>
      </x:c>
      <x:c r="F8" s="39" t="n">
        <x:f>F6*6</x:f>
        <x:v>9810</x:v>
      </x:c>
      <x:c r="G8" s="38" t="n">
        <x:v>6</x:v>
      </x:c>
      <x:c r="H8" s="40" t="n">
        <x:f>IFERROR($F$10/F8,0)</x:f>
        <x:v>0.08154943934760449</x:v>
      </x:c>
    </x:row>
    <x:row r="9">
      <x:c r="A9" s="46"/>
      <x:c r="B9" s="39"/>
      <x:c r="C9" s="39" t="str">
        <x:f>IF(A9="","",SUM($B$6:B9))</x:f>
      </x:c>
      <x:c r="D9" s="35"/>
      <x:c r="E9" s="38" t="str">
        <x:v>Meta 12 meses</x:v>
      </x:c>
      <x:c r="F9" s="39" t="n">
        <x:f>F6*12</x:f>
        <x:v>19620</x:v>
      </x:c>
      <x:c r="G9" s="38" t="n">
        <x:v>12</x:v>
      </x:c>
      <x:c r="H9" s="40" t="n">
        <x:f>IFERROR($F$10/F9,0)</x:f>
        <x:v>0.040774719673802244</x:v>
      </x:c>
    </x:row>
    <x:row r="10">
      <x:c r="A10" s="46"/>
      <x:c r="B10" s="39"/>
      <x:c r="C10" s="39" t="str">
        <x:f>IF(A10="","",SUM($B$6:B10))</x:f>
      </x:c>
      <x:c r="D10" s="35"/>
      <x:c r="E10" s="38" t="str">
        <x:v>Saldo actual</x:v>
      </x:c>
      <x:c r="F10" s="39" t="n">
        <x:f>MAX($C$6:$C$505)</x:f>
        <x:v>800</x:v>
      </x:c>
      <x:c r="G10" s="38" t="str"/>
      <x:c r="H10" s="38" t="str"/>
    </x:row>
    <x:row r="11">
      <x:c r="A11" s="46"/>
      <x:c r="B11" s="39"/>
      <x:c r="C11" s="39" t="str">
        <x:f>IF(A11="","",SUM($B$6:B11))</x:f>
      </x:c>
      <x:c r="D11" s="35"/>
      <x:c r="E11" s="38" t="str">
        <x:v>Meses cubiertos</x:v>
      </x:c>
      <x:c r="F11" s="41" t="n">
        <x:f>IFERROR(F10/F6,0)</x:f>
        <x:v>0.4892966360856269</x:v>
      </x:c>
      <x:c r="G11" s="38" t="str"/>
      <x:c r="H11" s="38" t="str"/>
    </x:row>
    <x:row r="12">
      <x:c r="A12" s="46"/>
      <x:c r="B12" s="39"/>
      <x:c r="C12" s="39" t="str">
        <x:f>IF(A12="","",SUM($B$6:B12))</x:f>
      </x:c>
      <x:c r="D12" s="35"/>
      <x:c r="E12" s="38" t="str">
        <x:v>Tiempo estimado 6 meses</x:v>
      </x:c>
      <x:c r="F12" s="41" t="n">
        <x:f>IFERROR(MAX(0,(F8-F10)/AVERAGEIF($B$6:$B$505,"&gt;0")) ,"")</x:f>
        <x:v>22.525</x:v>
      </x:c>
      <x:c r="G12" s="38" t="str"/>
      <x:c r="H12" s="38" t="str"/>
    </x:row>
    <x:row r="13">
      <x:c r="A13" s="46"/>
      <x:c r="B13" s="39"/>
      <x:c r="C13" s="39" t="str">
        <x:f>IF(A13="","",SUM($B$6:B13))</x:f>
      </x:c>
      <x:c r="D13" s="35"/>
      <x:c r="E13" s="35"/>
      <x:c r="F13" s="35"/>
      <x:c r="G13" s="35"/>
      <x:c r="H13" s="35"/>
    </x:row>
    <x:row r="14">
      <x:c r="A14" s="46"/>
      <x:c r="B14" s="39"/>
      <x:c r="C14" s="39" t="str">
        <x:f>IF(A14="","",SUM($B$6:B14))</x:f>
      </x:c>
      <x:c r="D14" s="35"/>
      <x:c r="E14" s="35"/>
      <x:c r="F14" s="35"/>
      <x:c r="G14" s="35"/>
      <x:c r="H14" s="35"/>
    </x:row>
    <x:row r="15">
      <x:c r="A15" s="46"/>
      <x:c r="B15" s="39"/>
      <x:c r="C15" s="39" t="str">
        <x:f>IF(A15="","",SUM($B$6:B15))</x:f>
      </x:c>
      <x:c r="D15" s="35"/>
      <x:c r="E15" s="35"/>
      <x:c r="F15" s="35"/>
      <x:c r="G15" s="35"/>
      <x:c r="H15" s="35"/>
    </x:row>
    <x:row r="16">
      <x:c r="A16" s="46"/>
      <x:c r="B16" s="39"/>
      <x:c r="C16" s="39" t="str">
        <x:f>IF(A16="","",SUM($B$6:B16))</x:f>
      </x:c>
      <x:c r="D16" s="35"/>
      <x:c r="E16" s="35"/>
      <x:c r="F16" s="35"/>
      <x:c r="G16" s="35"/>
      <x:c r="H16" s="35"/>
    </x:row>
    <x:row r="17">
      <x:c r="A17" s="46"/>
      <x:c r="B17" s="39"/>
      <x:c r="C17" s="39" t="str">
        <x:f>IF(A17="","",SUM($B$6:B17))</x:f>
      </x:c>
      <x:c r="D17" s="35"/>
      <x:c r="E17" s="35"/>
      <x:c r="F17" s="35"/>
      <x:c r="G17" s="35"/>
      <x:c r="H17" s="35"/>
    </x:row>
    <x:row r="18">
      <x:c r="A18" s="46"/>
      <x:c r="B18" s="39"/>
      <x:c r="C18" s="39" t="str">
        <x:f>IF(A18="","",SUM($B$6:B18))</x:f>
      </x:c>
      <x:c r="D18" s="35"/>
      <x:c r="E18" s="35"/>
      <x:c r="F18" s="35"/>
      <x:c r="G18" s="35"/>
      <x:c r="H18" s="35"/>
    </x:row>
    <x:row r="19">
      <x:c r="A19" s="46"/>
      <x:c r="B19" s="39"/>
      <x:c r="C19" s="39" t="str">
        <x:f>IF(A19="","",SUM($B$6:B19))</x:f>
      </x:c>
      <x:c r="D19" s="35"/>
      <x:c r="E19" s="35"/>
      <x:c r="F19" s="35"/>
      <x:c r="G19" s="35"/>
      <x:c r="H19" s="35"/>
    </x:row>
    <x:row r="20">
      <x:c r="A20" s="46"/>
      <x:c r="B20" s="39"/>
      <x:c r="C20" s="39" t="str">
        <x:f>IF(A20="","",SUM($B$6:B20))</x:f>
      </x:c>
      <x:c r="D20" s="35"/>
      <x:c r="E20" s="35"/>
      <x:c r="F20" s="35"/>
      <x:c r="G20" s="35"/>
      <x:c r="H20" s="35"/>
    </x:row>
    <x:row r="21">
      <x:c r="A21" s="46"/>
      <x:c r="B21" s="39"/>
      <x:c r="C21" s="39" t="str">
        <x:f>IF(A21="","",SUM($B$6:B21))</x:f>
      </x:c>
      <x:c r="D21" s="35"/>
      <x:c r="E21" s="35"/>
      <x:c r="F21" s="35"/>
      <x:c r="G21" s="35"/>
      <x:c r="H21" s="35"/>
    </x:row>
    <x:row r="22">
      <x:c r="A22" s="46"/>
      <x:c r="B22" s="39"/>
      <x:c r="C22" s="39" t="str">
        <x:f>IF(A22="","",SUM($B$6:B22))</x:f>
      </x:c>
      <x:c r="D22" s="35"/>
      <x:c r="E22" s="35"/>
      <x:c r="F22" s="35"/>
      <x:c r="G22" s="35"/>
      <x:c r="H22" s="35"/>
    </x:row>
    <x:row r="23">
      <x:c r="A23" s="46"/>
      <x:c r="B23" s="39"/>
      <x:c r="C23" s="39" t="str">
        <x:f>IF(A23="","",SUM($B$6:B23))</x:f>
      </x:c>
      <x:c r="D23" s="35"/>
      <x:c r="E23" s="35"/>
      <x:c r="F23" s="35"/>
      <x:c r="G23" s="35"/>
      <x:c r="H23" s="35"/>
    </x:row>
    <x:row r="24">
      <x:c r="A24" s="46"/>
      <x:c r="B24" s="39"/>
      <x:c r="C24" s="39" t="str">
        <x:f>IF(A24="","",SUM($B$6:B24))</x:f>
      </x:c>
      <x:c r="D24" s="35"/>
      <x:c r="E24" s="35"/>
      <x:c r="F24" s="35"/>
      <x:c r="G24" s="35"/>
      <x:c r="H24" s="35"/>
    </x:row>
    <x:row r="25">
      <x:c r="A25" s="46"/>
      <x:c r="B25" s="39"/>
      <x:c r="C25" s="39" t="str">
        <x:f>IF(A25="","",SUM($B$6:B25))</x:f>
      </x:c>
      <x:c r="D25" s="35"/>
      <x:c r="E25" s="35"/>
      <x:c r="F25" s="35"/>
      <x:c r="G25" s="35"/>
      <x:c r="H25" s="35"/>
    </x:row>
    <x:row r="26">
      <x:c r="A26" s="46"/>
      <x:c r="B26" s="39"/>
      <x:c r="C26" s="39" t="str">
        <x:f>IF(A26="","",SUM($B$6:B26))</x:f>
      </x:c>
      <x:c r="D26" s="35"/>
      <x:c r="E26" s="35"/>
      <x:c r="F26" s="35"/>
      <x:c r="G26" s="35"/>
      <x:c r="H26" s="35"/>
    </x:row>
    <x:row r="27">
      <x:c r="A27" s="46"/>
      <x:c r="B27" s="39"/>
      <x:c r="C27" s="39" t="str">
        <x:f>IF(A27="","",SUM($B$6:B27))</x:f>
      </x:c>
      <x:c r="D27" s="35"/>
      <x:c r="E27" s="35"/>
      <x:c r="F27" s="35"/>
      <x:c r="G27" s="35"/>
      <x:c r="H27" s="35"/>
    </x:row>
    <x:row r="28">
      <x:c r="A28" s="46"/>
      <x:c r="B28" s="39"/>
      <x:c r="C28" s="39" t="str">
        <x:f>IF(A28="","",SUM($B$6:B28))</x:f>
      </x:c>
      <x:c r="D28" s="35"/>
      <x:c r="E28" s="35"/>
      <x:c r="F28" s="35"/>
      <x:c r="G28" s="35"/>
      <x:c r="H28" s="35"/>
    </x:row>
    <x:row r="29">
      <x:c r="A29" s="46"/>
      <x:c r="B29" s="39"/>
      <x:c r="C29" s="39" t="str">
        <x:f>IF(A29="","",SUM($B$6:B29))</x:f>
      </x:c>
      <x:c r="D29" s="35"/>
      <x:c r="E29" s="35"/>
      <x:c r="F29" s="35"/>
      <x:c r="G29" s="35"/>
      <x:c r="H29" s="35"/>
    </x:row>
    <x:row r="30">
      <x:c r="A30" s="46"/>
      <x:c r="B30" s="39"/>
      <x:c r="C30" s="39" t="str">
        <x:f>IF(A30="","",SUM($B$6:B30))</x:f>
      </x:c>
      <x:c r="D30" s="35"/>
      <x:c r="E30" s="35"/>
      <x:c r="F30" s="35"/>
      <x:c r="G30" s="35"/>
      <x:c r="H30" s="35"/>
    </x:row>
    <x:row r="31">
      <x:c r="A31" s="46"/>
      <x:c r="B31" s="39"/>
      <x:c r="C31" s="39" t="str">
        <x:f>IF(A31="","",SUM($B$6:B31))</x:f>
      </x:c>
      <x:c r="D31" s="35"/>
      <x:c r="E31" s="35"/>
      <x:c r="F31" s="35"/>
      <x:c r="G31" s="35"/>
      <x:c r="H31" s="35"/>
    </x:row>
    <x:row r="32">
      <x:c r="A32" s="46"/>
      <x:c r="B32" s="39"/>
      <x:c r="C32" s="39" t="str">
        <x:f>IF(A32="","",SUM($B$6:B32))</x:f>
      </x:c>
      <x:c r="D32" s="35"/>
      <x:c r="E32" s="35"/>
      <x:c r="F32" s="35"/>
      <x:c r="G32" s="35"/>
      <x:c r="H32" s="35"/>
    </x:row>
    <x:row r="33">
      <x:c r="A33" s="46"/>
      <x:c r="B33" s="39"/>
      <x:c r="C33" s="39" t="str">
        <x:f>IF(A33="","",SUM($B$6:B33))</x:f>
      </x:c>
      <x:c r="D33" s="35"/>
      <x:c r="E33" s="35"/>
      <x:c r="F33" s="35"/>
      <x:c r="G33" s="35"/>
      <x:c r="H33" s="35"/>
    </x:row>
    <x:row r="34">
      <x:c r="A34" s="46"/>
      <x:c r="B34" s="39"/>
      <x:c r="C34" s="39" t="str">
        <x:f>IF(A34="","",SUM($B$6:B34))</x:f>
      </x:c>
      <x:c r="D34" s="35"/>
      <x:c r="E34" s="35"/>
      <x:c r="F34" s="35"/>
      <x:c r="G34" s="35"/>
      <x:c r="H34" s="35"/>
    </x:row>
    <x:row r="35">
      <x:c r="A35" s="46"/>
      <x:c r="B35" s="39"/>
      <x:c r="C35" s="39" t="str">
        <x:f>IF(A35="","",SUM($B$6:B35))</x:f>
      </x:c>
      <x:c r="D35" s="35"/>
      <x:c r="E35" s="35"/>
      <x:c r="F35" s="35"/>
      <x:c r="G35" s="35"/>
      <x:c r="H35" s="35"/>
    </x:row>
    <x:row r="36">
      <x:c r="A36" s="46"/>
      <x:c r="B36" s="39"/>
      <x:c r="C36" s="39" t="str">
        <x:f>IF(A36="","",SUM($B$6:B36))</x:f>
      </x:c>
      <x:c r="D36" s="35"/>
      <x:c r="E36" s="35"/>
      <x:c r="F36" s="35"/>
      <x:c r="G36" s="35"/>
      <x:c r="H36" s="35"/>
    </x:row>
    <x:row r="37">
      <x:c r="A37" s="46"/>
      <x:c r="B37" s="39"/>
      <x:c r="C37" s="39" t="str">
        <x:f>IF(A37="","",SUM($B$6:B37))</x:f>
      </x:c>
      <x:c r="D37" s="35"/>
      <x:c r="E37" s="35"/>
      <x:c r="F37" s="35"/>
      <x:c r="G37" s="35"/>
      <x:c r="H37" s="35"/>
    </x:row>
    <x:row r="38">
      <x:c r="A38" s="46"/>
      <x:c r="B38" s="39"/>
      <x:c r="C38" s="39" t="str">
        <x:f>IF(A38="","",SUM($B$6:B38))</x:f>
      </x:c>
      <x:c r="D38" s="35"/>
      <x:c r="E38" s="35"/>
      <x:c r="F38" s="35"/>
      <x:c r="G38" s="35"/>
      <x:c r="H38" s="35"/>
    </x:row>
    <x:row r="39">
      <x:c r="A39" s="46"/>
      <x:c r="B39" s="39"/>
      <x:c r="C39" s="39" t="str">
        <x:f>IF(A39="","",SUM($B$6:B39))</x:f>
      </x:c>
      <x:c r="D39" s="35"/>
      <x:c r="E39" s="35"/>
      <x:c r="F39" s="35"/>
      <x:c r="G39" s="35"/>
      <x:c r="H39" s="35"/>
    </x:row>
    <x:row r="40">
      <x:c r="A40" s="46"/>
      <x:c r="B40" s="39"/>
      <x:c r="C40" s="39" t="str">
        <x:f>IF(A40="","",SUM($B$6:B40))</x:f>
      </x:c>
      <x:c r="D40" s="35"/>
      <x:c r="E40" s="35"/>
      <x:c r="F40" s="35"/>
      <x:c r="G40" s="35"/>
      <x:c r="H40" s="35"/>
    </x:row>
    <x:row r="41">
      <x:c r="A41" s="46"/>
      <x:c r="B41" s="39"/>
      <x:c r="C41" s="39" t="str">
        <x:f>IF(A41="","",SUM($B$6:B41))</x:f>
      </x:c>
      <x:c r="D41" s="35"/>
      <x:c r="E41" s="35"/>
      <x:c r="F41" s="35"/>
      <x:c r="G41" s="35"/>
      <x:c r="H41" s="35"/>
    </x:row>
    <x:row r="42">
      <x:c r="A42" s="46"/>
      <x:c r="B42" s="39"/>
      <x:c r="C42" s="39" t="str">
        <x:f>IF(A42="","",SUM($B$6:B42))</x:f>
      </x:c>
      <x:c r="D42" s="35"/>
      <x:c r="E42" s="35"/>
      <x:c r="F42" s="35"/>
      <x:c r="G42" s="35"/>
      <x:c r="H42" s="35"/>
    </x:row>
    <x:row r="43">
      <x:c r="A43" s="46"/>
      <x:c r="B43" s="39"/>
      <x:c r="C43" s="39" t="str">
        <x:f>IF(A43="","",SUM($B$6:B43))</x:f>
      </x:c>
      <x:c r="D43" s="35"/>
      <x:c r="E43" s="35"/>
      <x:c r="F43" s="35"/>
      <x:c r="G43" s="35"/>
      <x:c r="H43" s="35"/>
    </x:row>
    <x:row r="44">
      <x:c r="A44" s="46"/>
      <x:c r="B44" s="39"/>
      <x:c r="C44" s="39" t="str">
        <x:f>IF(A44="","",SUM($B$6:B44))</x:f>
      </x:c>
      <x:c r="D44" s="35"/>
      <x:c r="E44" s="35"/>
      <x:c r="F44" s="35"/>
      <x:c r="G44" s="35"/>
      <x:c r="H44" s="35"/>
    </x:row>
    <x:row r="45">
      <x:c r="A45" s="46"/>
      <x:c r="B45" s="39"/>
      <x:c r="C45" s="39" t="str">
        <x:f>IF(A45="","",SUM($B$6:B45))</x:f>
      </x:c>
      <x:c r="D45" s="35"/>
      <x:c r="E45" s="35"/>
      <x:c r="F45" s="35"/>
      <x:c r="G45" s="35"/>
      <x:c r="H45" s="35"/>
    </x:row>
    <x:row r="46">
      <x:c r="A46" s="46"/>
      <x:c r="B46" s="39"/>
      <x:c r="C46" s="39" t="str">
        <x:f>IF(A46="","",SUM($B$6:B46))</x:f>
      </x:c>
      <x:c r="D46" s="35"/>
      <x:c r="E46" s="35"/>
      <x:c r="F46" s="35"/>
      <x:c r="G46" s="35"/>
      <x:c r="H46" s="35"/>
    </x:row>
    <x:row r="47">
      <x:c r="A47" s="46"/>
      <x:c r="B47" s="39"/>
      <x:c r="C47" s="39" t="str">
        <x:f>IF(A47="","",SUM($B$6:B47))</x:f>
      </x:c>
      <x:c r="D47" s="35"/>
      <x:c r="E47" s="35"/>
      <x:c r="F47" s="35"/>
      <x:c r="G47" s="35"/>
      <x:c r="H47" s="35"/>
    </x:row>
    <x:row r="48">
      <x:c r="A48" s="46"/>
      <x:c r="B48" s="39"/>
      <x:c r="C48" s="39" t="str">
        <x:f>IF(A48="","",SUM($B$6:B48))</x:f>
      </x:c>
      <x:c r="D48" s="35"/>
      <x:c r="E48" s="35"/>
      <x:c r="F48" s="35"/>
      <x:c r="G48" s="35"/>
      <x:c r="H48" s="35"/>
    </x:row>
    <x:row r="49">
      <x:c r="A49" s="46"/>
      <x:c r="B49" s="39"/>
      <x:c r="C49" s="39" t="str">
        <x:f>IF(A49="","",SUM($B$6:B49))</x:f>
      </x:c>
      <x:c r="D49" s="35"/>
      <x:c r="E49" s="35"/>
      <x:c r="F49" s="35"/>
      <x:c r="G49" s="35"/>
      <x:c r="H49" s="35"/>
    </x:row>
    <x:row r="50">
      <x:c r="A50" s="46"/>
      <x:c r="B50" s="39"/>
      <x:c r="C50" s="39" t="str">
        <x:f>IF(A50="","",SUM($B$6:B50))</x:f>
      </x:c>
      <x:c r="D50" s="35"/>
      <x:c r="E50" s="35"/>
      <x:c r="F50" s="35"/>
      <x:c r="G50" s="35"/>
      <x:c r="H50" s="35"/>
    </x:row>
    <x:row r="51">
      <x:c r="A51" s="46"/>
      <x:c r="B51" s="39"/>
      <x:c r="C51" s="39" t="str">
        <x:f>IF(A51="","",SUM($B$6:B51))</x:f>
      </x:c>
      <x:c r="D51" s="35"/>
      <x:c r="E51" s="35"/>
      <x:c r="F51" s="35"/>
      <x:c r="G51" s="35"/>
      <x:c r="H51" s="35"/>
    </x:row>
    <x:row r="52">
      <x:c r="A52" s="46"/>
      <x:c r="B52" s="39"/>
      <x:c r="C52" s="39" t="str">
        <x:f>IF(A52="","",SUM($B$6:B52))</x:f>
      </x:c>
      <x:c r="D52" s="35"/>
      <x:c r="E52" s="35"/>
      <x:c r="F52" s="35"/>
      <x:c r="G52" s="35"/>
      <x:c r="H52" s="35"/>
    </x:row>
    <x:row r="53">
      <x:c r="A53" s="46"/>
      <x:c r="B53" s="39"/>
      <x:c r="C53" s="39" t="str">
        <x:f>IF(A53="","",SUM($B$6:B53))</x:f>
      </x:c>
      <x:c r="D53" s="35"/>
      <x:c r="E53" s="35"/>
      <x:c r="F53" s="35"/>
      <x:c r="G53" s="35"/>
      <x:c r="H53" s="35"/>
    </x:row>
    <x:row r="54">
      <x:c r="A54" s="46"/>
      <x:c r="B54" s="39"/>
      <x:c r="C54" s="39" t="str">
        <x:f>IF(A54="","",SUM($B$6:B54))</x:f>
      </x:c>
      <x:c r="D54" s="35"/>
      <x:c r="E54" s="35"/>
      <x:c r="F54" s="35"/>
      <x:c r="G54" s="35"/>
      <x:c r="H54" s="35"/>
    </x:row>
    <x:row r="55">
      <x:c r="A55" s="46"/>
      <x:c r="B55" s="39"/>
      <x:c r="C55" s="39" t="str">
        <x:f>IF(A55="","",SUM($B$6:B55))</x:f>
      </x:c>
      <x:c r="D55" s="35"/>
      <x:c r="E55" s="35"/>
      <x:c r="F55" s="35"/>
      <x:c r="G55" s="35"/>
      <x:c r="H55" s="35"/>
    </x:row>
    <x:row r="56">
      <x:c r="A56" s="46"/>
      <x:c r="B56" s="39"/>
      <x:c r="C56" s="39" t="str">
        <x:f>IF(A56="","",SUM($B$6:B56))</x:f>
      </x:c>
      <x:c r="D56" s="35"/>
      <x:c r="E56" s="35"/>
      <x:c r="F56" s="35"/>
      <x:c r="G56" s="35"/>
      <x:c r="H56" s="35"/>
    </x:row>
    <x:row r="57">
      <x:c r="A57" s="46"/>
      <x:c r="B57" s="39"/>
      <x:c r="C57" s="39" t="str">
        <x:f>IF(A57="","",SUM($B$6:B57))</x:f>
      </x:c>
      <x:c r="D57" s="35"/>
      <x:c r="E57" s="35"/>
      <x:c r="F57" s="35"/>
      <x:c r="G57" s="35"/>
      <x:c r="H57" s="35"/>
    </x:row>
    <x:row r="58">
      <x:c r="A58" s="46"/>
      <x:c r="B58" s="39"/>
      <x:c r="C58" s="39" t="str">
        <x:f>IF(A58="","",SUM($B$6:B58))</x:f>
      </x:c>
      <x:c r="D58" s="35"/>
      <x:c r="E58" s="35"/>
      <x:c r="F58" s="35"/>
      <x:c r="G58" s="35"/>
      <x:c r="H58" s="35"/>
    </x:row>
    <x:row r="59">
      <x:c r="A59" s="46"/>
      <x:c r="B59" s="39"/>
      <x:c r="C59" s="39" t="str">
        <x:f>IF(A59="","",SUM($B$6:B59))</x:f>
      </x:c>
      <x:c r="D59" s="35"/>
      <x:c r="E59" s="35"/>
      <x:c r="F59" s="35"/>
      <x:c r="G59" s="35"/>
      <x:c r="H59" s="35"/>
    </x:row>
    <x:row r="60">
      <x:c r="A60" s="46"/>
      <x:c r="B60" s="39"/>
      <x:c r="C60" s="39" t="str">
        <x:f>IF(A60="","",SUM($B$6:B60))</x:f>
      </x:c>
      <x:c r="D60" s="35"/>
      <x:c r="E60" s="35"/>
      <x:c r="F60" s="35"/>
      <x:c r="G60" s="35"/>
      <x:c r="H60" s="35"/>
    </x:row>
    <x:row r="61">
      <x:c r="A61" s="46"/>
      <x:c r="B61" s="39"/>
      <x:c r="C61" s="39" t="str">
        <x:f>IF(A61="","",SUM($B$6:B61))</x:f>
      </x:c>
      <x:c r="D61" s="35"/>
      <x:c r="E61" s="35"/>
      <x:c r="F61" s="35"/>
      <x:c r="G61" s="35"/>
      <x:c r="H61" s="35"/>
    </x:row>
    <x:row r="62">
      <x:c r="A62" s="46"/>
      <x:c r="B62" s="39"/>
      <x:c r="C62" s="39" t="str">
        <x:f>IF(A62="","",SUM($B$6:B62))</x:f>
      </x:c>
      <x:c r="D62" s="35"/>
      <x:c r="E62" s="35"/>
      <x:c r="F62" s="35"/>
      <x:c r="G62" s="35"/>
      <x:c r="H62" s="35"/>
    </x:row>
    <x:row r="63">
      <x:c r="A63" s="46"/>
      <x:c r="B63" s="39"/>
      <x:c r="C63" s="39" t="str">
        <x:f>IF(A63="","",SUM($B$6:B63))</x:f>
      </x:c>
      <x:c r="D63" s="35"/>
      <x:c r="E63" s="35"/>
      <x:c r="F63" s="35"/>
      <x:c r="G63" s="35"/>
      <x:c r="H63" s="35"/>
    </x:row>
    <x:row r="64">
      <x:c r="A64" s="46"/>
      <x:c r="B64" s="39"/>
      <x:c r="C64" s="39" t="str">
        <x:f>IF(A64="","",SUM($B$6:B64))</x:f>
      </x:c>
      <x:c r="D64" s="35"/>
      <x:c r="E64" s="35"/>
      <x:c r="F64" s="35"/>
      <x:c r="G64" s="35"/>
      <x:c r="H64" s="35"/>
    </x:row>
    <x:row r="65">
      <x:c r="A65" s="46"/>
      <x:c r="B65" s="39"/>
      <x:c r="C65" s="39" t="str">
        <x:f>IF(A65="","",SUM($B$6:B65))</x:f>
      </x:c>
      <x:c r="D65" s="35"/>
      <x:c r="E65" s="35"/>
      <x:c r="F65" s="35"/>
      <x:c r="G65" s="35"/>
      <x:c r="H65" s="35"/>
    </x:row>
    <x:row r="66">
      <x:c r="A66" s="46"/>
      <x:c r="B66" s="39"/>
      <x:c r="C66" s="39" t="str">
        <x:f>IF(A66="","",SUM($B$6:B66))</x:f>
      </x:c>
      <x:c r="D66" s="35"/>
      <x:c r="E66" s="35"/>
      <x:c r="F66" s="35"/>
      <x:c r="G66" s="35"/>
      <x:c r="H66" s="35"/>
    </x:row>
    <x:row r="67">
      <x:c r="A67" s="46"/>
      <x:c r="B67" s="39"/>
      <x:c r="C67" s="39" t="str">
        <x:f>IF(A67="","",SUM($B$6:B67))</x:f>
      </x:c>
      <x:c r="D67" s="35"/>
      <x:c r="E67" s="35"/>
      <x:c r="F67" s="35"/>
      <x:c r="G67" s="35"/>
      <x:c r="H67" s="35"/>
    </x:row>
    <x:row r="68">
      <x:c r="A68" s="46"/>
      <x:c r="B68" s="39"/>
      <x:c r="C68" s="39" t="str">
        <x:f>IF(A68="","",SUM($B$6:B68))</x:f>
      </x:c>
      <x:c r="D68" s="35"/>
      <x:c r="E68" s="35"/>
      <x:c r="F68" s="35"/>
      <x:c r="G68" s="35"/>
      <x:c r="H68" s="35"/>
    </x:row>
    <x:row r="69">
      <x:c r="A69" s="46"/>
      <x:c r="B69" s="39"/>
      <x:c r="C69" s="39" t="str">
        <x:f>IF(A69="","",SUM($B$6:B69))</x:f>
      </x:c>
      <x:c r="D69" s="35"/>
      <x:c r="E69" s="35"/>
      <x:c r="F69" s="35"/>
      <x:c r="G69" s="35"/>
      <x:c r="H69" s="35"/>
    </x:row>
    <x:row r="70">
      <x:c r="A70" s="46"/>
      <x:c r="B70" s="39"/>
      <x:c r="C70" s="39" t="str">
        <x:f>IF(A70="","",SUM($B$6:B70))</x:f>
      </x:c>
      <x:c r="D70" s="35"/>
      <x:c r="E70" s="35"/>
      <x:c r="F70" s="35"/>
      <x:c r="G70" s="35"/>
      <x:c r="H70" s="35"/>
    </x:row>
    <x:row r="71">
      <x:c r="A71" s="46"/>
      <x:c r="B71" s="39"/>
      <x:c r="C71" s="39" t="str">
        <x:f>IF(A71="","",SUM($B$6:B71))</x:f>
      </x:c>
      <x:c r="D71" s="35"/>
      <x:c r="E71" s="35"/>
      <x:c r="F71" s="35"/>
      <x:c r="G71" s="35"/>
      <x:c r="H71" s="35"/>
    </x:row>
    <x:row r="72">
      <x:c r="A72" s="46"/>
      <x:c r="B72" s="39"/>
      <x:c r="C72" s="39" t="str">
        <x:f>IF(A72="","",SUM($B$6:B72))</x:f>
      </x:c>
      <x:c r="D72" s="35"/>
      <x:c r="E72" s="35"/>
      <x:c r="F72" s="35"/>
      <x:c r="G72" s="35"/>
      <x:c r="H72" s="35"/>
    </x:row>
    <x:row r="73">
      <x:c r="A73" s="46"/>
      <x:c r="B73" s="39"/>
      <x:c r="C73" s="39" t="str">
        <x:f>IF(A73="","",SUM($B$6:B73))</x:f>
      </x:c>
      <x:c r="D73" s="35"/>
      <x:c r="E73" s="35"/>
      <x:c r="F73" s="35"/>
      <x:c r="G73" s="35"/>
      <x:c r="H73" s="35"/>
    </x:row>
    <x:row r="74">
      <x:c r="A74" s="46"/>
      <x:c r="B74" s="39"/>
      <x:c r="C74" s="39" t="str">
        <x:f>IF(A74="","",SUM($B$6:B74))</x:f>
      </x:c>
      <x:c r="D74" s="35"/>
      <x:c r="E74" s="35"/>
      <x:c r="F74" s="35"/>
      <x:c r="G74" s="35"/>
      <x:c r="H74" s="35"/>
    </x:row>
    <x:row r="75">
      <x:c r="A75" s="46"/>
      <x:c r="B75" s="39"/>
      <x:c r="C75" s="39" t="str">
        <x:f>IF(A75="","",SUM($B$6:B75))</x:f>
      </x:c>
      <x:c r="D75" s="35"/>
      <x:c r="E75" s="35"/>
      <x:c r="F75" s="35"/>
      <x:c r="G75" s="35"/>
      <x:c r="H75" s="35"/>
    </x:row>
    <x:row r="76">
      <x:c r="A76" s="46"/>
      <x:c r="B76" s="39"/>
      <x:c r="C76" s="39" t="str">
        <x:f>IF(A76="","",SUM($B$6:B76))</x:f>
      </x:c>
      <x:c r="D76" s="35"/>
      <x:c r="E76" s="35"/>
      <x:c r="F76" s="35"/>
      <x:c r="G76" s="35"/>
      <x:c r="H76" s="35"/>
    </x:row>
    <x:row r="77">
      <x:c r="A77" s="46"/>
      <x:c r="B77" s="39"/>
      <x:c r="C77" s="39" t="str">
        <x:f>IF(A77="","",SUM($B$6:B77))</x:f>
      </x:c>
      <x:c r="D77" s="35"/>
      <x:c r="E77" s="35"/>
      <x:c r="F77" s="35"/>
      <x:c r="G77" s="35"/>
      <x:c r="H77" s="35"/>
    </x:row>
    <x:row r="78">
      <x:c r="A78" s="46"/>
      <x:c r="B78" s="39"/>
      <x:c r="C78" s="39" t="str">
        <x:f>IF(A78="","",SUM($B$6:B78))</x:f>
      </x:c>
      <x:c r="D78" s="35"/>
      <x:c r="E78" s="35"/>
      <x:c r="F78" s="35"/>
      <x:c r="G78" s="35"/>
      <x:c r="H78" s="35"/>
    </x:row>
    <x:row r="79">
      <x:c r="A79" s="46"/>
      <x:c r="B79" s="39"/>
      <x:c r="C79" s="39" t="str">
        <x:f>IF(A79="","",SUM($B$6:B79))</x:f>
      </x:c>
      <x:c r="D79" s="35"/>
      <x:c r="E79" s="35"/>
      <x:c r="F79" s="35"/>
      <x:c r="G79" s="35"/>
      <x:c r="H79" s="35"/>
    </x:row>
    <x:row r="80">
      <x:c r="A80" s="46"/>
      <x:c r="B80" s="39"/>
      <x:c r="C80" s="39" t="str">
        <x:f>IF(A80="","",SUM($B$6:B80))</x:f>
      </x:c>
      <x:c r="D80" s="35"/>
      <x:c r="E80" s="35"/>
      <x:c r="F80" s="35"/>
      <x:c r="G80" s="35"/>
      <x:c r="H80" s="35"/>
    </x:row>
    <x:row r="81">
      <x:c r="A81" s="46"/>
      <x:c r="B81" s="39"/>
      <x:c r="C81" s="39" t="str">
        <x:f>IF(A81="","",SUM($B$6:B81))</x:f>
      </x:c>
      <x:c r="D81" s="35"/>
      <x:c r="E81" s="35"/>
      <x:c r="F81" s="35"/>
      <x:c r="G81" s="35"/>
      <x:c r="H81" s="35"/>
    </x:row>
    <x:row r="82">
      <x:c r="A82" s="46"/>
      <x:c r="B82" s="39"/>
      <x:c r="C82" s="39" t="str">
        <x:f>IF(A82="","",SUM($B$6:B82))</x:f>
      </x:c>
      <x:c r="D82" s="35"/>
      <x:c r="E82" s="35"/>
      <x:c r="F82" s="35"/>
      <x:c r="G82" s="35"/>
      <x:c r="H82" s="35"/>
    </x:row>
    <x:row r="83">
      <x:c r="A83" s="46"/>
      <x:c r="B83" s="39"/>
      <x:c r="C83" s="39" t="str">
        <x:f>IF(A83="","",SUM($B$6:B83))</x:f>
      </x:c>
      <x:c r="D83" s="35"/>
      <x:c r="E83" s="35"/>
      <x:c r="F83" s="35"/>
      <x:c r="G83" s="35"/>
      <x:c r="H83" s="35"/>
    </x:row>
    <x:row r="84">
      <x:c r="A84" s="46"/>
      <x:c r="B84" s="39"/>
      <x:c r="C84" s="39" t="str">
        <x:f>IF(A84="","",SUM($B$6:B84))</x:f>
      </x:c>
      <x:c r="D84" s="35"/>
      <x:c r="E84" s="35"/>
      <x:c r="F84" s="35"/>
      <x:c r="G84" s="35"/>
      <x:c r="H84" s="35"/>
    </x:row>
    <x:row r="85">
      <x:c r="A85" s="46"/>
      <x:c r="B85" s="39"/>
      <x:c r="C85" s="39" t="str">
        <x:f>IF(A85="","",SUM($B$6:B85))</x:f>
      </x:c>
      <x:c r="D85" s="35"/>
      <x:c r="E85" s="35"/>
      <x:c r="F85" s="35"/>
      <x:c r="G85" s="35"/>
      <x:c r="H85" s="35"/>
    </x:row>
    <x:row r="86">
      <x:c r="A86" s="46"/>
      <x:c r="B86" s="39"/>
      <x:c r="C86" s="39" t="str">
        <x:f>IF(A86="","",SUM($B$6:B86))</x:f>
      </x:c>
      <x:c r="D86" s="35"/>
      <x:c r="E86" s="35"/>
      <x:c r="F86" s="35"/>
      <x:c r="G86" s="35"/>
      <x:c r="H86" s="35"/>
    </x:row>
    <x:row r="87">
      <x:c r="A87" s="46"/>
      <x:c r="B87" s="39"/>
      <x:c r="C87" s="39" t="str">
        <x:f>IF(A87="","",SUM($B$6:B87))</x:f>
      </x:c>
      <x:c r="D87" s="35"/>
      <x:c r="E87" s="35"/>
      <x:c r="F87" s="35"/>
      <x:c r="G87" s="35"/>
      <x:c r="H87" s="35"/>
    </x:row>
    <x:row r="88">
      <x:c r="A88" s="46"/>
      <x:c r="B88" s="39"/>
      <x:c r="C88" s="39" t="str">
        <x:f>IF(A88="","",SUM($B$6:B88))</x:f>
      </x:c>
      <x:c r="D88" s="35"/>
      <x:c r="E88" s="35"/>
      <x:c r="F88" s="35"/>
      <x:c r="G88" s="35"/>
      <x:c r="H88" s="35"/>
    </x:row>
    <x:row r="89">
      <x:c r="A89" s="46"/>
      <x:c r="B89" s="39"/>
      <x:c r="C89" s="39" t="str">
        <x:f>IF(A89="","",SUM($B$6:B89))</x:f>
      </x:c>
      <x:c r="D89" s="35"/>
      <x:c r="E89" s="35"/>
      <x:c r="F89" s="35"/>
      <x:c r="G89" s="35"/>
      <x:c r="H89" s="35"/>
    </x:row>
    <x:row r="90">
      <x:c r="A90" s="46"/>
      <x:c r="B90" s="39"/>
      <x:c r="C90" s="39" t="str">
        <x:f>IF(A90="","",SUM($B$6:B90))</x:f>
      </x:c>
      <x:c r="D90" s="35"/>
      <x:c r="E90" s="35"/>
      <x:c r="F90" s="35"/>
      <x:c r="G90" s="35"/>
      <x:c r="H90" s="35"/>
    </x:row>
    <x:row r="91">
      <x:c r="A91" s="46"/>
      <x:c r="B91" s="39"/>
      <x:c r="C91" s="39" t="str">
        <x:f>IF(A91="","",SUM($B$6:B91))</x:f>
      </x:c>
      <x:c r="D91" s="35"/>
      <x:c r="E91" s="35"/>
      <x:c r="F91" s="35"/>
      <x:c r="G91" s="35"/>
      <x:c r="H91" s="35"/>
    </x:row>
    <x:row r="92">
      <x:c r="A92" s="46"/>
      <x:c r="B92" s="39"/>
      <x:c r="C92" s="39" t="str">
        <x:f>IF(A92="","",SUM($B$6:B92))</x:f>
      </x:c>
      <x:c r="D92" s="35"/>
      <x:c r="E92" s="35"/>
      <x:c r="F92" s="35"/>
      <x:c r="G92" s="35"/>
      <x:c r="H92" s="35"/>
    </x:row>
    <x:row r="93">
      <x:c r="A93" s="46"/>
      <x:c r="B93" s="39"/>
      <x:c r="C93" s="39" t="str">
        <x:f>IF(A93="","",SUM($B$6:B93))</x:f>
      </x:c>
      <x:c r="D93" s="35"/>
      <x:c r="E93" s="35"/>
      <x:c r="F93" s="35"/>
      <x:c r="G93" s="35"/>
      <x:c r="H93" s="35"/>
    </x:row>
    <x:row r="94">
      <x:c r="A94" s="46"/>
      <x:c r="B94" s="39"/>
      <x:c r="C94" s="39" t="str">
        <x:f>IF(A94="","",SUM($B$6:B94))</x:f>
      </x:c>
      <x:c r="D94" s="35"/>
      <x:c r="E94" s="35"/>
      <x:c r="F94" s="35"/>
      <x:c r="G94" s="35"/>
      <x:c r="H94" s="35"/>
    </x:row>
    <x:row r="95">
      <x:c r="A95" s="46"/>
      <x:c r="B95" s="39"/>
      <x:c r="C95" s="39" t="str">
        <x:f>IF(A95="","",SUM($B$6:B95))</x:f>
      </x:c>
      <x:c r="D95" s="35"/>
      <x:c r="E95" s="35"/>
      <x:c r="F95" s="35"/>
      <x:c r="G95" s="35"/>
      <x:c r="H95" s="35"/>
    </x:row>
    <x:row r="96">
      <x:c r="A96" s="46"/>
      <x:c r="B96" s="39"/>
      <x:c r="C96" s="39" t="str">
        <x:f>IF(A96="","",SUM($B$6:B96))</x:f>
      </x:c>
      <x:c r="D96" s="35"/>
      <x:c r="E96" s="35"/>
      <x:c r="F96" s="35"/>
      <x:c r="G96" s="35"/>
      <x:c r="H96" s="35"/>
    </x:row>
    <x:row r="97">
      <x:c r="A97" s="46"/>
      <x:c r="B97" s="39"/>
      <x:c r="C97" s="39" t="str">
        <x:f>IF(A97="","",SUM($B$6:B97))</x:f>
      </x:c>
      <x:c r="D97" s="35"/>
      <x:c r="E97" s="35"/>
      <x:c r="F97" s="35"/>
      <x:c r="G97" s="35"/>
      <x:c r="H97" s="35"/>
    </x:row>
    <x:row r="98">
      <x:c r="A98" s="46"/>
      <x:c r="B98" s="39"/>
      <x:c r="C98" s="39" t="str">
        <x:f>IF(A98="","",SUM($B$6:B98))</x:f>
      </x:c>
      <x:c r="D98" s="35"/>
      <x:c r="E98" s="35"/>
      <x:c r="F98" s="35"/>
      <x:c r="G98" s="35"/>
      <x:c r="H98" s="35"/>
    </x:row>
    <x:row r="99">
      <x:c r="A99" s="46"/>
      <x:c r="B99" s="39"/>
      <x:c r="C99" s="39" t="str">
        <x:f>IF(A99="","",SUM($B$6:B99))</x:f>
      </x:c>
      <x:c r="D99" s="35"/>
      <x:c r="E99" s="35"/>
      <x:c r="F99" s="35"/>
      <x:c r="G99" s="35"/>
      <x:c r="H99" s="35"/>
    </x:row>
    <x:row r="100">
      <x:c r="A100" s="46"/>
      <x:c r="B100" s="39"/>
      <x:c r="C100" s="39" t="str">
        <x:f>IF(A100="","",SUM($B$6:B100))</x:f>
      </x:c>
      <x:c r="D100" s="35"/>
      <x:c r="E100" s="35"/>
      <x:c r="F100" s="35"/>
      <x:c r="G100" s="35"/>
      <x:c r="H100" s="35"/>
    </x:row>
    <x:row r="101">
      <x:c r="A101" s="46"/>
      <x:c r="B101" s="39"/>
      <x:c r="C101" s="39" t="str">
        <x:f>IF(A101="","",SUM($B$6:B101))</x:f>
      </x:c>
      <x:c r="D101" s="35"/>
      <x:c r="E101" s="35"/>
      <x:c r="F101" s="35"/>
      <x:c r="G101" s="35"/>
      <x:c r="H101" s="35"/>
    </x:row>
    <x:row r="102">
      <x:c r="A102" s="46"/>
      <x:c r="B102" s="39"/>
      <x:c r="C102" s="39" t="str">
        <x:f>IF(A102="","",SUM($B$6:B102))</x:f>
      </x:c>
      <x:c r="D102" s="35"/>
      <x:c r="E102" s="35"/>
      <x:c r="F102" s="35"/>
      <x:c r="G102" s="35"/>
      <x:c r="H102" s="35"/>
    </x:row>
    <x:row r="103">
      <x:c r="A103" s="46"/>
      <x:c r="B103" s="39"/>
      <x:c r="C103" s="39" t="str">
        <x:f>IF(A103="","",SUM($B$6:B103))</x:f>
      </x:c>
      <x:c r="D103" s="35"/>
      <x:c r="E103" s="35"/>
      <x:c r="F103" s="35"/>
      <x:c r="G103" s="35"/>
      <x:c r="H103" s="35"/>
    </x:row>
    <x:row r="104">
      <x:c r="A104" s="46"/>
      <x:c r="B104" s="39"/>
      <x:c r="C104" s="39" t="str">
        <x:f>IF(A104="","",SUM($B$6:B104))</x:f>
      </x:c>
      <x:c r="D104" s="35"/>
      <x:c r="E104" s="35"/>
      <x:c r="F104" s="35"/>
      <x:c r="G104" s="35"/>
      <x:c r="H104" s="35"/>
    </x:row>
    <x:row r="105">
      <x:c r="A105" s="46"/>
      <x:c r="B105" s="39"/>
      <x:c r="C105" s="39" t="str">
        <x:f>IF(A105="","",SUM($B$6:B105))</x:f>
      </x:c>
      <x:c r="D105" s="35"/>
      <x:c r="E105" s="35"/>
      <x:c r="F105" s="35"/>
      <x:c r="G105" s="35"/>
      <x:c r="H105" s="35"/>
    </x:row>
    <x:row r="106">
      <x:c r="A106" s="46"/>
      <x:c r="B106" s="39"/>
      <x:c r="C106" s="39" t="str">
        <x:f>IF(A106="","",SUM($B$6:B106))</x:f>
      </x:c>
      <x:c r="D106" s="35"/>
      <x:c r="E106" s="35"/>
      <x:c r="F106" s="35"/>
      <x:c r="G106" s="35"/>
      <x:c r="H106" s="35"/>
    </x:row>
    <x:row r="107">
      <x:c r="A107" s="46"/>
      <x:c r="B107" s="39"/>
      <x:c r="C107" s="39" t="str">
        <x:f>IF(A107="","",SUM($B$6:B107))</x:f>
      </x:c>
      <x:c r="D107" s="35"/>
      <x:c r="E107" s="35"/>
      <x:c r="F107" s="35"/>
      <x:c r="G107" s="35"/>
      <x:c r="H107" s="35"/>
    </x:row>
    <x:row r="108">
      <x:c r="A108" s="46"/>
      <x:c r="B108" s="39"/>
      <x:c r="C108" s="39" t="str">
        <x:f>IF(A108="","",SUM($B$6:B108))</x:f>
      </x:c>
      <x:c r="D108" s="35"/>
      <x:c r="E108" s="35"/>
      <x:c r="F108" s="35"/>
      <x:c r="G108" s="35"/>
      <x:c r="H108" s="35"/>
    </x:row>
    <x:row r="109">
      <x:c r="A109" s="46"/>
      <x:c r="B109" s="39"/>
      <x:c r="C109" s="39" t="str">
        <x:f>IF(A109="","",SUM($B$6:B109))</x:f>
      </x:c>
      <x:c r="D109" s="35"/>
      <x:c r="E109" s="35"/>
      <x:c r="F109" s="35"/>
      <x:c r="G109" s="35"/>
      <x:c r="H109" s="35"/>
    </x:row>
    <x:row r="110">
      <x:c r="A110" s="46"/>
      <x:c r="B110" s="39"/>
      <x:c r="C110" s="39" t="str">
        <x:f>IF(A110="","",SUM($B$6:B110))</x:f>
      </x:c>
      <x:c r="D110" s="35"/>
      <x:c r="E110" s="35"/>
      <x:c r="F110" s="35"/>
      <x:c r="G110" s="35"/>
      <x:c r="H110" s="35"/>
    </x:row>
    <x:row r="111">
      <x:c r="A111" s="46"/>
      <x:c r="B111" s="39"/>
      <x:c r="C111" s="39" t="str">
        <x:f>IF(A111="","",SUM($B$6:B111))</x:f>
      </x:c>
      <x:c r="D111" s="35"/>
      <x:c r="E111" s="35"/>
      <x:c r="F111" s="35"/>
      <x:c r="G111" s="35"/>
      <x:c r="H111" s="35"/>
    </x:row>
    <x:row r="112">
      <x:c r="A112" s="46"/>
      <x:c r="B112" s="39"/>
      <x:c r="C112" s="39" t="str">
        <x:f>IF(A112="","",SUM($B$6:B112))</x:f>
      </x:c>
      <x:c r="D112" s="35"/>
      <x:c r="E112" s="35"/>
      <x:c r="F112" s="35"/>
      <x:c r="G112" s="35"/>
      <x:c r="H112" s="35"/>
    </x:row>
    <x:row r="113">
      <x:c r="A113" s="46"/>
      <x:c r="B113" s="39"/>
      <x:c r="C113" s="39" t="str">
        <x:f>IF(A113="","",SUM($B$6:B113))</x:f>
      </x:c>
      <x:c r="D113" s="35"/>
      <x:c r="E113" s="35"/>
      <x:c r="F113" s="35"/>
      <x:c r="G113" s="35"/>
      <x:c r="H113" s="35"/>
    </x:row>
    <x:row r="114">
      <x:c r="A114" s="46"/>
      <x:c r="B114" s="39"/>
      <x:c r="C114" s="39" t="str">
        <x:f>IF(A114="","",SUM($B$6:B114))</x:f>
      </x:c>
      <x:c r="D114" s="35"/>
      <x:c r="E114" s="35"/>
      <x:c r="F114" s="35"/>
      <x:c r="G114" s="35"/>
      <x:c r="H114" s="35"/>
    </x:row>
    <x:row r="115">
      <x:c r="A115" s="46"/>
      <x:c r="B115" s="39"/>
      <x:c r="C115" s="39" t="str">
        <x:f>IF(A115="","",SUM($B$6:B115))</x:f>
      </x:c>
      <x:c r="D115" s="35"/>
      <x:c r="E115" s="35"/>
      <x:c r="F115" s="35"/>
      <x:c r="G115" s="35"/>
      <x:c r="H115" s="35"/>
    </x:row>
    <x:row r="116">
      <x:c r="A116" s="46"/>
      <x:c r="B116" s="39"/>
      <x:c r="C116" s="39" t="str">
        <x:f>IF(A116="","",SUM($B$6:B116))</x:f>
      </x:c>
      <x:c r="D116" s="35"/>
      <x:c r="E116" s="35"/>
      <x:c r="F116" s="35"/>
      <x:c r="G116" s="35"/>
      <x:c r="H116" s="35"/>
    </x:row>
    <x:row r="117">
      <x:c r="A117" s="46"/>
      <x:c r="B117" s="39"/>
      <x:c r="C117" s="39" t="str">
        <x:f>IF(A117="","",SUM($B$6:B117))</x:f>
      </x:c>
      <x:c r="D117" s="35"/>
      <x:c r="E117" s="35"/>
      <x:c r="F117" s="35"/>
      <x:c r="G117" s="35"/>
      <x:c r="H117" s="35"/>
    </x:row>
    <x:row r="118">
      <x:c r="A118" s="46"/>
      <x:c r="B118" s="39"/>
      <x:c r="C118" s="39" t="str">
        <x:f>IF(A118="","",SUM($B$6:B118))</x:f>
      </x:c>
      <x:c r="D118" s="35"/>
      <x:c r="E118" s="35"/>
      <x:c r="F118" s="35"/>
      <x:c r="G118" s="35"/>
      <x:c r="H118" s="35"/>
    </x:row>
    <x:row r="119">
      <x:c r="A119" s="46"/>
      <x:c r="B119" s="39"/>
      <x:c r="C119" s="39" t="str">
        <x:f>IF(A119="","",SUM($B$6:B119))</x:f>
      </x:c>
      <x:c r="D119" s="35"/>
      <x:c r="E119" s="35"/>
      <x:c r="F119" s="35"/>
      <x:c r="G119" s="35"/>
      <x:c r="H119" s="35"/>
    </x:row>
    <x:row r="120">
      <x:c r="A120" s="46"/>
      <x:c r="B120" s="39"/>
      <x:c r="C120" s="39" t="str">
        <x:f>IF(A120="","",SUM($B$6:B120))</x:f>
      </x:c>
      <x:c r="D120" s="35"/>
      <x:c r="E120" s="35"/>
      <x:c r="F120" s="35"/>
      <x:c r="G120" s="35"/>
      <x:c r="H120" s="35"/>
    </x:row>
    <x:row r="121">
      <x:c r="A121" s="46"/>
      <x:c r="B121" s="39"/>
      <x:c r="C121" s="39" t="str">
        <x:f>IF(A121="","",SUM($B$6:B121))</x:f>
      </x:c>
      <x:c r="D121" s="35"/>
      <x:c r="E121" s="35"/>
      <x:c r="F121" s="35"/>
      <x:c r="G121" s="35"/>
      <x:c r="H121" s="35"/>
    </x:row>
    <x:row r="122">
      <x:c r="A122" s="46"/>
      <x:c r="B122" s="39"/>
      <x:c r="C122" s="39" t="str">
        <x:f>IF(A122="","",SUM($B$6:B122))</x:f>
      </x:c>
      <x:c r="D122" s="35"/>
      <x:c r="E122" s="35"/>
      <x:c r="F122" s="35"/>
      <x:c r="G122" s="35"/>
      <x:c r="H122" s="35"/>
    </x:row>
    <x:row r="123">
      <x:c r="A123" s="46"/>
      <x:c r="B123" s="39"/>
      <x:c r="C123" s="39" t="str">
        <x:f>IF(A123="","",SUM($B$6:B123))</x:f>
      </x:c>
      <x:c r="D123" s="35"/>
      <x:c r="E123" s="35"/>
      <x:c r="F123" s="35"/>
      <x:c r="G123" s="35"/>
      <x:c r="H123" s="35"/>
    </x:row>
    <x:row r="124">
      <x:c r="A124" s="46"/>
      <x:c r="B124" s="39"/>
      <x:c r="C124" s="39" t="str">
        <x:f>IF(A124="","",SUM($B$6:B124))</x:f>
      </x:c>
      <x:c r="D124" s="35"/>
      <x:c r="E124" s="35"/>
      <x:c r="F124" s="35"/>
      <x:c r="G124" s="35"/>
      <x:c r="H124" s="35"/>
    </x:row>
    <x:row r="125">
      <x:c r="A125" s="46"/>
      <x:c r="B125" s="39"/>
      <x:c r="C125" s="39" t="str">
        <x:f>IF(A125="","",SUM($B$6:B125))</x:f>
      </x:c>
      <x:c r="D125" s="35"/>
      <x:c r="E125" s="35"/>
      <x:c r="F125" s="35"/>
      <x:c r="G125" s="35"/>
      <x:c r="H125" s="35"/>
    </x:row>
    <x:row r="126">
      <x:c r="A126" s="46"/>
      <x:c r="B126" s="39"/>
      <x:c r="C126" s="39" t="str">
        <x:f>IF(A126="","",SUM($B$6:B126))</x:f>
      </x:c>
      <x:c r="D126" s="35"/>
      <x:c r="E126" s="35"/>
      <x:c r="F126" s="35"/>
      <x:c r="G126" s="35"/>
      <x:c r="H126" s="35"/>
    </x:row>
    <x:row r="127">
      <x:c r="A127" s="46"/>
      <x:c r="B127" s="39"/>
      <x:c r="C127" s="39" t="str">
        <x:f>IF(A127="","",SUM($B$6:B127))</x:f>
      </x:c>
      <x:c r="D127" s="35"/>
      <x:c r="E127" s="35"/>
      <x:c r="F127" s="35"/>
      <x:c r="G127" s="35"/>
      <x:c r="H127" s="35"/>
    </x:row>
    <x:row r="128">
      <x:c r="A128" s="46"/>
      <x:c r="B128" s="39"/>
      <x:c r="C128" s="39" t="str">
        <x:f>IF(A128="","",SUM($B$6:B128))</x:f>
      </x:c>
      <x:c r="D128" s="35"/>
      <x:c r="E128" s="35"/>
      <x:c r="F128" s="35"/>
      <x:c r="G128" s="35"/>
      <x:c r="H128" s="35"/>
    </x:row>
    <x:row r="129">
      <x:c r="A129" s="46"/>
      <x:c r="B129" s="39"/>
      <x:c r="C129" s="39" t="str">
        <x:f>IF(A129="","",SUM($B$6:B129))</x:f>
      </x:c>
      <x:c r="D129" s="35"/>
      <x:c r="E129" s="35"/>
      <x:c r="F129" s="35"/>
      <x:c r="G129" s="35"/>
      <x:c r="H129" s="35"/>
    </x:row>
    <x:row r="130">
      <x:c r="A130" s="46"/>
      <x:c r="B130" s="39"/>
      <x:c r="C130" s="39" t="str">
        <x:f>IF(A130="","",SUM($B$6:B130))</x:f>
      </x:c>
      <x:c r="D130" s="35"/>
      <x:c r="E130" s="35"/>
      <x:c r="F130" s="35"/>
      <x:c r="G130" s="35"/>
      <x:c r="H130" s="35"/>
    </x:row>
    <x:row r="131">
      <x:c r="A131" s="46"/>
      <x:c r="B131" s="39"/>
      <x:c r="C131" s="39" t="str">
        <x:f>IF(A131="","",SUM($B$6:B131))</x:f>
      </x:c>
      <x:c r="D131" s="35"/>
      <x:c r="E131" s="35"/>
      <x:c r="F131" s="35"/>
      <x:c r="G131" s="35"/>
      <x:c r="H131" s="35"/>
    </x:row>
    <x:row r="132">
      <x:c r="A132" s="46"/>
      <x:c r="B132" s="39"/>
      <x:c r="C132" s="39" t="str">
        <x:f>IF(A132="","",SUM($B$6:B132))</x:f>
      </x:c>
      <x:c r="D132" s="35"/>
      <x:c r="E132" s="35"/>
      <x:c r="F132" s="35"/>
      <x:c r="G132" s="35"/>
      <x:c r="H132" s="35"/>
    </x:row>
    <x:row r="133">
      <x:c r="A133" s="46"/>
      <x:c r="B133" s="39"/>
      <x:c r="C133" s="39" t="str">
        <x:f>IF(A133="","",SUM($B$6:B133))</x:f>
      </x:c>
      <x:c r="D133" s="35"/>
      <x:c r="E133" s="35"/>
      <x:c r="F133" s="35"/>
      <x:c r="G133" s="35"/>
      <x:c r="H133" s="35"/>
    </x:row>
    <x:row r="134">
      <x:c r="A134" s="46"/>
      <x:c r="B134" s="39"/>
      <x:c r="C134" s="39" t="str">
        <x:f>IF(A134="","",SUM($B$6:B134))</x:f>
      </x:c>
      <x:c r="D134" s="35"/>
      <x:c r="E134" s="35"/>
      <x:c r="F134" s="35"/>
      <x:c r="G134" s="35"/>
      <x:c r="H134" s="35"/>
    </x:row>
    <x:row r="135">
      <x:c r="A135" s="46"/>
      <x:c r="B135" s="39"/>
      <x:c r="C135" s="39" t="str">
        <x:f>IF(A135="","",SUM($B$6:B135))</x:f>
      </x:c>
      <x:c r="D135" s="35"/>
      <x:c r="E135" s="35"/>
      <x:c r="F135" s="35"/>
      <x:c r="G135" s="35"/>
      <x:c r="H135" s="35"/>
    </x:row>
    <x:row r="136">
      <x:c r="A136" s="46"/>
      <x:c r="B136" s="39"/>
      <x:c r="C136" s="39" t="str">
        <x:f>IF(A136="","",SUM($B$6:B136))</x:f>
      </x:c>
      <x:c r="D136" s="35"/>
      <x:c r="E136" s="35"/>
      <x:c r="F136" s="35"/>
      <x:c r="G136" s="35"/>
      <x:c r="H136" s="35"/>
    </x:row>
    <x:row r="137">
      <x:c r="A137" s="46"/>
      <x:c r="B137" s="39"/>
      <x:c r="C137" s="39" t="str">
        <x:f>IF(A137="","",SUM($B$6:B137))</x:f>
      </x:c>
      <x:c r="D137" s="35"/>
      <x:c r="E137" s="35"/>
      <x:c r="F137" s="35"/>
      <x:c r="G137" s="35"/>
      <x:c r="H137" s="35"/>
    </x:row>
    <x:row r="138">
      <x:c r="A138" s="46"/>
      <x:c r="B138" s="39"/>
      <x:c r="C138" s="39" t="str">
        <x:f>IF(A138="","",SUM($B$6:B138))</x:f>
      </x:c>
      <x:c r="D138" s="35"/>
      <x:c r="E138" s="35"/>
      <x:c r="F138" s="35"/>
      <x:c r="G138" s="35"/>
      <x:c r="H138" s="35"/>
    </x:row>
    <x:row r="139">
      <x:c r="A139" s="46"/>
      <x:c r="B139" s="39"/>
      <x:c r="C139" s="39" t="str">
        <x:f>IF(A139="","",SUM($B$6:B139))</x:f>
      </x:c>
      <x:c r="D139" s="35"/>
      <x:c r="E139" s="35"/>
      <x:c r="F139" s="35"/>
      <x:c r="G139" s="35"/>
      <x:c r="H139" s="35"/>
    </x:row>
    <x:row r="140">
      <x:c r="A140" s="46"/>
      <x:c r="B140" s="39"/>
      <x:c r="C140" s="39" t="str">
        <x:f>IF(A140="","",SUM($B$6:B140))</x:f>
      </x:c>
      <x:c r="D140" s="35"/>
      <x:c r="E140" s="35"/>
      <x:c r="F140" s="35"/>
      <x:c r="G140" s="35"/>
      <x:c r="H140" s="35"/>
    </x:row>
    <x:row r="141">
      <x:c r="A141" s="46"/>
      <x:c r="B141" s="39"/>
      <x:c r="C141" s="39" t="str">
        <x:f>IF(A141="","",SUM($B$6:B141))</x:f>
      </x:c>
      <x:c r="D141" s="35"/>
      <x:c r="E141" s="35"/>
      <x:c r="F141" s="35"/>
      <x:c r="G141" s="35"/>
      <x:c r="H141" s="35"/>
    </x:row>
    <x:row r="142">
      <x:c r="A142" s="46"/>
      <x:c r="B142" s="39"/>
      <x:c r="C142" s="39" t="str">
        <x:f>IF(A142="","",SUM($B$6:B142))</x:f>
      </x:c>
      <x:c r="D142" s="35"/>
      <x:c r="E142" s="35"/>
      <x:c r="F142" s="35"/>
      <x:c r="G142" s="35"/>
      <x:c r="H142" s="35"/>
    </x:row>
    <x:row r="143">
      <x:c r="A143" s="46"/>
      <x:c r="B143" s="39"/>
      <x:c r="C143" s="39" t="str">
        <x:f>IF(A143="","",SUM($B$6:B143))</x:f>
      </x:c>
      <x:c r="D143" s="35"/>
      <x:c r="E143" s="35"/>
      <x:c r="F143" s="35"/>
      <x:c r="G143" s="35"/>
      <x:c r="H143" s="35"/>
    </x:row>
    <x:row r="144">
      <x:c r="A144" s="46"/>
      <x:c r="B144" s="39"/>
      <x:c r="C144" s="39" t="str">
        <x:f>IF(A144="","",SUM($B$6:B144))</x:f>
      </x:c>
      <x:c r="D144" s="35"/>
      <x:c r="E144" s="35"/>
      <x:c r="F144" s="35"/>
      <x:c r="G144" s="35"/>
      <x:c r="H144" s="35"/>
    </x:row>
    <x:row r="145">
      <x:c r="A145" s="46"/>
      <x:c r="B145" s="39"/>
      <x:c r="C145" s="39" t="str">
        <x:f>IF(A145="","",SUM($B$6:B145))</x:f>
      </x:c>
      <x:c r="D145" s="35"/>
      <x:c r="E145" s="35"/>
      <x:c r="F145" s="35"/>
      <x:c r="G145" s="35"/>
      <x:c r="H145" s="35"/>
    </x:row>
    <x:row r="146">
      <x:c r="A146" s="46"/>
      <x:c r="B146" s="39"/>
      <x:c r="C146" s="39" t="str">
        <x:f>IF(A146="","",SUM($B$6:B146))</x:f>
      </x:c>
      <x:c r="D146" s="35"/>
      <x:c r="E146" s="35"/>
      <x:c r="F146" s="35"/>
      <x:c r="G146" s="35"/>
      <x:c r="H146" s="35"/>
    </x:row>
    <x:row r="147">
      <x:c r="A147" s="46"/>
      <x:c r="B147" s="39"/>
      <x:c r="C147" s="39" t="str">
        <x:f>IF(A147="","",SUM($B$6:B147))</x:f>
      </x:c>
      <x:c r="D147" s="35"/>
      <x:c r="E147" s="35"/>
      <x:c r="F147" s="35"/>
      <x:c r="G147" s="35"/>
      <x:c r="H147" s="35"/>
    </x:row>
    <x:row r="148">
      <x:c r="A148" s="46"/>
      <x:c r="B148" s="39"/>
      <x:c r="C148" s="39" t="str">
        <x:f>IF(A148="","",SUM($B$6:B148))</x:f>
      </x:c>
      <x:c r="D148" s="35"/>
      <x:c r="E148" s="35"/>
      <x:c r="F148" s="35"/>
      <x:c r="G148" s="35"/>
      <x:c r="H148" s="35"/>
    </x:row>
    <x:row r="149">
      <x:c r="A149" s="46"/>
      <x:c r="B149" s="39"/>
      <x:c r="C149" s="39" t="str">
        <x:f>IF(A149="","",SUM($B$6:B149))</x:f>
      </x:c>
      <x:c r="D149" s="35"/>
      <x:c r="E149" s="35"/>
      <x:c r="F149" s="35"/>
      <x:c r="G149" s="35"/>
      <x:c r="H149" s="35"/>
    </x:row>
    <x:row r="150">
      <x:c r="A150" s="46"/>
      <x:c r="B150" s="39"/>
      <x:c r="C150" s="39" t="str">
        <x:f>IF(A150="","",SUM($B$6:B150))</x:f>
      </x:c>
      <x:c r="D150" s="35"/>
      <x:c r="E150" s="35"/>
      <x:c r="F150" s="35"/>
      <x:c r="G150" s="35"/>
      <x:c r="H150" s="35"/>
    </x:row>
    <x:row r="151">
      <x:c r="A151" s="46"/>
      <x:c r="B151" s="39"/>
      <x:c r="C151" s="39" t="str">
        <x:f>IF(A151="","",SUM($B$6:B151))</x:f>
      </x:c>
      <x:c r="D151" s="35"/>
      <x:c r="E151" s="35"/>
      <x:c r="F151" s="35"/>
      <x:c r="G151" s="35"/>
      <x:c r="H151" s="35"/>
    </x:row>
    <x:row r="152">
      <x:c r="A152" s="46"/>
      <x:c r="B152" s="39"/>
      <x:c r="C152" s="39" t="str">
        <x:f>IF(A152="","",SUM($B$6:B152))</x:f>
      </x:c>
      <x:c r="D152" s="35"/>
      <x:c r="E152" s="35"/>
      <x:c r="F152" s="35"/>
      <x:c r="G152" s="35"/>
      <x:c r="H152" s="35"/>
    </x:row>
    <x:row r="153">
      <x:c r="A153" s="46"/>
      <x:c r="B153" s="39"/>
      <x:c r="C153" s="39" t="str">
        <x:f>IF(A153="","",SUM($B$6:B153))</x:f>
      </x:c>
      <x:c r="D153" s="35"/>
      <x:c r="E153" s="35"/>
      <x:c r="F153" s="35"/>
      <x:c r="G153" s="35"/>
      <x:c r="H153" s="35"/>
    </x:row>
    <x:row r="154">
      <x:c r="A154" s="46"/>
      <x:c r="B154" s="39"/>
      <x:c r="C154" s="39" t="str">
        <x:f>IF(A154="","",SUM($B$6:B154))</x:f>
      </x:c>
      <x:c r="D154" s="35"/>
      <x:c r="E154" s="35"/>
      <x:c r="F154" s="35"/>
      <x:c r="G154" s="35"/>
      <x:c r="H154" s="35"/>
    </x:row>
    <x:row r="155">
      <x:c r="A155" s="46"/>
      <x:c r="B155" s="39"/>
      <x:c r="C155" s="39" t="str">
        <x:f>IF(A155="","",SUM($B$6:B155))</x:f>
      </x:c>
      <x:c r="D155" s="35"/>
      <x:c r="E155" s="35"/>
      <x:c r="F155" s="35"/>
      <x:c r="G155" s="35"/>
      <x:c r="H155" s="35"/>
    </x:row>
    <x:row r="156">
      <x:c r="A156" s="46"/>
      <x:c r="B156" s="39"/>
      <x:c r="C156" s="39" t="str">
        <x:f>IF(A156="","",SUM($B$6:B156))</x:f>
      </x:c>
      <x:c r="D156" s="35"/>
      <x:c r="E156" s="35"/>
      <x:c r="F156" s="35"/>
      <x:c r="G156" s="35"/>
      <x:c r="H156" s="35"/>
    </x:row>
    <x:row r="157">
      <x:c r="A157" s="46"/>
      <x:c r="B157" s="39"/>
      <x:c r="C157" s="39" t="str">
        <x:f>IF(A157="","",SUM($B$6:B157))</x:f>
      </x:c>
      <x:c r="D157" s="35"/>
      <x:c r="E157" s="35"/>
      <x:c r="F157" s="35"/>
      <x:c r="G157" s="35"/>
      <x:c r="H157" s="35"/>
    </x:row>
    <x:row r="158">
      <x:c r="A158" s="46"/>
      <x:c r="B158" s="39"/>
      <x:c r="C158" s="39" t="str">
        <x:f>IF(A158="","",SUM($B$6:B158))</x:f>
      </x:c>
      <x:c r="D158" s="35"/>
      <x:c r="E158" s="35"/>
      <x:c r="F158" s="35"/>
      <x:c r="G158" s="35"/>
      <x:c r="H158" s="35"/>
    </x:row>
    <x:row r="159">
      <x:c r="A159" s="46"/>
      <x:c r="B159" s="39"/>
      <x:c r="C159" s="39" t="str">
        <x:f>IF(A159="","",SUM($B$6:B159))</x:f>
      </x:c>
      <x:c r="D159" s="35"/>
      <x:c r="E159" s="35"/>
      <x:c r="F159" s="35"/>
      <x:c r="G159" s="35"/>
      <x:c r="H159" s="35"/>
    </x:row>
    <x:row r="160">
      <x:c r="A160" s="46"/>
      <x:c r="B160" s="39"/>
      <x:c r="C160" s="39" t="str">
        <x:f>IF(A160="","",SUM($B$6:B160))</x:f>
      </x:c>
      <x:c r="D160" s="35"/>
      <x:c r="E160" s="35"/>
      <x:c r="F160" s="35"/>
      <x:c r="G160" s="35"/>
      <x:c r="H160" s="35"/>
    </x:row>
    <x:row r="161">
      <x:c r="A161" s="46"/>
      <x:c r="B161" s="39"/>
      <x:c r="C161" s="39" t="str">
        <x:f>IF(A161="","",SUM($B$6:B161))</x:f>
      </x:c>
      <x:c r="D161" s="35"/>
      <x:c r="E161" s="35"/>
      <x:c r="F161" s="35"/>
      <x:c r="G161" s="35"/>
      <x:c r="H161" s="35"/>
    </x:row>
    <x:row r="162">
      <x:c r="A162" s="46"/>
      <x:c r="B162" s="39"/>
      <x:c r="C162" s="39" t="str">
        <x:f>IF(A162="","",SUM($B$6:B162))</x:f>
      </x:c>
      <x:c r="D162" s="35"/>
      <x:c r="E162" s="35"/>
      <x:c r="F162" s="35"/>
      <x:c r="G162" s="35"/>
      <x:c r="H162" s="35"/>
    </x:row>
    <x:row r="163">
      <x:c r="A163" s="46"/>
      <x:c r="B163" s="39"/>
      <x:c r="C163" s="39" t="str">
        <x:f>IF(A163="","",SUM($B$6:B163))</x:f>
      </x:c>
      <x:c r="D163" s="35"/>
      <x:c r="E163" s="35"/>
      <x:c r="F163" s="35"/>
      <x:c r="G163" s="35"/>
      <x:c r="H163" s="35"/>
    </x:row>
    <x:row r="164">
      <x:c r="A164" s="46"/>
      <x:c r="B164" s="39"/>
      <x:c r="C164" s="39" t="str">
        <x:f>IF(A164="","",SUM($B$6:B164))</x:f>
      </x:c>
      <x:c r="D164" s="35"/>
      <x:c r="E164" s="35"/>
      <x:c r="F164" s="35"/>
      <x:c r="G164" s="35"/>
      <x:c r="H164" s="35"/>
    </x:row>
    <x:row r="165">
      <x:c r="A165" s="46"/>
      <x:c r="B165" s="39"/>
      <x:c r="C165" s="39" t="str">
        <x:f>IF(A165="","",SUM($B$6:B165))</x:f>
      </x:c>
      <x:c r="D165" s="35"/>
      <x:c r="E165" s="35"/>
      <x:c r="F165" s="35"/>
      <x:c r="G165" s="35"/>
      <x:c r="H165" s="35"/>
    </x:row>
    <x:row r="166">
      <x:c r="A166" s="46"/>
      <x:c r="B166" s="39"/>
      <x:c r="C166" s="39" t="str">
        <x:f>IF(A166="","",SUM($B$6:B166))</x:f>
      </x:c>
      <x:c r="D166" s="35"/>
      <x:c r="E166" s="35"/>
      <x:c r="F166" s="35"/>
      <x:c r="G166" s="35"/>
      <x:c r="H166" s="35"/>
    </x:row>
    <x:row r="167">
      <x:c r="A167" s="46"/>
      <x:c r="B167" s="39"/>
      <x:c r="C167" s="39" t="str">
        <x:f>IF(A167="","",SUM($B$6:B167))</x:f>
      </x:c>
      <x:c r="D167" s="35"/>
      <x:c r="E167" s="35"/>
      <x:c r="F167" s="35"/>
      <x:c r="G167" s="35"/>
      <x:c r="H167" s="35"/>
    </x:row>
    <x:row r="168">
      <x:c r="A168" s="46"/>
      <x:c r="B168" s="39"/>
      <x:c r="C168" s="39" t="str">
        <x:f>IF(A168="","",SUM($B$6:B168))</x:f>
      </x:c>
      <x:c r="D168" s="35"/>
      <x:c r="E168" s="35"/>
      <x:c r="F168" s="35"/>
      <x:c r="G168" s="35"/>
      <x:c r="H168" s="35"/>
    </x:row>
    <x:row r="169">
      <x:c r="A169" s="46"/>
      <x:c r="B169" s="39"/>
      <x:c r="C169" s="39" t="str">
        <x:f>IF(A169="","",SUM($B$6:B169))</x:f>
      </x:c>
      <x:c r="D169" s="35"/>
      <x:c r="E169" s="35"/>
      <x:c r="F169" s="35"/>
      <x:c r="G169" s="35"/>
      <x:c r="H169" s="35"/>
    </x:row>
    <x:row r="170">
      <x:c r="A170" s="46"/>
      <x:c r="B170" s="39"/>
      <x:c r="C170" s="39" t="str">
        <x:f>IF(A170="","",SUM($B$6:B170))</x:f>
      </x:c>
      <x:c r="D170" s="35"/>
      <x:c r="E170" s="35"/>
      <x:c r="F170" s="35"/>
      <x:c r="G170" s="35"/>
      <x:c r="H170" s="35"/>
    </x:row>
    <x:row r="171">
      <x:c r="A171" s="46"/>
      <x:c r="B171" s="39"/>
      <x:c r="C171" s="39" t="str">
        <x:f>IF(A171="","",SUM($B$6:B171))</x:f>
      </x:c>
      <x:c r="D171" s="35"/>
      <x:c r="E171" s="35"/>
      <x:c r="F171" s="35"/>
      <x:c r="G171" s="35"/>
      <x:c r="H171" s="35"/>
    </x:row>
    <x:row r="172">
      <x:c r="A172" s="46"/>
      <x:c r="B172" s="39"/>
      <x:c r="C172" s="39" t="str">
        <x:f>IF(A172="","",SUM($B$6:B172))</x:f>
      </x:c>
      <x:c r="D172" s="35"/>
      <x:c r="E172" s="35"/>
      <x:c r="F172" s="35"/>
      <x:c r="G172" s="35"/>
      <x:c r="H172" s="35"/>
    </x:row>
    <x:row r="173">
      <x:c r="A173" s="46"/>
      <x:c r="B173" s="39"/>
      <x:c r="C173" s="39" t="str">
        <x:f>IF(A173="","",SUM($B$6:B173))</x:f>
      </x:c>
      <x:c r="D173" s="35"/>
      <x:c r="E173" s="35"/>
      <x:c r="F173" s="35"/>
      <x:c r="G173" s="35"/>
      <x:c r="H173" s="35"/>
    </x:row>
    <x:row r="174">
      <x:c r="A174" s="46"/>
      <x:c r="B174" s="39"/>
      <x:c r="C174" s="39" t="str">
        <x:f>IF(A174="","",SUM($B$6:B174))</x:f>
      </x:c>
      <x:c r="D174" s="35"/>
      <x:c r="E174" s="35"/>
      <x:c r="F174" s="35"/>
      <x:c r="G174" s="35"/>
      <x:c r="H174" s="35"/>
    </x:row>
    <x:row r="175">
      <x:c r="A175" s="46"/>
      <x:c r="B175" s="39"/>
      <x:c r="C175" s="39" t="str">
        <x:f>IF(A175="","",SUM($B$6:B175))</x:f>
      </x:c>
      <x:c r="D175" s="35"/>
      <x:c r="E175" s="35"/>
      <x:c r="F175" s="35"/>
      <x:c r="G175" s="35"/>
      <x:c r="H175" s="35"/>
    </x:row>
    <x:row r="176">
      <x:c r="A176" s="46"/>
      <x:c r="B176" s="39"/>
      <x:c r="C176" s="39" t="str">
        <x:f>IF(A176="","",SUM($B$6:B176))</x:f>
      </x:c>
      <x:c r="D176" s="35"/>
      <x:c r="E176" s="35"/>
      <x:c r="F176" s="35"/>
      <x:c r="G176" s="35"/>
      <x:c r="H176" s="35"/>
    </x:row>
    <x:row r="177">
      <x:c r="A177" s="46"/>
      <x:c r="B177" s="39"/>
      <x:c r="C177" s="39" t="str">
        <x:f>IF(A177="","",SUM($B$6:B177))</x:f>
      </x:c>
      <x:c r="D177" s="35"/>
      <x:c r="E177" s="35"/>
      <x:c r="F177" s="35"/>
      <x:c r="G177" s="35"/>
      <x:c r="H177" s="35"/>
    </x:row>
    <x:row r="178">
      <x:c r="A178" s="46"/>
      <x:c r="B178" s="39"/>
      <x:c r="C178" s="39" t="str">
        <x:f>IF(A178="","",SUM($B$6:B178))</x:f>
      </x:c>
      <x:c r="D178" s="35"/>
      <x:c r="E178" s="35"/>
      <x:c r="F178" s="35"/>
      <x:c r="G178" s="35"/>
      <x:c r="H178" s="35"/>
    </x:row>
    <x:row r="179">
      <x:c r="A179" s="46"/>
      <x:c r="B179" s="39"/>
      <x:c r="C179" s="39" t="str">
        <x:f>IF(A179="","",SUM($B$6:B179))</x:f>
      </x:c>
      <x:c r="D179" s="35"/>
      <x:c r="E179" s="35"/>
      <x:c r="F179" s="35"/>
      <x:c r="G179" s="35"/>
      <x:c r="H179" s="35"/>
    </x:row>
    <x:row r="180">
      <x:c r="A180" s="46"/>
      <x:c r="B180" s="39"/>
      <x:c r="C180" s="39" t="str">
        <x:f>IF(A180="","",SUM($B$6:B180))</x:f>
      </x:c>
      <x:c r="D180" s="35"/>
      <x:c r="E180" s="35"/>
      <x:c r="F180" s="35"/>
      <x:c r="G180" s="35"/>
      <x:c r="H180" s="35"/>
    </x:row>
    <x:row r="181">
      <x:c r="A181" s="46"/>
      <x:c r="B181" s="39"/>
      <x:c r="C181" s="39" t="str">
        <x:f>IF(A181="","",SUM($B$6:B181))</x:f>
      </x:c>
      <x:c r="D181" s="35"/>
      <x:c r="E181" s="35"/>
      <x:c r="F181" s="35"/>
      <x:c r="G181" s="35"/>
      <x:c r="H181" s="35"/>
    </x:row>
    <x:row r="182">
      <x:c r="A182" s="46"/>
      <x:c r="B182" s="39"/>
      <x:c r="C182" s="39" t="str">
        <x:f>IF(A182="","",SUM($B$6:B182))</x:f>
      </x:c>
      <x:c r="D182" s="35"/>
      <x:c r="E182" s="35"/>
      <x:c r="F182" s="35"/>
      <x:c r="G182" s="35"/>
      <x:c r="H182" s="35"/>
    </x:row>
    <x:row r="183">
      <x:c r="A183" s="46"/>
      <x:c r="B183" s="39"/>
      <x:c r="C183" s="39" t="str">
        <x:f>IF(A183="","",SUM($B$6:B183))</x:f>
      </x:c>
      <x:c r="D183" s="35"/>
      <x:c r="E183" s="35"/>
      <x:c r="F183" s="35"/>
      <x:c r="G183" s="35"/>
      <x:c r="H183" s="35"/>
    </x:row>
    <x:row r="184">
      <x:c r="A184" s="46"/>
      <x:c r="B184" s="39"/>
      <x:c r="C184" s="39" t="str">
        <x:f>IF(A184="","",SUM($B$6:B184))</x:f>
      </x:c>
      <x:c r="D184" s="35"/>
      <x:c r="E184" s="35"/>
      <x:c r="F184" s="35"/>
      <x:c r="G184" s="35"/>
      <x:c r="H184" s="35"/>
    </x:row>
    <x:row r="185">
      <x:c r="A185" s="46"/>
      <x:c r="B185" s="39"/>
      <x:c r="C185" s="39" t="str">
        <x:f>IF(A185="","",SUM($B$6:B185))</x:f>
      </x:c>
      <x:c r="D185" s="35"/>
      <x:c r="E185" s="35"/>
      <x:c r="F185" s="35"/>
      <x:c r="G185" s="35"/>
      <x:c r="H185" s="35"/>
    </x:row>
    <x:row r="186">
      <x:c r="A186" s="46"/>
      <x:c r="B186" s="39"/>
      <x:c r="C186" s="39" t="str">
        <x:f>IF(A186="","",SUM($B$6:B186))</x:f>
      </x:c>
      <x:c r="D186" s="35"/>
      <x:c r="E186" s="35"/>
      <x:c r="F186" s="35"/>
      <x:c r="G186" s="35"/>
      <x:c r="H186" s="35"/>
    </x:row>
    <x:row r="187">
      <x:c r="A187" s="46"/>
      <x:c r="B187" s="39"/>
      <x:c r="C187" s="39" t="str">
        <x:f>IF(A187="","",SUM($B$6:B187))</x:f>
      </x:c>
      <x:c r="D187" s="35"/>
      <x:c r="E187" s="35"/>
      <x:c r="F187" s="35"/>
      <x:c r="G187" s="35"/>
      <x:c r="H187" s="35"/>
    </x:row>
    <x:row r="188">
      <x:c r="A188" s="46"/>
      <x:c r="B188" s="39"/>
      <x:c r="C188" s="39" t="str">
        <x:f>IF(A188="","",SUM($B$6:B188))</x:f>
      </x:c>
      <x:c r="D188" s="35"/>
      <x:c r="E188" s="35"/>
      <x:c r="F188" s="35"/>
      <x:c r="G188" s="35"/>
      <x:c r="H188" s="35"/>
    </x:row>
    <x:row r="189">
      <x:c r="A189" s="46"/>
      <x:c r="B189" s="39"/>
      <x:c r="C189" s="39" t="str">
        <x:f>IF(A189="","",SUM($B$6:B189))</x:f>
      </x:c>
      <x:c r="D189" s="35"/>
      <x:c r="E189" s="35"/>
      <x:c r="F189" s="35"/>
      <x:c r="G189" s="35"/>
      <x:c r="H189" s="35"/>
    </x:row>
    <x:row r="190">
      <x:c r="A190" s="46"/>
      <x:c r="B190" s="39"/>
      <x:c r="C190" s="39" t="str">
        <x:f>IF(A190="","",SUM($B$6:B190))</x:f>
      </x:c>
      <x:c r="D190" s="35"/>
      <x:c r="E190" s="35"/>
      <x:c r="F190" s="35"/>
      <x:c r="G190" s="35"/>
      <x:c r="H190" s="35"/>
    </x:row>
    <x:row r="191">
      <x:c r="A191" s="46"/>
      <x:c r="B191" s="39"/>
      <x:c r="C191" s="39" t="str">
        <x:f>IF(A191="","",SUM($B$6:B191))</x:f>
      </x:c>
      <x:c r="D191" s="35"/>
      <x:c r="E191" s="35"/>
      <x:c r="F191" s="35"/>
      <x:c r="G191" s="35"/>
      <x:c r="H191" s="35"/>
    </x:row>
    <x:row r="192">
      <x:c r="A192" s="46"/>
      <x:c r="B192" s="39"/>
      <x:c r="C192" s="39" t="str">
        <x:f>IF(A192="","",SUM($B$6:B192))</x:f>
      </x:c>
      <x:c r="D192" s="35"/>
      <x:c r="E192" s="35"/>
      <x:c r="F192" s="35"/>
      <x:c r="G192" s="35"/>
      <x:c r="H192" s="35"/>
    </x:row>
    <x:row r="193">
      <x:c r="A193" s="46"/>
      <x:c r="B193" s="39"/>
      <x:c r="C193" s="39" t="str">
        <x:f>IF(A193="","",SUM($B$6:B193))</x:f>
      </x:c>
      <x:c r="D193" s="35"/>
      <x:c r="E193" s="35"/>
      <x:c r="F193" s="35"/>
      <x:c r="G193" s="35"/>
      <x:c r="H193" s="35"/>
    </x:row>
    <x:row r="194">
      <x:c r="A194" s="46"/>
      <x:c r="B194" s="39"/>
      <x:c r="C194" s="39" t="str">
        <x:f>IF(A194="","",SUM($B$6:B194))</x:f>
      </x:c>
      <x:c r="D194" s="35"/>
      <x:c r="E194" s="35"/>
      <x:c r="F194" s="35"/>
      <x:c r="G194" s="35"/>
      <x:c r="H194" s="35"/>
    </x:row>
    <x:row r="195">
      <x:c r="A195" s="46"/>
      <x:c r="B195" s="39"/>
      <x:c r="C195" s="39" t="str">
        <x:f>IF(A195="","",SUM($B$6:B195))</x:f>
      </x:c>
      <x:c r="D195" s="35"/>
      <x:c r="E195" s="35"/>
      <x:c r="F195" s="35"/>
      <x:c r="G195" s="35"/>
      <x:c r="H195" s="35"/>
    </x:row>
    <x:row r="196">
      <x:c r="A196" s="46"/>
      <x:c r="B196" s="39"/>
      <x:c r="C196" s="39" t="str">
        <x:f>IF(A196="","",SUM($B$6:B196))</x:f>
      </x:c>
      <x:c r="D196" s="35"/>
      <x:c r="E196" s="35"/>
      <x:c r="F196" s="35"/>
      <x:c r="G196" s="35"/>
      <x:c r="H196" s="35"/>
    </x:row>
    <x:row r="197">
      <x:c r="A197" s="46"/>
      <x:c r="B197" s="39"/>
      <x:c r="C197" s="39" t="str">
        <x:f>IF(A197="","",SUM($B$6:B197))</x:f>
      </x:c>
      <x:c r="D197" s="35"/>
      <x:c r="E197" s="35"/>
      <x:c r="F197" s="35"/>
      <x:c r="G197" s="35"/>
      <x:c r="H197" s="35"/>
    </x:row>
    <x:row r="198">
      <x:c r="A198" s="46"/>
      <x:c r="B198" s="39"/>
      <x:c r="C198" s="39" t="str">
        <x:f>IF(A198="","",SUM($B$6:B198))</x:f>
      </x:c>
      <x:c r="D198" s="35"/>
      <x:c r="E198" s="35"/>
      <x:c r="F198" s="35"/>
      <x:c r="G198" s="35"/>
      <x:c r="H198" s="35"/>
    </x:row>
    <x:row r="199">
      <x:c r="A199" s="46"/>
      <x:c r="B199" s="39"/>
      <x:c r="C199" s="39" t="str">
        <x:f>IF(A199="","",SUM($B$6:B199))</x:f>
      </x:c>
      <x:c r="D199" s="35"/>
      <x:c r="E199" s="35"/>
      <x:c r="F199" s="35"/>
      <x:c r="G199" s="35"/>
      <x:c r="H199" s="35"/>
    </x:row>
    <x:row r="200">
      <x:c r="A200" s="46"/>
      <x:c r="B200" s="39"/>
      <x:c r="C200" s="39" t="str">
        <x:f>IF(A200="","",SUM($B$6:B200))</x:f>
      </x:c>
      <x:c r="D200" s="35"/>
      <x:c r="E200" s="35"/>
      <x:c r="F200" s="35"/>
      <x:c r="G200" s="35"/>
      <x:c r="H200" s="35"/>
    </x:row>
    <x:row r="201">
      <x:c r="A201" s="46"/>
      <x:c r="B201" s="39"/>
      <x:c r="C201" s="39" t="str">
        <x:f>IF(A201="","",SUM($B$6:B201))</x:f>
      </x:c>
      <x:c r="D201" s="35"/>
      <x:c r="E201" s="35"/>
      <x:c r="F201" s="35"/>
      <x:c r="G201" s="35"/>
      <x:c r="H201" s="35"/>
    </x:row>
    <x:row r="202">
      <x:c r="A202" s="46"/>
      <x:c r="B202" s="39"/>
      <x:c r="C202" s="39" t="str">
        <x:f>IF(A202="","",SUM($B$6:B202))</x:f>
      </x:c>
      <x:c r="D202" s="35"/>
      <x:c r="E202" s="35"/>
      <x:c r="F202" s="35"/>
      <x:c r="G202" s="35"/>
      <x:c r="H202" s="35"/>
    </x:row>
    <x:row r="203">
      <x:c r="A203" s="46"/>
      <x:c r="B203" s="39"/>
      <x:c r="C203" s="39" t="str">
        <x:f>IF(A203="","",SUM($B$6:B203))</x:f>
      </x:c>
      <x:c r="D203" s="35"/>
      <x:c r="E203" s="35"/>
      <x:c r="F203" s="35"/>
      <x:c r="G203" s="35"/>
      <x:c r="H203" s="35"/>
    </x:row>
    <x:row r="204">
      <x:c r="A204" s="46"/>
      <x:c r="B204" s="39"/>
      <x:c r="C204" s="39" t="str">
        <x:f>IF(A204="","",SUM($B$6:B204))</x:f>
      </x:c>
      <x:c r="D204" s="35"/>
      <x:c r="E204" s="35"/>
      <x:c r="F204" s="35"/>
      <x:c r="G204" s="35"/>
      <x:c r="H204" s="35"/>
    </x:row>
    <x:row r="205">
      <x:c r="A205" s="46"/>
      <x:c r="B205" s="39"/>
      <x:c r="C205" s="39" t="str">
        <x:f>IF(A205="","",SUM($B$6:B205))</x:f>
      </x:c>
      <x:c r="D205" s="35"/>
      <x:c r="E205" s="35"/>
      <x:c r="F205" s="35"/>
      <x:c r="G205" s="35"/>
      <x:c r="H205" s="35"/>
    </x:row>
    <x:row r="206">
      <x:c r="A206" s="46"/>
      <x:c r="B206" s="39"/>
      <x:c r="C206" s="39" t="str">
        <x:f>IF(A206="","",SUM($B$6:B206))</x:f>
      </x:c>
      <x:c r="D206" s="35"/>
      <x:c r="E206" s="35"/>
      <x:c r="F206" s="35"/>
      <x:c r="G206" s="35"/>
      <x:c r="H206" s="35"/>
    </x:row>
    <x:row r="207">
      <x:c r="A207" s="46"/>
      <x:c r="B207" s="39"/>
      <x:c r="C207" s="39" t="str">
        <x:f>IF(A207="","",SUM($B$6:B207))</x:f>
      </x:c>
      <x:c r="D207" s="35"/>
      <x:c r="E207" s="35"/>
      <x:c r="F207" s="35"/>
      <x:c r="G207" s="35"/>
      <x:c r="H207" s="35"/>
    </x:row>
    <x:row r="208">
      <x:c r="A208" s="46"/>
      <x:c r="B208" s="39"/>
      <x:c r="C208" s="39" t="str">
        <x:f>IF(A208="","",SUM($B$6:B208))</x:f>
      </x:c>
      <x:c r="D208" s="35"/>
      <x:c r="E208" s="35"/>
      <x:c r="F208" s="35"/>
      <x:c r="G208" s="35"/>
      <x:c r="H208" s="35"/>
    </x:row>
    <x:row r="209">
      <x:c r="A209" s="46"/>
      <x:c r="B209" s="39"/>
      <x:c r="C209" s="39" t="str">
        <x:f>IF(A209="","",SUM($B$6:B209))</x:f>
      </x:c>
      <x:c r="D209" s="35"/>
      <x:c r="E209" s="35"/>
      <x:c r="F209" s="35"/>
      <x:c r="G209" s="35"/>
      <x:c r="H209" s="35"/>
    </x:row>
    <x:row r="210">
      <x:c r="A210" s="46"/>
      <x:c r="B210" s="39"/>
      <x:c r="C210" s="39" t="str">
        <x:f>IF(A210="","",SUM($B$6:B210))</x:f>
      </x:c>
      <x:c r="D210" s="35"/>
      <x:c r="E210" s="35"/>
      <x:c r="F210" s="35"/>
      <x:c r="G210" s="35"/>
      <x:c r="H210" s="35"/>
    </x:row>
    <x:row r="211">
      <x:c r="A211" s="46"/>
      <x:c r="B211" s="39"/>
      <x:c r="C211" s="39" t="str">
        <x:f>IF(A211="","",SUM($B$6:B211))</x:f>
      </x:c>
      <x:c r="D211" s="35"/>
      <x:c r="E211" s="35"/>
      <x:c r="F211" s="35"/>
      <x:c r="G211" s="35"/>
      <x:c r="H211" s="35"/>
    </x:row>
    <x:row r="212">
      <x:c r="A212" s="46"/>
      <x:c r="B212" s="39"/>
      <x:c r="C212" s="39" t="str">
        <x:f>IF(A212="","",SUM($B$6:B212))</x:f>
      </x:c>
      <x:c r="D212" s="35"/>
      <x:c r="E212" s="35"/>
      <x:c r="F212" s="35"/>
      <x:c r="G212" s="35"/>
      <x:c r="H212" s="35"/>
    </x:row>
    <x:row r="213">
      <x:c r="A213" s="46"/>
      <x:c r="B213" s="39"/>
      <x:c r="C213" s="39" t="str">
        <x:f>IF(A213="","",SUM($B$6:B213))</x:f>
      </x:c>
      <x:c r="D213" s="35"/>
      <x:c r="E213" s="35"/>
      <x:c r="F213" s="35"/>
      <x:c r="G213" s="35"/>
      <x:c r="H213" s="35"/>
    </x:row>
    <x:row r="214">
      <x:c r="A214" s="46"/>
      <x:c r="B214" s="39"/>
      <x:c r="C214" s="39" t="str">
        <x:f>IF(A214="","",SUM($B$6:B214))</x:f>
      </x:c>
      <x:c r="D214" s="35"/>
      <x:c r="E214" s="35"/>
      <x:c r="F214" s="35"/>
      <x:c r="G214" s="35"/>
      <x:c r="H214" s="35"/>
    </x:row>
    <x:row r="215">
      <x:c r="A215" s="46"/>
      <x:c r="B215" s="39"/>
      <x:c r="C215" s="39" t="str">
        <x:f>IF(A215="","",SUM($B$6:B215))</x:f>
      </x:c>
      <x:c r="D215" s="35"/>
      <x:c r="E215" s="35"/>
      <x:c r="F215" s="35"/>
      <x:c r="G215" s="35"/>
      <x:c r="H215" s="35"/>
    </x:row>
    <x:row r="216">
      <x:c r="A216" s="46"/>
      <x:c r="B216" s="39"/>
      <x:c r="C216" s="39" t="str">
        <x:f>IF(A216="","",SUM($B$6:B216))</x:f>
      </x:c>
      <x:c r="D216" s="35"/>
      <x:c r="E216" s="35"/>
      <x:c r="F216" s="35"/>
      <x:c r="G216" s="35"/>
      <x:c r="H216" s="35"/>
    </x:row>
    <x:row r="217">
      <x:c r="A217" s="46"/>
      <x:c r="B217" s="39"/>
      <x:c r="C217" s="39" t="str">
        <x:f>IF(A217="","",SUM($B$6:B217))</x:f>
      </x:c>
      <x:c r="D217" s="35"/>
      <x:c r="E217" s="35"/>
      <x:c r="F217" s="35"/>
      <x:c r="G217" s="35"/>
      <x:c r="H217" s="35"/>
    </x:row>
    <x:row r="218">
      <x:c r="A218" s="46"/>
      <x:c r="B218" s="39"/>
      <x:c r="C218" s="39" t="str">
        <x:f>IF(A218="","",SUM($B$6:B218))</x:f>
      </x:c>
      <x:c r="D218" s="35"/>
      <x:c r="E218" s="35"/>
      <x:c r="F218" s="35"/>
      <x:c r="G218" s="35"/>
      <x:c r="H218" s="35"/>
    </x:row>
    <x:row r="219">
      <x:c r="A219" s="46"/>
      <x:c r="B219" s="39"/>
      <x:c r="C219" s="39" t="str">
        <x:f>IF(A219="","",SUM($B$6:B219))</x:f>
      </x:c>
      <x:c r="D219" s="35"/>
      <x:c r="E219" s="35"/>
      <x:c r="F219" s="35"/>
      <x:c r="G219" s="35"/>
      <x:c r="H219" s="35"/>
    </x:row>
    <x:row r="220">
      <x:c r="A220" s="46"/>
      <x:c r="B220" s="39"/>
      <x:c r="C220" s="39" t="str">
        <x:f>IF(A220="","",SUM($B$6:B220))</x:f>
      </x:c>
      <x:c r="D220" s="35"/>
      <x:c r="E220" s="35"/>
      <x:c r="F220" s="35"/>
      <x:c r="G220" s="35"/>
      <x:c r="H220" s="35"/>
    </x:row>
    <x:row r="221">
      <x:c r="A221" s="46"/>
      <x:c r="B221" s="39"/>
      <x:c r="C221" s="39" t="str">
        <x:f>IF(A221="","",SUM($B$6:B221))</x:f>
      </x:c>
      <x:c r="D221" s="35"/>
      <x:c r="E221" s="35"/>
      <x:c r="F221" s="35"/>
      <x:c r="G221" s="35"/>
      <x:c r="H221" s="35"/>
    </x:row>
    <x:row r="222">
      <x:c r="A222" s="46"/>
      <x:c r="B222" s="39"/>
      <x:c r="C222" s="39" t="str">
        <x:f>IF(A222="","",SUM($B$6:B222))</x:f>
      </x:c>
      <x:c r="D222" s="35"/>
      <x:c r="E222" s="35"/>
      <x:c r="F222" s="35"/>
      <x:c r="G222" s="35"/>
      <x:c r="H222" s="35"/>
    </x:row>
    <x:row r="223">
      <x:c r="A223" s="46"/>
      <x:c r="B223" s="39"/>
      <x:c r="C223" s="39" t="str">
        <x:f>IF(A223="","",SUM($B$6:B223))</x:f>
      </x:c>
      <x:c r="D223" s="35"/>
      <x:c r="E223" s="35"/>
      <x:c r="F223" s="35"/>
      <x:c r="G223" s="35"/>
      <x:c r="H223" s="35"/>
    </x:row>
    <x:row r="224">
      <x:c r="A224" s="46"/>
      <x:c r="B224" s="39"/>
      <x:c r="C224" s="39" t="str">
        <x:f>IF(A224="","",SUM($B$6:B224))</x:f>
      </x:c>
      <x:c r="D224" s="35"/>
      <x:c r="E224" s="35"/>
      <x:c r="F224" s="35"/>
      <x:c r="G224" s="35"/>
      <x:c r="H224" s="35"/>
    </x:row>
    <x:row r="225">
      <x:c r="A225" s="46"/>
      <x:c r="B225" s="39"/>
      <x:c r="C225" s="39" t="str">
        <x:f>IF(A225="","",SUM($B$6:B225))</x:f>
      </x:c>
      <x:c r="D225" s="35"/>
      <x:c r="E225" s="35"/>
      <x:c r="F225" s="35"/>
      <x:c r="G225" s="35"/>
      <x:c r="H225" s="35"/>
    </x:row>
    <x:row r="226">
      <x:c r="A226" s="46"/>
      <x:c r="B226" s="39"/>
      <x:c r="C226" s="39" t="str">
        <x:f>IF(A226="","",SUM($B$6:B226))</x:f>
      </x:c>
      <x:c r="D226" s="35"/>
      <x:c r="E226" s="35"/>
      <x:c r="F226" s="35"/>
      <x:c r="G226" s="35"/>
      <x:c r="H226" s="35"/>
    </x:row>
    <x:row r="227">
      <x:c r="A227" s="46"/>
      <x:c r="B227" s="39"/>
      <x:c r="C227" s="39" t="str">
        <x:f>IF(A227="","",SUM($B$6:B227))</x:f>
      </x:c>
      <x:c r="D227" s="35"/>
      <x:c r="E227" s="35"/>
      <x:c r="F227" s="35"/>
      <x:c r="G227" s="35"/>
      <x:c r="H227" s="35"/>
    </x:row>
    <x:row r="228">
      <x:c r="A228" s="46"/>
      <x:c r="B228" s="39"/>
      <x:c r="C228" s="39" t="str">
        <x:f>IF(A228="","",SUM($B$6:B228))</x:f>
      </x:c>
      <x:c r="D228" s="35"/>
      <x:c r="E228" s="35"/>
      <x:c r="F228" s="35"/>
      <x:c r="G228" s="35"/>
      <x:c r="H228" s="35"/>
    </x:row>
    <x:row r="229">
      <x:c r="A229" s="46"/>
      <x:c r="B229" s="39"/>
      <x:c r="C229" s="39" t="str">
        <x:f>IF(A229="","",SUM($B$6:B229))</x:f>
      </x:c>
      <x:c r="D229" s="35"/>
      <x:c r="E229" s="35"/>
      <x:c r="F229" s="35"/>
      <x:c r="G229" s="35"/>
      <x:c r="H229" s="35"/>
    </x:row>
    <x:row r="230">
      <x:c r="A230" s="46"/>
      <x:c r="B230" s="39"/>
      <x:c r="C230" s="39" t="str">
        <x:f>IF(A230="","",SUM($B$6:B230))</x:f>
      </x:c>
      <x:c r="D230" s="35"/>
      <x:c r="E230" s="35"/>
      <x:c r="F230" s="35"/>
      <x:c r="G230" s="35"/>
      <x:c r="H230" s="35"/>
    </x:row>
    <x:row r="231">
      <x:c r="A231" s="46"/>
      <x:c r="B231" s="39"/>
      <x:c r="C231" s="39" t="str">
        <x:f>IF(A231="","",SUM($B$6:B231))</x:f>
      </x:c>
      <x:c r="D231" s="35"/>
      <x:c r="E231" s="35"/>
      <x:c r="F231" s="35"/>
      <x:c r="G231" s="35"/>
      <x:c r="H231" s="35"/>
    </x:row>
    <x:row r="232">
      <x:c r="A232" s="46"/>
      <x:c r="B232" s="39"/>
      <x:c r="C232" s="39" t="str">
        <x:f>IF(A232="","",SUM($B$6:B232))</x:f>
      </x:c>
      <x:c r="D232" s="35"/>
      <x:c r="E232" s="35"/>
      <x:c r="F232" s="35"/>
      <x:c r="G232" s="35"/>
      <x:c r="H232" s="35"/>
    </x:row>
    <x:row r="233">
      <x:c r="A233" s="46"/>
      <x:c r="B233" s="39"/>
      <x:c r="C233" s="39" t="str">
        <x:f>IF(A233="","",SUM($B$6:B233))</x:f>
      </x:c>
      <x:c r="D233" s="35"/>
      <x:c r="E233" s="35"/>
      <x:c r="F233" s="35"/>
      <x:c r="G233" s="35"/>
      <x:c r="H233" s="35"/>
    </x:row>
    <x:row r="234">
      <x:c r="A234" s="46"/>
      <x:c r="B234" s="39"/>
      <x:c r="C234" s="39" t="str">
        <x:f>IF(A234="","",SUM($B$6:B234))</x:f>
      </x:c>
      <x:c r="D234" s="35"/>
      <x:c r="E234" s="35"/>
      <x:c r="F234" s="35"/>
      <x:c r="G234" s="35"/>
      <x:c r="H234" s="35"/>
    </x:row>
    <x:row r="235">
      <x:c r="A235" s="46"/>
      <x:c r="B235" s="39"/>
      <x:c r="C235" s="39" t="str">
        <x:f>IF(A235="","",SUM($B$6:B235))</x:f>
      </x:c>
      <x:c r="D235" s="35"/>
      <x:c r="E235" s="35"/>
      <x:c r="F235" s="35"/>
      <x:c r="G235" s="35"/>
      <x:c r="H235" s="35"/>
    </x:row>
    <x:row r="236">
      <x:c r="A236" s="46"/>
      <x:c r="B236" s="39"/>
      <x:c r="C236" s="39" t="str">
        <x:f>IF(A236="","",SUM($B$6:B236))</x:f>
      </x:c>
      <x:c r="D236" s="35"/>
      <x:c r="E236" s="35"/>
      <x:c r="F236" s="35"/>
      <x:c r="G236" s="35"/>
      <x:c r="H236" s="35"/>
    </x:row>
    <x:row r="237">
      <x:c r="A237" s="46"/>
      <x:c r="B237" s="39"/>
      <x:c r="C237" s="39" t="str">
        <x:f>IF(A237="","",SUM($B$6:B237))</x:f>
      </x:c>
      <x:c r="D237" s="35"/>
      <x:c r="E237" s="35"/>
      <x:c r="F237" s="35"/>
      <x:c r="G237" s="35"/>
      <x:c r="H237" s="35"/>
    </x:row>
    <x:row r="238">
      <x:c r="A238" s="46"/>
      <x:c r="B238" s="39"/>
      <x:c r="C238" s="39" t="str">
        <x:f>IF(A238="","",SUM($B$6:B238))</x:f>
      </x:c>
      <x:c r="D238" s="35"/>
      <x:c r="E238" s="35"/>
      <x:c r="F238" s="35"/>
      <x:c r="G238" s="35"/>
      <x:c r="H238" s="35"/>
    </x:row>
    <x:row r="239">
      <x:c r="A239" s="46"/>
      <x:c r="B239" s="39"/>
      <x:c r="C239" s="39" t="str">
        <x:f>IF(A239="","",SUM($B$6:B239))</x:f>
      </x:c>
      <x:c r="D239" s="35"/>
      <x:c r="E239" s="35"/>
      <x:c r="F239" s="35"/>
      <x:c r="G239" s="35"/>
      <x:c r="H239" s="35"/>
    </x:row>
    <x:row r="240">
      <x:c r="A240" s="46"/>
      <x:c r="B240" s="39"/>
      <x:c r="C240" s="39" t="str">
        <x:f>IF(A240="","",SUM($B$6:B240))</x:f>
      </x:c>
      <x:c r="D240" s="35"/>
      <x:c r="E240" s="35"/>
      <x:c r="F240" s="35"/>
      <x:c r="G240" s="35"/>
      <x:c r="H240" s="35"/>
    </x:row>
    <x:row r="241">
      <x:c r="A241" s="46"/>
      <x:c r="B241" s="39"/>
      <x:c r="C241" s="39" t="str">
        <x:f>IF(A241="","",SUM($B$6:B241))</x:f>
      </x:c>
      <x:c r="D241" s="35"/>
      <x:c r="E241" s="35"/>
      <x:c r="F241" s="35"/>
      <x:c r="G241" s="35"/>
      <x:c r="H241" s="35"/>
    </x:row>
    <x:row r="242">
      <x:c r="A242" s="46"/>
      <x:c r="B242" s="39"/>
      <x:c r="C242" s="39" t="str">
        <x:f>IF(A242="","",SUM($B$6:B242))</x:f>
      </x:c>
      <x:c r="D242" s="35"/>
      <x:c r="E242" s="35"/>
      <x:c r="F242" s="35"/>
      <x:c r="G242" s="35"/>
      <x:c r="H242" s="35"/>
    </x:row>
    <x:row r="243">
      <x:c r="A243" s="46"/>
      <x:c r="B243" s="39"/>
      <x:c r="C243" s="39" t="str">
        <x:f>IF(A243="","",SUM($B$6:B243))</x:f>
      </x:c>
      <x:c r="D243" s="35"/>
      <x:c r="E243" s="35"/>
      <x:c r="F243" s="35"/>
      <x:c r="G243" s="35"/>
      <x:c r="H243" s="35"/>
    </x:row>
    <x:row r="244">
      <x:c r="A244" s="46"/>
      <x:c r="B244" s="39"/>
      <x:c r="C244" s="39" t="str">
        <x:f>IF(A244="","",SUM($B$6:B244))</x:f>
      </x:c>
      <x:c r="D244" s="35"/>
      <x:c r="E244" s="35"/>
      <x:c r="F244" s="35"/>
      <x:c r="G244" s="35"/>
      <x:c r="H244" s="35"/>
    </x:row>
    <x:row r="245">
      <x:c r="A245" s="46"/>
      <x:c r="B245" s="39"/>
      <x:c r="C245" s="39" t="str">
        <x:f>IF(A245="","",SUM($B$6:B245))</x:f>
      </x:c>
      <x:c r="D245" s="35"/>
      <x:c r="E245" s="35"/>
      <x:c r="F245" s="35"/>
      <x:c r="G245" s="35"/>
      <x:c r="H245" s="35"/>
    </x:row>
    <x:row r="246">
      <x:c r="A246" s="46"/>
      <x:c r="B246" s="39"/>
      <x:c r="C246" s="39" t="str">
        <x:f>IF(A246="","",SUM($B$6:B246))</x:f>
      </x:c>
      <x:c r="D246" s="35"/>
      <x:c r="E246" s="35"/>
      <x:c r="F246" s="35"/>
      <x:c r="G246" s="35"/>
      <x:c r="H246" s="35"/>
    </x:row>
    <x:row r="247">
      <x:c r="A247" s="46"/>
      <x:c r="B247" s="39"/>
      <x:c r="C247" s="39" t="str">
        <x:f>IF(A247="","",SUM($B$6:B247))</x:f>
      </x:c>
      <x:c r="D247" s="35"/>
      <x:c r="E247" s="35"/>
      <x:c r="F247" s="35"/>
      <x:c r="G247" s="35"/>
      <x:c r="H247" s="35"/>
    </x:row>
    <x:row r="248">
      <x:c r="A248" s="46"/>
      <x:c r="B248" s="39"/>
      <x:c r="C248" s="39" t="str">
        <x:f>IF(A248="","",SUM($B$6:B248))</x:f>
      </x:c>
      <x:c r="D248" s="35"/>
      <x:c r="E248" s="35"/>
      <x:c r="F248" s="35"/>
      <x:c r="G248" s="35"/>
      <x:c r="H248" s="35"/>
    </x:row>
    <x:row r="249">
      <x:c r="A249" s="46"/>
      <x:c r="B249" s="39"/>
      <x:c r="C249" s="39" t="str">
        <x:f>IF(A249="","",SUM($B$6:B249))</x:f>
      </x:c>
      <x:c r="D249" s="35"/>
      <x:c r="E249" s="35"/>
      <x:c r="F249" s="35"/>
      <x:c r="G249" s="35"/>
      <x:c r="H249" s="35"/>
    </x:row>
    <x:row r="250">
      <x:c r="A250" s="46"/>
      <x:c r="B250" s="39"/>
      <x:c r="C250" s="39" t="str">
        <x:f>IF(A250="","",SUM($B$6:B250))</x:f>
      </x:c>
      <x:c r="D250" s="35"/>
      <x:c r="E250" s="35"/>
      <x:c r="F250" s="35"/>
      <x:c r="G250" s="35"/>
      <x:c r="H250" s="35"/>
    </x:row>
    <x:row r="251">
      <x:c r="A251" s="46"/>
      <x:c r="B251" s="39"/>
      <x:c r="C251" s="39" t="str">
        <x:f>IF(A251="","",SUM($B$6:B251))</x:f>
      </x:c>
      <x:c r="D251" s="35"/>
      <x:c r="E251" s="35"/>
      <x:c r="F251" s="35"/>
      <x:c r="G251" s="35"/>
      <x:c r="H251" s="35"/>
    </x:row>
    <x:row r="252">
      <x:c r="A252" s="46"/>
      <x:c r="B252" s="39"/>
      <x:c r="C252" s="39" t="str">
        <x:f>IF(A252="","",SUM($B$6:B252))</x:f>
      </x:c>
      <x:c r="D252" s="35"/>
      <x:c r="E252" s="35"/>
      <x:c r="F252" s="35"/>
      <x:c r="G252" s="35"/>
      <x:c r="H252" s="35"/>
    </x:row>
    <x:row r="253">
      <x:c r="A253" s="46"/>
      <x:c r="B253" s="39"/>
      <x:c r="C253" s="39" t="str">
        <x:f>IF(A253="","",SUM($B$6:B253))</x:f>
      </x:c>
      <x:c r="D253" s="35"/>
      <x:c r="E253" s="35"/>
      <x:c r="F253" s="35"/>
      <x:c r="G253" s="35"/>
      <x:c r="H253" s="35"/>
    </x:row>
    <x:row r="254">
      <x:c r="A254" s="46"/>
      <x:c r="B254" s="39"/>
      <x:c r="C254" s="39" t="str">
        <x:f>IF(A254="","",SUM($B$6:B254))</x:f>
      </x:c>
      <x:c r="D254" s="35"/>
      <x:c r="E254" s="35"/>
      <x:c r="F254" s="35"/>
      <x:c r="G254" s="35"/>
      <x:c r="H254" s="35"/>
    </x:row>
    <x:row r="255">
      <x:c r="A255" s="46"/>
      <x:c r="B255" s="39"/>
      <x:c r="C255" s="39" t="str">
        <x:f>IF(A255="","",SUM($B$6:B255))</x:f>
      </x:c>
      <x:c r="D255" s="35"/>
      <x:c r="E255" s="35"/>
      <x:c r="F255" s="35"/>
      <x:c r="G255" s="35"/>
      <x:c r="H255" s="35"/>
    </x:row>
    <x:row r="256">
      <x:c r="A256" s="46"/>
      <x:c r="B256" s="39"/>
      <x:c r="C256" s="39" t="str">
        <x:f>IF(A256="","",SUM($B$6:B256))</x:f>
      </x:c>
      <x:c r="D256" s="35"/>
      <x:c r="E256" s="35"/>
      <x:c r="F256" s="35"/>
      <x:c r="G256" s="35"/>
      <x:c r="H256" s="35"/>
    </x:row>
    <x:row r="257">
      <x:c r="A257" s="46"/>
      <x:c r="B257" s="39"/>
      <x:c r="C257" s="39" t="str">
        <x:f>IF(A257="","",SUM($B$6:B257))</x:f>
      </x:c>
      <x:c r="D257" s="35"/>
      <x:c r="E257" s="35"/>
      <x:c r="F257" s="35"/>
      <x:c r="G257" s="35"/>
      <x:c r="H257" s="35"/>
    </x:row>
    <x:row r="258">
      <x:c r="A258" s="46"/>
      <x:c r="B258" s="39"/>
      <x:c r="C258" s="39" t="str">
        <x:f>IF(A258="","",SUM($B$6:B258))</x:f>
      </x:c>
      <x:c r="D258" s="35"/>
      <x:c r="E258" s="35"/>
      <x:c r="F258" s="35"/>
      <x:c r="G258" s="35"/>
      <x:c r="H258" s="35"/>
    </x:row>
    <x:row r="259">
      <x:c r="A259" s="46"/>
      <x:c r="B259" s="39"/>
      <x:c r="C259" s="39" t="str">
        <x:f>IF(A259="","",SUM($B$6:B259))</x:f>
      </x:c>
      <x:c r="D259" s="35"/>
      <x:c r="E259" s="35"/>
      <x:c r="F259" s="35"/>
      <x:c r="G259" s="35"/>
      <x:c r="H259" s="35"/>
    </x:row>
    <x:row r="260">
      <x:c r="A260" s="46"/>
      <x:c r="B260" s="39"/>
      <x:c r="C260" s="39" t="str">
        <x:f>IF(A260="","",SUM($B$6:B260))</x:f>
      </x:c>
      <x:c r="D260" s="35"/>
      <x:c r="E260" s="35"/>
      <x:c r="F260" s="35"/>
      <x:c r="G260" s="35"/>
      <x:c r="H260" s="35"/>
    </x:row>
    <x:row r="261">
      <x:c r="A261" s="46"/>
      <x:c r="B261" s="39"/>
      <x:c r="C261" s="39" t="str">
        <x:f>IF(A261="","",SUM($B$6:B261))</x:f>
      </x:c>
      <x:c r="D261" s="35"/>
      <x:c r="E261" s="35"/>
      <x:c r="F261" s="35"/>
      <x:c r="G261" s="35"/>
      <x:c r="H261" s="35"/>
    </x:row>
    <x:row r="262">
      <x:c r="A262" s="46"/>
      <x:c r="B262" s="39"/>
      <x:c r="C262" s="39" t="str">
        <x:f>IF(A262="","",SUM($B$6:B262))</x:f>
      </x:c>
      <x:c r="D262" s="35"/>
      <x:c r="E262" s="35"/>
      <x:c r="F262" s="35"/>
      <x:c r="G262" s="35"/>
      <x:c r="H262" s="35"/>
    </x:row>
    <x:row r="263">
      <x:c r="A263" s="46"/>
      <x:c r="B263" s="39"/>
      <x:c r="C263" s="39" t="str">
        <x:f>IF(A263="","",SUM($B$6:B263))</x:f>
      </x:c>
      <x:c r="D263" s="35"/>
      <x:c r="E263" s="35"/>
      <x:c r="F263" s="35"/>
      <x:c r="G263" s="35"/>
      <x:c r="H263" s="35"/>
    </x:row>
    <x:row r="264">
      <x:c r="A264" s="46"/>
      <x:c r="B264" s="39"/>
      <x:c r="C264" s="39" t="str">
        <x:f>IF(A264="","",SUM($B$6:B264))</x:f>
      </x:c>
      <x:c r="D264" s="35"/>
      <x:c r="E264" s="35"/>
      <x:c r="F264" s="35"/>
      <x:c r="G264" s="35"/>
      <x:c r="H264" s="35"/>
    </x:row>
    <x:row r="265">
      <x:c r="A265" s="46"/>
      <x:c r="B265" s="39"/>
      <x:c r="C265" s="39" t="str">
        <x:f>IF(A265="","",SUM($B$6:B265))</x:f>
      </x:c>
      <x:c r="D265" s="35"/>
      <x:c r="E265" s="35"/>
      <x:c r="F265" s="35"/>
      <x:c r="G265" s="35"/>
      <x:c r="H265" s="35"/>
    </x:row>
    <x:row r="266">
      <x:c r="A266" s="46"/>
      <x:c r="B266" s="39"/>
      <x:c r="C266" s="39" t="str">
        <x:f>IF(A266="","",SUM($B$6:B266))</x:f>
      </x:c>
      <x:c r="D266" s="35"/>
      <x:c r="E266" s="35"/>
      <x:c r="F266" s="35"/>
      <x:c r="G266" s="35"/>
      <x:c r="H266" s="35"/>
    </x:row>
    <x:row r="267">
      <x:c r="A267" s="46"/>
      <x:c r="B267" s="39"/>
      <x:c r="C267" s="39" t="str">
        <x:f>IF(A267="","",SUM($B$6:B267))</x:f>
      </x:c>
      <x:c r="D267" s="35"/>
      <x:c r="E267" s="35"/>
      <x:c r="F267" s="35"/>
      <x:c r="G267" s="35"/>
      <x:c r="H267" s="35"/>
    </x:row>
    <x:row r="268">
      <x:c r="A268" s="46"/>
      <x:c r="B268" s="39"/>
      <x:c r="C268" s="39" t="str">
        <x:f>IF(A268="","",SUM($B$6:B268))</x:f>
      </x:c>
      <x:c r="D268" s="35"/>
      <x:c r="E268" s="35"/>
      <x:c r="F268" s="35"/>
      <x:c r="G268" s="35"/>
      <x:c r="H268" s="35"/>
    </x:row>
    <x:row r="269">
      <x:c r="A269" s="46"/>
      <x:c r="B269" s="39"/>
      <x:c r="C269" s="39" t="str">
        <x:f>IF(A269="","",SUM($B$6:B269))</x:f>
      </x:c>
      <x:c r="D269" s="35"/>
      <x:c r="E269" s="35"/>
      <x:c r="F269" s="35"/>
      <x:c r="G269" s="35"/>
      <x:c r="H269" s="35"/>
    </x:row>
    <x:row r="270">
      <x:c r="A270" s="46"/>
      <x:c r="B270" s="39"/>
      <x:c r="C270" s="39" t="str">
        <x:f>IF(A270="","",SUM($B$6:B270))</x:f>
      </x:c>
      <x:c r="D270" s="35"/>
      <x:c r="E270" s="35"/>
      <x:c r="F270" s="35"/>
      <x:c r="G270" s="35"/>
      <x:c r="H270" s="35"/>
    </x:row>
    <x:row r="271">
      <x:c r="A271" s="46"/>
      <x:c r="B271" s="39"/>
      <x:c r="C271" s="39" t="str">
        <x:f>IF(A271="","",SUM($B$6:B271))</x:f>
      </x:c>
      <x:c r="D271" s="35"/>
      <x:c r="E271" s="35"/>
      <x:c r="F271" s="35"/>
      <x:c r="G271" s="35"/>
      <x:c r="H271" s="35"/>
    </x:row>
    <x:row r="272">
      <x:c r="A272" s="46"/>
      <x:c r="B272" s="39"/>
      <x:c r="C272" s="39" t="str">
        <x:f>IF(A272="","",SUM($B$6:B272))</x:f>
      </x:c>
      <x:c r="D272" s="35"/>
      <x:c r="E272" s="35"/>
      <x:c r="F272" s="35"/>
      <x:c r="G272" s="35"/>
      <x:c r="H272" s="35"/>
    </x:row>
    <x:row r="273">
      <x:c r="A273" s="46"/>
      <x:c r="B273" s="39"/>
      <x:c r="C273" s="39" t="str">
        <x:f>IF(A273="","",SUM($B$6:B273))</x:f>
      </x:c>
      <x:c r="D273" s="35"/>
      <x:c r="E273" s="35"/>
      <x:c r="F273" s="35"/>
      <x:c r="G273" s="35"/>
      <x:c r="H273" s="35"/>
    </x:row>
    <x:row r="274">
      <x:c r="A274" s="46"/>
      <x:c r="B274" s="39"/>
      <x:c r="C274" s="39" t="str">
        <x:f>IF(A274="","",SUM($B$6:B274))</x:f>
      </x:c>
      <x:c r="D274" s="35"/>
      <x:c r="E274" s="35"/>
      <x:c r="F274" s="35"/>
      <x:c r="G274" s="35"/>
      <x:c r="H274" s="35"/>
    </x:row>
    <x:row r="275">
      <x:c r="A275" s="46"/>
      <x:c r="B275" s="39"/>
      <x:c r="C275" s="39" t="str">
        <x:f>IF(A275="","",SUM($B$6:B275))</x:f>
      </x:c>
      <x:c r="D275" s="35"/>
      <x:c r="E275" s="35"/>
      <x:c r="F275" s="35"/>
      <x:c r="G275" s="35"/>
      <x:c r="H275" s="35"/>
    </x:row>
    <x:row r="276">
      <x:c r="A276" s="46"/>
      <x:c r="B276" s="39"/>
      <x:c r="C276" s="39" t="str">
        <x:f>IF(A276="","",SUM($B$6:B276))</x:f>
      </x:c>
      <x:c r="D276" s="35"/>
      <x:c r="E276" s="35"/>
      <x:c r="F276" s="35"/>
      <x:c r="G276" s="35"/>
      <x:c r="H276" s="35"/>
    </x:row>
    <x:row r="277">
      <x:c r="A277" s="46"/>
      <x:c r="B277" s="39"/>
      <x:c r="C277" s="39" t="str">
        <x:f>IF(A277="","",SUM($B$6:B277))</x:f>
      </x:c>
      <x:c r="D277" s="35"/>
      <x:c r="E277" s="35"/>
      <x:c r="F277" s="35"/>
      <x:c r="G277" s="35"/>
      <x:c r="H277" s="35"/>
    </x:row>
    <x:row r="278">
      <x:c r="A278" s="46"/>
      <x:c r="B278" s="39"/>
      <x:c r="C278" s="39" t="str">
        <x:f>IF(A278="","",SUM($B$6:B278))</x:f>
      </x:c>
      <x:c r="D278" s="35"/>
      <x:c r="E278" s="35"/>
      <x:c r="F278" s="35"/>
      <x:c r="G278" s="35"/>
      <x:c r="H278" s="35"/>
    </x:row>
    <x:row r="279">
      <x:c r="A279" s="46"/>
      <x:c r="B279" s="39"/>
      <x:c r="C279" s="39" t="str">
        <x:f>IF(A279="","",SUM($B$6:B279))</x:f>
      </x:c>
      <x:c r="D279" s="35"/>
      <x:c r="E279" s="35"/>
      <x:c r="F279" s="35"/>
      <x:c r="G279" s="35"/>
      <x:c r="H279" s="35"/>
    </x:row>
    <x:row r="280">
      <x:c r="A280" s="46"/>
      <x:c r="B280" s="39"/>
      <x:c r="C280" s="39" t="str">
        <x:f>IF(A280="","",SUM($B$6:B280))</x:f>
      </x:c>
      <x:c r="D280" s="35"/>
      <x:c r="E280" s="35"/>
      <x:c r="F280" s="35"/>
      <x:c r="G280" s="35"/>
      <x:c r="H280" s="35"/>
    </x:row>
    <x:row r="281">
      <x:c r="A281" s="46"/>
      <x:c r="B281" s="39"/>
      <x:c r="C281" s="39" t="str">
        <x:f>IF(A281="","",SUM($B$6:B281))</x:f>
      </x:c>
      <x:c r="D281" s="35"/>
      <x:c r="E281" s="35"/>
      <x:c r="F281" s="35"/>
      <x:c r="G281" s="35"/>
      <x:c r="H281" s="35"/>
    </x:row>
    <x:row r="282">
      <x:c r="A282" s="46"/>
      <x:c r="B282" s="39"/>
      <x:c r="C282" s="39" t="str">
        <x:f>IF(A282="","",SUM($B$6:B282))</x:f>
      </x:c>
      <x:c r="D282" s="35"/>
      <x:c r="E282" s="35"/>
      <x:c r="F282" s="35"/>
      <x:c r="G282" s="35"/>
      <x:c r="H282" s="35"/>
    </x:row>
    <x:row r="283">
      <x:c r="A283" s="46"/>
      <x:c r="B283" s="39"/>
      <x:c r="C283" s="39" t="str">
        <x:f>IF(A283="","",SUM($B$6:B283))</x:f>
      </x:c>
      <x:c r="D283" s="35"/>
      <x:c r="E283" s="35"/>
      <x:c r="F283" s="35"/>
      <x:c r="G283" s="35"/>
      <x:c r="H283" s="35"/>
    </x:row>
    <x:row r="284">
      <x:c r="A284" s="46"/>
      <x:c r="B284" s="39"/>
      <x:c r="C284" s="39" t="str">
        <x:f>IF(A284="","",SUM($B$6:B284))</x:f>
      </x:c>
      <x:c r="D284" s="35"/>
      <x:c r="E284" s="35"/>
      <x:c r="F284" s="35"/>
      <x:c r="G284" s="35"/>
      <x:c r="H284" s="35"/>
    </x:row>
    <x:row r="285">
      <x:c r="A285" s="46"/>
      <x:c r="B285" s="39"/>
      <x:c r="C285" s="39" t="str">
        <x:f>IF(A285="","",SUM($B$6:B285))</x:f>
      </x:c>
      <x:c r="D285" s="35"/>
      <x:c r="E285" s="35"/>
      <x:c r="F285" s="35"/>
      <x:c r="G285" s="35"/>
      <x:c r="H285" s="35"/>
    </x:row>
    <x:row r="286">
      <x:c r="A286" s="46"/>
      <x:c r="B286" s="39"/>
      <x:c r="C286" s="39" t="str">
        <x:f>IF(A286="","",SUM($B$6:B286))</x:f>
      </x:c>
      <x:c r="D286" s="35"/>
      <x:c r="E286" s="35"/>
      <x:c r="F286" s="35"/>
      <x:c r="G286" s="35"/>
      <x:c r="H286" s="35"/>
    </x:row>
    <x:row r="287">
      <x:c r="A287" s="46"/>
      <x:c r="B287" s="39"/>
      <x:c r="C287" s="39" t="str">
        <x:f>IF(A287="","",SUM($B$6:B287))</x:f>
      </x:c>
      <x:c r="D287" s="35"/>
      <x:c r="E287" s="35"/>
      <x:c r="F287" s="35"/>
      <x:c r="G287" s="35"/>
      <x:c r="H287" s="35"/>
    </x:row>
    <x:row r="288">
      <x:c r="A288" s="46"/>
      <x:c r="B288" s="39"/>
      <x:c r="C288" s="39" t="str">
        <x:f>IF(A288="","",SUM($B$6:B288))</x:f>
      </x:c>
      <x:c r="D288" s="35"/>
      <x:c r="E288" s="35"/>
      <x:c r="F288" s="35"/>
      <x:c r="G288" s="35"/>
      <x:c r="H288" s="35"/>
    </x:row>
    <x:row r="289">
      <x:c r="A289" s="46"/>
      <x:c r="B289" s="39"/>
      <x:c r="C289" s="39" t="str">
        <x:f>IF(A289="","",SUM($B$6:B289))</x:f>
      </x:c>
      <x:c r="D289" s="35"/>
      <x:c r="E289" s="35"/>
      <x:c r="F289" s="35"/>
      <x:c r="G289" s="35"/>
      <x:c r="H289" s="35"/>
    </x:row>
    <x:row r="290">
      <x:c r="A290" s="46"/>
      <x:c r="B290" s="39"/>
      <x:c r="C290" s="39" t="str">
        <x:f>IF(A290="","",SUM($B$6:B290))</x:f>
      </x:c>
      <x:c r="D290" s="35"/>
      <x:c r="E290" s="35"/>
      <x:c r="F290" s="35"/>
      <x:c r="G290" s="35"/>
      <x:c r="H290" s="35"/>
    </x:row>
    <x:row r="291">
      <x:c r="A291" s="46"/>
      <x:c r="B291" s="39"/>
      <x:c r="C291" s="39" t="str">
        <x:f>IF(A291="","",SUM($B$6:B291))</x:f>
      </x:c>
      <x:c r="D291" s="35"/>
      <x:c r="E291" s="35"/>
      <x:c r="F291" s="35"/>
      <x:c r="G291" s="35"/>
      <x:c r="H291" s="35"/>
    </x:row>
    <x:row r="292">
      <x:c r="A292" s="46"/>
      <x:c r="B292" s="39"/>
      <x:c r="C292" s="39" t="str">
        <x:f>IF(A292="","",SUM($B$6:B292))</x:f>
      </x:c>
      <x:c r="D292" s="35"/>
      <x:c r="E292" s="35"/>
      <x:c r="F292" s="35"/>
      <x:c r="G292" s="35"/>
      <x:c r="H292" s="35"/>
    </x:row>
    <x:row r="293">
      <x:c r="A293" s="46"/>
      <x:c r="B293" s="39"/>
      <x:c r="C293" s="39" t="str">
        <x:f>IF(A293="","",SUM($B$6:B293))</x:f>
      </x:c>
      <x:c r="D293" s="35"/>
      <x:c r="E293" s="35"/>
      <x:c r="F293" s="35"/>
      <x:c r="G293" s="35"/>
      <x:c r="H293" s="35"/>
    </x:row>
    <x:row r="294">
      <x:c r="A294" s="46"/>
      <x:c r="B294" s="39"/>
      <x:c r="C294" s="39" t="str">
        <x:f>IF(A294="","",SUM($B$6:B294))</x:f>
      </x:c>
      <x:c r="D294" s="35"/>
      <x:c r="E294" s="35"/>
      <x:c r="F294" s="35"/>
      <x:c r="G294" s="35"/>
      <x:c r="H294" s="35"/>
    </x:row>
    <x:row r="295">
      <x:c r="A295" s="46"/>
      <x:c r="B295" s="39"/>
      <x:c r="C295" s="39" t="str">
        <x:f>IF(A295="","",SUM($B$6:B295))</x:f>
      </x:c>
      <x:c r="D295" s="35"/>
      <x:c r="E295" s="35"/>
      <x:c r="F295" s="35"/>
      <x:c r="G295" s="35"/>
      <x:c r="H295" s="35"/>
    </x:row>
    <x:row r="296">
      <x:c r="A296" s="46"/>
      <x:c r="B296" s="39"/>
      <x:c r="C296" s="39" t="str">
        <x:f>IF(A296="","",SUM($B$6:B296))</x:f>
      </x:c>
      <x:c r="D296" s="35"/>
      <x:c r="E296" s="35"/>
      <x:c r="F296" s="35"/>
      <x:c r="G296" s="35"/>
      <x:c r="H296" s="35"/>
    </x:row>
    <x:row r="297">
      <x:c r="A297" s="46"/>
      <x:c r="B297" s="39"/>
      <x:c r="C297" s="39" t="str">
        <x:f>IF(A297="","",SUM($B$6:B297))</x:f>
      </x:c>
      <x:c r="D297" s="35"/>
      <x:c r="E297" s="35"/>
      <x:c r="F297" s="35"/>
      <x:c r="G297" s="35"/>
      <x:c r="H297" s="35"/>
    </x:row>
    <x:row r="298">
      <x:c r="A298" s="46"/>
      <x:c r="B298" s="39"/>
      <x:c r="C298" s="39" t="str">
        <x:f>IF(A298="","",SUM($B$6:B298))</x:f>
      </x:c>
      <x:c r="D298" s="35"/>
      <x:c r="E298" s="35"/>
      <x:c r="F298" s="35"/>
      <x:c r="G298" s="35"/>
      <x:c r="H298" s="35"/>
    </x:row>
    <x:row r="299">
      <x:c r="A299" s="46"/>
      <x:c r="B299" s="39"/>
      <x:c r="C299" s="39" t="str">
        <x:f>IF(A299="","",SUM($B$6:B299))</x:f>
      </x:c>
      <x:c r="D299" s="35"/>
      <x:c r="E299" s="35"/>
      <x:c r="F299" s="35"/>
      <x:c r="G299" s="35"/>
      <x:c r="H299" s="35"/>
    </x:row>
    <x:row r="300">
      <x:c r="A300" s="46"/>
      <x:c r="B300" s="39"/>
      <x:c r="C300" s="39" t="str">
        <x:f>IF(A300="","",SUM($B$6:B300))</x:f>
      </x:c>
      <x:c r="D300" s="35"/>
      <x:c r="E300" s="35"/>
      <x:c r="F300" s="35"/>
      <x:c r="G300" s="35"/>
      <x:c r="H300" s="35"/>
    </x:row>
    <x:row r="301">
      <x:c r="A301" s="46"/>
      <x:c r="B301" s="39"/>
      <x:c r="C301" s="39" t="str">
        <x:f>IF(A301="","",SUM($B$6:B301))</x:f>
      </x:c>
      <x:c r="D301" s="35"/>
      <x:c r="E301" s="35"/>
      <x:c r="F301" s="35"/>
      <x:c r="G301" s="35"/>
      <x:c r="H301" s="35"/>
    </x:row>
    <x:row r="302">
      <x:c r="A302" s="46"/>
      <x:c r="B302" s="39"/>
      <x:c r="C302" s="39" t="str">
        <x:f>IF(A302="","",SUM($B$6:B302))</x:f>
      </x:c>
      <x:c r="D302" s="35"/>
      <x:c r="E302" s="35"/>
      <x:c r="F302" s="35"/>
      <x:c r="G302" s="35"/>
      <x:c r="H302" s="35"/>
    </x:row>
    <x:row r="303">
      <x:c r="A303" s="46"/>
      <x:c r="B303" s="39"/>
      <x:c r="C303" s="39" t="str">
        <x:f>IF(A303="","",SUM($B$6:B303))</x:f>
      </x:c>
      <x:c r="D303" s="35"/>
      <x:c r="E303" s="35"/>
      <x:c r="F303" s="35"/>
      <x:c r="G303" s="35"/>
      <x:c r="H303" s="35"/>
    </x:row>
    <x:row r="304">
      <x:c r="A304" s="46"/>
      <x:c r="B304" s="39"/>
      <x:c r="C304" s="39" t="str">
        <x:f>IF(A304="","",SUM($B$6:B304))</x:f>
      </x:c>
      <x:c r="D304" s="35"/>
      <x:c r="E304" s="35"/>
      <x:c r="F304" s="35"/>
      <x:c r="G304" s="35"/>
      <x:c r="H304" s="35"/>
    </x:row>
    <x:row r="305">
      <x:c r="A305" s="46"/>
      <x:c r="B305" s="39"/>
      <x:c r="C305" s="39" t="str">
        <x:f>IF(A305="","",SUM($B$6:B305))</x:f>
      </x:c>
      <x:c r="D305" s="35"/>
      <x:c r="E305" s="35"/>
      <x:c r="F305" s="35"/>
      <x:c r="G305" s="35"/>
      <x:c r="H305" s="35"/>
    </x:row>
    <x:row r="306">
      <x:c r="A306" s="46"/>
      <x:c r="B306" s="39"/>
      <x:c r="C306" s="39" t="str">
        <x:f>IF(A306="","",SUM($B$6:B306))</x:f>
      </x:c>
      <x:c r="D306" s="35"/>
      <x:c r="E306" s="35"/>
      <x:c r="F306" s="35"/>
      <x:c r="G306" s="35"/>
      <x:c r="H306" s="35"/>
    </x:row>
    <x:row r="307">
      <x:c r="A307" s="46"/>
      <x:c r="B307" s="39"/>
      <x:c r="C307" s="39" t="str">
        <x:f>IF(A307="","",SUM($B$6:B307))</x:f>
      </x:c>
      <x:c r="D307" s="35"/>
      <x:c r="E307" s="35"/>
      <x:c r="F307" s="35"/>
      <x:c r="G307" s="35"/>
      <x:c r="H307" s="35"/>
    </x:row>
    <x:row r="308">
      <x:c r="A308" s="46"/>
      <x:c r="B308" s="39"/>
      <x:c r="C308" s="39" t="str">
        <x:f>IF(A308="","",SUM($B$6:B308))</x:f>
      </x:c>
      <x:c r="D308" s="35"/>
      <x:c r="E308" s="35"/>
      <x:c r="F308" s="35"/>
      <x:c r="G308" s="35"/>
      <x:c r="H308" s="35"/>
    </x:row>
    <x:row r="309">
      <x:c r="A309" s="46"/>
      <x:c r="B309" s="39"/>
      <x:c r="C309" s="39" t="str">
        <x:f>IF(A309="","",SUM($B$6:B309))</x:f>
      </x:c>
      <x:c r="D309" s="35"/>
      <x:c r="E309" s="35"/>
      <x:c r="F309" s="35"/>
      <x:c r="G309" s="35"/>
      <x:c r="H309" s="35"/>
    </x:row>
    <x:row r="310">
      <x:c r="A310" s="46"/>
      <x:c r="B310" s="39"/>
      <x:c r="C310" s="39" t="str">
        <x:f>IF(A310="","",SUM($B$6:B310))</x:f>
      </x:c>
      <x:c r="D310" s="35"/>
      <x:c r="E310" s="35"/>
      <x:c r="F310" s="35"/>
      <x:c r="G310" s="35"/>
      <x:c r="H310" s="35"/>
    </x:row>
    <x:row r="311">
      <x:c r="A311" s="46"/>
      <x:c r="B311" s="39"/>
      <x:c r="C311" s="39" t="str">
        <x:f>IF(A311="","",SUM($B$6:B311))</x:f>
      </x:c>
      <x:c r="D311" s="35"/>
      <x:c r="E311" s="35"/>
      <x:c r="F311" s="35"/>
      <x:c r="G311" s="35"/>
      <x:c r="H311" s="35"/>
    </x:row>
    <x:row r="312">
      <x:c r="A312" s="46"/>
      <x:c r="B312" s="39"/>
      <x:c r="C312" s="39" t="str">
        <x:f>IF(A312="","",SUM($B$6:B312))</x:f>
      </x:c>
      <x:c r="D312" s="35"/>
      <x:c r="E312" s="35"/>
      <x:c r="F312" s="35"/>
      <x:c r="G312" s="35"/>
      <x:c r="H312" s="35"/>
    </x:row>
    <x:row r="313">
      <x:c r="A313" s="46"/>
      <x:c r="B313" s="39"/>
      <x:c r="C313" s="39" t="str">
        <x:f>IF(A313="","",SUM($B$6:B313))</x:f>
      </x:c>
      <x:c r="D313" s="35"/>
      <x:c r="E313" s="35"/>
      <x:c r="F313" s="35"/>
      <x:c r="G313" s="35"/>
      <x:c r="H313" s="35"/>
    </x:row>
    <x:row r="314">
      <x:c r="A314" s="46"/>
      <x:c r="B314" s="39"/>
      <x:c r="C314" s="39" t="str">
        <x:f>IF(A314="","",SUM($B$6:B314))</x:f>
      </x:c>
      <x:c r="D314" s="35"/>
      <x:c r="E314" s="35"/>
      <x:c r="F314" s="35"/>
      <x:c r="G314" s="35"/>
      <x:c r="H314" s="35"/>
    </x:row>
    <x:row r="315">
      <x:c r="A315" s="46"/>
      <x:c r="B315" s="39"/>
      <x:c r="C315" s="39" t="str">
        <x:f>IF(A315="","",SUM($B$6:B315))</x:f>
      </x:c>
      <x:c r="D315" s="35"/>
      <x:c r="E315" s="35"/>
      <x:c r="F315" s="35"/>
      <x:c r="G315" s="35"/>
      <x:c r="H315" s="35"/>
    </x:row>
    <x:row r="316">
      <x:c r="A316" s="46"/>
      <x:c r="B316" s="39"/>
      <x:c r="C316" s="39" t="str">
        <x:f>IF(A316="","",SUM($B$6:B316))</x:f>
      </x:c>
      <x:c r="D316" s="35"/>
      <x:c r="E316" s="35"/>
      <x:c r="F316" s="35"/>
      <x:c r="G316" s="35"/>
      <x:c r="H316" s="35"/>
    </x:row>
    <x:row r="317">
      <x:c r="A317" s="46"/>
      <x:c r="B317" s="39"/>
      <x:c r="C317" s="39" t="str">
        <x:f>IF(A317="","",SUM($B$6:B317))</x:f>
      </x:c>
      <x:c r="D317" s="35"/>
      <x:c r="E317" s="35"/>
      <x:c r="F317" s="35"/>
      <x:c r="G317" s="35"/>
      <x:c r="H317" s="35"/>
    </x:row>
    <x:row r="318">
      <x:c r="A318" s="46"/>
      <x:c r="B318" s="39"/>
      <x:c r="C318" s="39" t="str">
        <x:f>IF(A318="","",SUM($B$6:B318))</x:f>
      </x:c>
      <x:c r="D318" s="35"/>
      <x:c r="E318" s="35"/>
      <x:c r="F318" s="35"/>
      <x:c r="G318" s="35"/>
      <x:c r="H318" s="35"/>
    </x:row>
    <x:row r="319">
      <x:c r="A319" s="46"/>
      <x:c r="B319" s="39"/>
      <x:c r="C319" s="39" t="str">
        <x:f>IF(A319="","",SUM($B$6:B319))</x:f>
      </x:c>
      <x:c r="D319" s="35"/>
      <x:c r="E319" s="35"/>
      <x:c r="F319" s="35"/>
      <x:c r="G319" s="35"/>
      <x:c r="H319" s="35"/>
    </x:row>
    <x:row r="320">
      <x:c r="A320" s="46"/>
      <x:c r="B320" s="39"/>
      <x:c r="C320" s="39" t="str">
        <x:f>IF(A320="","",SUM($B$6:B320))</x:f>
      </x:c>
      <x:c r="D320" s="35"/>
      <x:c r="E320" s="35"/>
      <x:c r="F320" s="35"/>
      <x:c r="G320" s="35"/>
      <x:c r="H320" s="35"/>
    </x:row>
    <x:row r="321">
      <x:c r="A321" s="46"/>
      <x:c r="B321" s="39"/>
      <x:c r="C321" s="39" t="str">
        <x:f>IF(A321="","",SUM($B$6:B321))</x:f>
      </x:c>
      <x:c r="D321" s="35"/>
      <x:c r="E321" s="35"/>
      <x:c r="F321" s="35"/>
      <x:c r="G321" s="35"/>
      <x:c r="H321" s="35"/>
    </x:row>
    <x:row r="322">
      <x:c r="A322" s="46"/>
      <x:c r="B322" s="39"/>
      <x:c r="C322" s="39" t="str">
        <x:f>IF(A322="","",SUM($B$6:B322))</x:f>
      </x:c>
      <x:c r="D322" s="35"/>
      <x:c r="E322" s="35"/>
      <x:c r="F322" s="35"/>
      <x:c r="G322" s="35"/>
      <x:c r="H322" s="35"/>
    </x:row>
    <x:row r="323">
      <x:c r="A323" s="46"/>
      <x:c r="B323" s="39"/>
      <x:c r="C323" s="39" t="str">
        <x:f>IF(A323="","",SUM($B$6:B323))</x:f>
      </x:c>
      <x:c r="D323" s="35"/>
      <x:c r="E323" s="35"/>
      <x:c r="F323" s="35"/>
      <x:c r="G323" s="35"/>
      <x:c r="H323" s="35"/>
    </x:row>
    <x:row r="324">
      <x:c r="A324" s="46"/>
      <x:c r="B324" s="39"/>
      <x:c r="C324" s="39" t="str">
        <x:f>IF(A324="","",SUM($B$6:B324))</x:f>
      </x:c>
      <x:c r="D324" s="35"/>
      <x:c r="E324" s="35"/>
      <x:c r="F324" s="35"/>
      <x:c r="G324" s="35"/>
      <x:c r="H324" s="35"/>
    </x:row>
    <x:row r="325">
      <x:c r="A325" s="46"/>
      <x:c r="B325" s="39"/>
      <x:c r="C325" s="39" t="str">
        <x:f>IF(A325="","",SUM($B$6:B325))</x:f>
      </x:c>
      <x:c r="D325" s="35"/>
      <x:c r="E325" s="35"/>
      <x:c r="F325" s="35"/>
      <x:c r="G325" s="35"/>
      <x:c r="H325" s="35"/>
    </x:row>
    <x:row r="326">
      <x:c r="A326" s="46"/>
      <x:c r="B326" s="39"/>
      <x:c r="C326" s="39" t="str">
        <x:f>IF(A326="","",SUM($B$6:B326))</x:f>
      </x:c>
      <x:c r="D326" s="35"/>
      <x:c r="E326" s="35"/>
      <x:c r="F326" s="35"/>
      <x:c r="G326" s="35"/>
      <x:c r="H326" s="35"/>
    </x:row>
    <x:row r="327">
      <x:c r="A327" s="46"/>
      <x:c r="B327" s="39"/>
      <x:c r="C327" s="39" t="str">
        <x:f>IF(A327="","",SUM($B$6:B327))</x:f>
      </x:c>
      <x:c r="D327" s="35"/>
      <x:c r="E327" s="35"/>
      <x:c r="F327" s="35"/>
      <x:c r="G327" s="35"/>
      <x:c r="H327" s="35"/>
    </x:row>
    <x:row r="328">
      <x:c r="A328" s="46"/>
      <x:c r="B328" s="39"/>
      <x:c r="C328" s="39" t="str">
        <x:f>IF(A328="","",SUM($B$6:B328))</x:f>
      </x:c>
      <x:c r="D328" s="35"/>
      <x:c r="E328" s="35"/>
      <x:c r="F328" s="35"/>
      <x:c r="G328" s="35"/>
      <x:c r="H328" s="35"/>
    </x:row>
    <x:row r="329">
      <x:c r="A329" s="46"/>
      <x:c r="B329" s="39"/>
      <x:c r="C329" s="39" t="str">
        <x:f>IF(A329="","",SUM($B$6:B329))</x:f>
      </x:c>
      <x:c r="D329" s="35"/>
      <x:c r="E329" s="35"/>
      <x:c r="F329" s="35"/>
      <x:c r="G329" s="35"/>
      <x:c r="H329" s="35"/>
    </x:row>
    <x:row r="330">
      <x:c r="A330" s="46"/>
      <x:c r="B330" s="39"/>
      <x:c r="C330" s="39" t="str">
        <x:f>IF(A330="","",SUM($B$6:B330))</x:f>
      </x:c>
      <x:c r="D330" s="35"/>
      <x:c r="E330" s="35"/>
      <x:c r="F330" s="35"/>
      <x:c r="G330" s="35"/>
      <x:c r="H330" s="35"/>
    </x:row>
    <x:row r="331">
      <x:c r="A331" s="46"/>
      <x:c r="B331" s="39"/>
      <x:c r="C331" s="39" t="str">
        <x:f>IF(A331="","",SUM($B$6:B331))</x:f>
      </x:c>
      <x:c r="D331" s="35"/>
      <x:c r="E331" s="35"/>
      <x:c r="F331" s="35"/>
      <x:c r="G331" s="35"/>
      <x:c r="H331" s="35"/>
    </x:row>
    <x:row r="332">
      <x:c r="A332" s="46"/>
      <x:c r="B332" s="39"/>
      <x:c r="C332" s="39" t="str">
        <x:f>IF(A332="","",SUM($B$6:B332))</x:f>
      </x:c>
      <x:c r="D332" s="35"/>
      <x:c r="E332" s="35"/>
      <x:c r="F332" s="35"/>
      <x:c r="G332" s="35"/>
      <x:c r="H332" s="35"/>
    </x:row>
    <x:row r="333">
      <x:c r="A333" s="46"/>
      <x:c r="B333" s="39"/>
      <x:c r="C333" s="39" t="str">
        <x:f>IF(A333="","",SUM($B$6:B333))</x:f>
      </x:c>
      <x:c r="D333" s="35"/>
      <x:c r="E333" s="35"/>
      <x:c r="F333" s="35"/>
      <x:c r="G333" s="35"/>
      <x:c r="H333" s="35"/>
    </x:row>
    <x:row r="334">
      <x:c r="A334" s="46"/>
      <x:c r="B334" s="39"/>
      <x:c r="C334" s="39" t="str">
        <x:f>IF(A334="","",SUM($B$6:B334))</x:f>
      </x:c>
      <x:c r="D334" s="35"/>
      <x:c r="E334" s="35"/>
      <x:c r="F334" s="35"/>
      <x:c r="G334" s="35"/>
      <x:c r="H334" s="35"/>
    </x:row>
    <x:row r="335">
      <x:c r="A335" s="46"/>
      <x:c r="B335" s="39"/>
      <x:c r="C335" s="39" t="str">
        <x:f>IF(A335="","",SUM($B$6:B335))</x:f>
      </x:c>
      <x:c r="D335" s="35"/>
      <x:c r="E335" s="35"/>
      <x:c r="F335" s="35"/>
      <x:c r="G335" s="35"/>
      <x:c r="H335" s="35"/>
    </x:row>
    <x:row r="336">
      <x:c r="A336" s="46"/>
      <x:c r="B336" s="39"/>
      <x:c r="C336" s="39" t="str">
        <x:f>IF(A336="","",SUM($B$6:B336))</x:f>
      </x:c>
      <x:c r="D336" s="35"/>
      <x:c r="E336" s="35"/>
      <x:c r="F336" s="35"/>
      <x:c r="G336" s="35"/>
      <x:c r="H336" s="35"/>
    </x:row>
    <x:row r="337">
      <x:c r="A337" s="46"/>
      <x:c r="B337" s="39"/>
      <x:c r="C337" s="39" t="str">
        <x:f>IF(A337="","",SUM($B$6:B337))</x:f>
      </x:c>
      <x:c r="D337" s="35"/>
      <x:c r="E337" s="35"/>
      <x:c r="F337" s="35"/>
      <x:c r="G337" s="35"/>
      <x:c r="H337" s="35"/>
    </x:row>
    <x:row r="338">
      <x:c r="A338" s="46"/>
      <x:c r="B338" s="39"/>
      <x:c r="C338" s="39" t="str">
        <x:f>IF(A338="","",SUM($B$6:B338))</x:f>
      </x:c>
      <x:c r="D338" s="35"/>
      <x:c r="E338" s="35"/>
      <x:c r="F338" s="35"/>
      <x:c r="G338" s="35"/>
      <x:c r="H338" s="35"/>
    </x:row>
    <x:row r="339">
      <x:c r="A339" s="46"/>
      <x:c r="B339" s="39"/>
      <x:c r="C339" s="39" t="str">
        <x:f>IF(A339="","",SUM($B$6:B339))</x:f>
      </x:c>
      <x:c r="D339" s="35"/>
      <x:c r="E339" s="35"/>
      <x:c r="F339" s="35"/>
      <x:c r="G339" s="35"/>
      <x:c r="H339" s="35"/>
    </x:row>
    <x:row r="340">
      <x:c r="A340" s="46"/>
      <x:c r="B340" s="39"/>
      <x:c r="C340" s="39" t="str">
        <x:f>IF(A340="","",SUM($B$6:B340))</x:f>
      </x:c>
      <x:c r="D340" s="35"/>
      <x:c r="E340" s="35"/>
      <x:c r="F340" s="35"/>
      <x:c r="G340" s="35"/>
      <x:c r="H340" s="35"/>
    </x:row>
    <x:row r="341">
      <x:c r="A341" s="46"/>
      <x:c r="B341" s="39"/>
      <x:c r="C341" s="39" t="str">
        <x:f>IF(A341="","",SUM($B$6:B341))</x:f>
      </x:c>
      <x:c r="D341" s="35"/>
      <x:c r="E341" s="35"/>
      <x:c r="F341" s="35"/>
      <x:c r="G341" s="35"/>
      <x:c r="H341" s="35"/>
    </x:row>
    <x:row r="342">
      <x:c r="A342" s="46"/>
      <x:c r="B342" s="39"/>
      <x:c r="C342" s="39" t="str">
        <x:f>IF(A342="","",SUM($B$6:B342))</x:f>
      </x:c>
      <x:c r="D342" s="35"/>
      <x:c r="E342" s="35"/>
      <x:c r="F342" s="35"/>
      <x:c r="G342" s="35"/>
      <x:c r="H342" s="35"/>
    </x:row>
    <x:row r="343">
      <x:c r="A343" s="46"/>
      <x:c r="B343" s="39"/>
      <x:c r="C343" s="39" t="str">
        <x:f>IF(A343="","",SUM($B$6:B343))</x:f>
      </x:c>
      <x:c r="D343" s="35"/>
      <x:c r="E343" s="35"/>
      <x:c r="F343" s="35"/>
      <x:c r="G343" s="35"/>
      <x:c r="H343" s="35"/>
    </x:row>
    <x:row r="344">
      <x:c r="A344" s="46"/>
      <x:c r="B344" s="39"/>
      <x:c r="C344" s="39" t="str">
        <x:f>IF(A344="","",SUM($B$6:B344))</x:f>
      </x:c>
      <x:c r="D344" s="35"/>
      <x:c r="E344" s="35"/>
      <x:c r="F344" s="35"/>
      <x:c r="G344" s="35"/>
      <x:c r="H344" s="35"/>
    </x:row>
    <x:row r="345">
      <x:c r="A345" s="46"/>
      <x:c r="B345" s="39"/>
      <x:c r="C345" s="39" t="str">
        <x:f>IF(A345="","",SUM($B$6:B345))</x:f>
      </x:c>
      <x:c r="D345" s="35"/>
      <x:c r="E345" s="35"/>
      <x:c r="F345" s="35"/>
      <x:c r="G345" s="35"/>
      <x:c r="H345" s="35"/>
    </x:row>
    <x:row r="346">
      <x:c r="A346" s="46"/>
      <x:c r="B346" s="39"/>
      <x:c r="C346" s="39" t="str">
        <x:f>IF(A346="","",SUM($B$6:B346))</x:f>
      </x:c>
      <x:c r="D346" s="35"/>
      <x:c r="E346" s="35"/>
      <x:c r="F346" s="35"/>
      <x:c r="G346" s="35"/>
      <x:c r="H346" s="35"/>
    </x:row>
    <x:row r="347">
      <x:c r="A347" s="46"/>
      <x:c r="B347" s="39"/>
      <x:c r="C347" s="39" t="str">
        <x:f>IF(A347="","",SUM($B$6:B347))</x:f>
      </x:c>
      <x:c r="D347" s="35"/>
      <x:c r="E347" s="35"/>
      <x:c r="F347" s="35"/>
      <x:c r="G347" s="35"/>
      <x:c r="H347" s="35"/>
    </x:row>
    <x:row r="348">
      <x:c r="A348" s="46"/>
      <x:c r="B348" s="39"/>
      <x:c r="C348" s="39" t="str">
        <x:f>IF(A348="","",SUM($B$6:B348))</x:f>
      </x:c>
      <x:c r="D348" s="35"/>
      <x:c r="E348" s="35"/>
      <x:c r="F348" s="35"/>
      <x:c r="G348" s="35"/>
      <x:c r="H348" s="35"/>
    </x:row>
    <x:row r="349">
      <x:c r="A349" s="46"/>
      <x:c r="B349" s="39"/>
      <x:c r="C349" s="39" t="str">
        <x:f>IF(A349="","",SUM($B$6:B349))</x:f>
      </x:c>
      <x:c r="D349" s="35"/>
      <x:c r="E349" s="35"/>
      <x:c r="F349" s="35"/>
      <x:c r="G349" s="35"/>
      <x:c r="H349" s="35"/>
    </x:row>
    <x:row r="350">
      <x:c r="A350" s="46"/>
      <x:c r="B350" s="39"/>
      <x:c r="C350" s="39" t="str">
        <x:f>IF(A350="","",SUM($B$6:B350))</x:f>
      </x:c>
      <x:c r="D350" s="35"/>
      <x:c r="E350" s="35"/>
      <x:c r="F350" s="35"/>
      <x:c r="G350" s="35"/>
      <x:c r="H350" s="35"/>
    </x:row>
    <x:row r="351">
      <x:c r="A351" s="46"/>
      <x:c r="B351" s="39"/>
      <x:c r="C351" s="39" t="str">
        <x:f>IF(A351="","",SUM($B$6:B351))</x:f>
      </x:c>
      <x:c r="D351" s="35"/>
      <x:c r="E351" s="35"/>
      <x:c r="F351" s="35"/>
      <x:c r="G351" s="35"/>
      <x:c r="H351" s="35"/>
    </x:row>
    <x:row r="352">
      <x:c r="A352" s="46"/>
      <x:c r="B352" s="39"/>
      <x:c r="C352" s="39" t="str">
        <x:f>IF(A352="","",SUM($B$6:B352))</x:f>
      </x:c>
      <x:c r="D352" s="35"/>
      <x:c r="E352" s="35"/>
      <x:c r="F352" s="35"/>
      <x:c r="G352" s="35"/>
      <x:c r="H352" s="35"/>
    </x:row>
    <x:row r="353">
      <x:c r="A353" s="46"/>
      <x:c r="B353" s="39"/>
      <x:c r="C353" s="39" t="str">
        <x:f>IF(A353="","",SUM($B$6:B353))</x:f>
      </x:c>
      <x:c r="D353" s="35"/>
      <x:c r="E353" s="35"/>
      <x:c r="F353" s="35"/>
      <x:c r="G353" s="35"/>
      <x:c r="H353" s="35"/>
    </x:row>
    <x:row r="354">
      <x:c r="A354" s="46"/>
      <x:c r="B354" s="39"/>
      <x:c r="C354" s="39" t="str">
        <x:f>IF(A354="","",SUM($B$6:B354))</x:f>
      </x:c>
      <x:c r="D354" s="35"/>
      <x:c r="E354" s="35"/>
      <x:c r="F354" s="35"/>
      <x:c r="G354" s="35"/>
      <x:c r="H354" s="35"/>
    </x:row>
    <x:row r="355">
      <x:c r="A355" s="46"/>
      <x:c r="B355" s="39"/>
      <x:c r="C355" s="39" t="str">
        <x:f>IF(A355="","",SUM($B$6:B355))</x:f>
      </x:c>
      <x:c r="D355" s="35"/>
      <x:c r="E355" s="35"/>
      <x:c r="F355" s="35"/>
      <x:c r="G355" s="35"/>
      <x:c r="H355" s="35"/>
    </x:row>
    <x:row r="356">
      <x:c r="A356" s="46"/>
      <x:c r="B356" s="39"/>
      <x:c r="C356" s="39" t="str">
        <x:f>IF(A356="","",SUM($B$6:B356))</x:f>
      </x:c>
      <x:c r="D356" s="35"/>
      <x:c r="E356" s="35"/>
      <x:c r="F356" s="35"/>
      <x:c r="G356" s="35"/>
      <x:c r="H356" s="35"/>
    </x:row>
    <x:row r="357">
      <x:c r="A357" s="46"/>
      <x:c r="B357" s="39"/>
      <x:c r="C357" s="39" t="str">
        <x:f>IF(A357="","",SUM($B$6:B357))</x:f>
      </x:c>
      <x:c r="D357" s="35"/>
      <x:c r="E357" s="35"/>
      <x:c r="F357" s="35"/>
      <x:c r="G357" s="35"/>
      <x:c r="H357" s="35"/>
    </x:row>
    <x:row r="358">
      <x:c r="A358" s="46"/>
      <x:c r="B358" s="39"/>
      <x:c r="C358" s="39" t="str">
        <x:f>IF(A358="","",SUM($B$6:B358))</x:f>
      </x:c>
      <x:c r="D358" s="35"/>
      <x:c r="E358" s="35"/>
      <x:c r="F358" s="35"/>
      <x:c r="G358" s="35"/>
      <x:c r="H358" s="35"/>
    </x:row>
    <x:row r="359">
      <x:c r="A359" s="46"/>
      <x:c r="B359" s="39"/>
      <x:c r="C359" s="39" t="str">
        <x:f>IF(A359="","",SUM($B$6:B359))</x:f>
      </x:c>
      <x:c r="D359" s="35"/>
      <x:c r="E359" s="35"/>
      <x:c r="F359" s="35"/>
      <x:c r="G359" s="35"/>
      <x:c r="H359" s="35"/>
    </x:row>
    <x:row r="360">
      <x:c r="A360" s="46"/>
      <x:c r="B360" s="39"/>
      <x:c r="C360" s="39" t="str">
        <x:f>IF(A360="","",SUM($B$6:B360))</x:f>
      </x:c>
      <x:c r="D360" s="35"/>
      <x:c r="E360" s="35"/>
      <x:c r="F360" s="35"/>
      <x:c r="G360" s="35"/>
      <x:c r="H360" s="35"/>
    </x:row>
    <x:row r="361">
      <x:c r="A361" s="46"/>
      <x:c r="B361" s="39"/>
      <x:c r="C361" s="39" t="str">
        <x:f>IF(A361="","",SUM($B$6:B361))</x:f>
      </x:c>
      <x:c r="D361" s="35"/>
      <x:c r="E361" s="35"/>
      <x:c r="F361" s="35"/>
      <x:c r="G361" s="35"/>
      <x:c r="H361" s="35"/>
    </x:row>
    <x:row r="362">
      <x:c r="A362" s="46"/>
      <x:c r="B362" s="39"/>
      <x:c r="C362" s="39" t="str">
        <x:f>IF(A362="","",SUM($B$6:B362))</x:f>
      </x:c>
      <x:c r="D362" s="35"/>
      <x:c r="E362" s="35"/>
      <x:c r="F362" s="35"/>
      <x:c r="G362" s="35"/>
      <x:c r="H362" s="35"/>
    </x:row>
    <x:row r="363">
      <x:c r="A363" s="46"/>
      <x:c r="B363" s="39"/>
      <x:c r="C363" s="39" t="str">
        <x:f>IF(A363="","",SUM($B$6:B363))</x:f>
      </x:c>
      <x:c r="D363" s="35"/>
      <x:c r="E363" s="35"/>
      <x:c r="F363" s="35"/>
      <x:c r="G363" s="35"/>
      <x:c r="H363" s="35"/>
    </x:row>
    <x:row r="364">
      <x:c r="A364" s="46"/>
      <x:c r="B364" s="39"/>
      <x:c r="C364" s="39" t="str">
        <x:f>IF(A364="","",SUM($B$6:B364))</x:f>
      </x:c>
      <x:c r="D364" s="35"/>
      <x:c r="E364" s="35"/>
      <x:c r="F364" s="35"/>
      <x:c r="G364" s="35"/>
      <x:c r="H364" s="35"/>
    </x:row>
    <x:row r="365">
      <x:c r="A365" s="46"/>
      <x:c r="B365" s="39"/>
      <x:c r="C365" s="39" t="str">
        <x:f>IF(A365="","",SUM($B$6:B365))</x:f>
      </x:c>
      <x:c r="D365" s="35"/>
      <x:c r="E365" s="35"/>
      <x:c r="F365" s="35"/>
      <x:c r="G365" s="35"/>
      <x:c r="H365" s="35"/>
    </x:row>
    <x:row r="366">
      <x:c r="A366" s="46"/>
      <x:c r="B366" s="39"/>
      <x:c r="C366" s="39" t="str">
        <x:f>IF(A366="","",SUM($B$6:B366))</x:f>
      </x:c>
      <x:c r="D366" s="35"/>
      <x:c r="E366" s="35"/>
      <x:c r="F366" s="35"/>
      <x:c r="G366" s="35"/>
      <x:c r="H366" s="35"/>
    </x:row>
    <x:row r="367">
      <x:c r="A367" s="46"/>
      <x:c r="B367" s="39"/>
      <x:c r="C367" s="39" t="str">
        <x:f>IF(A367="","",SUM($B$6:B367))</x:f>
      </x:c>
      <x:c r="D367" s="35"/>
      <x:c r="E367" s="35"/>
      <x:c r="F367" s="35"/>
      <x:c r="G367" s="35"/>
      <x:c r="H367" s="35"/>
    </x:row>
    <x:row r="368">
      <x:c r="A368" s="46"/>
      <x:c r="B368" s="39"/>
      <x:c r="C368" s="39" t="str">
        <x:f>IF(A368="","",SUM($B$6:B368))</x:f>
      </x:c>
      <x:c r="D368" s="35"/>
      <x:c r="E368" s="35"/>
      <x:c r="F368" s="35"/>
      <x:c r="G368" s="35"/>
      <x:c r="H368" s="35"/>
    </x:row>
    <x:row r="369">
      <x:c r="A369" s="46"/>
      <x:c r="B369" s="39"/>
      <x:c r="C369" s="39" t="str">
        <x:f>IF(A369="","",SUM($B$6:B369))</x:f>
      </x:c>
      <x:c r="D369" s="35"/>
      <x:c r="E369" s="35"/>
      <x:c r="F369" s="35"/>
      <x:c r="G369" s="35"/>
      <x:c r="H369" s="35"/>
    </x:row>
    <x:row r="370">
      <x:c r="A370" s="46"/>
      <x:c r="B370" s="39"/>
      <x:c r="C370" s="39" t="str">
        <x:f>IF(A370="","",SUM($B$6:B370))</x:f>
      </x:c>
      <x:c r="D370" s="35"/>
      <x:c r="E370" s="35"/>
      <x:c r="F370" s="35"/>
      <x:c r="G370" s="35"/>
      <x:c r="H370" s="35"/>
    </x:row>
    <x:row r="371">
      <x:c r="A371" s="46"/>
      <x:c r="B371" s="39"/>
      <x:c r="C371" s="39" t="str">
        <x:f>IF(A371="","",SUM($B$6:B371))</x:f>
      </x:c>
      <x:c r="D371" s="35"/>
      <x:c r="E371" s="35"/>
      <x:c r="F371" s="35"/>
      <x:c r="G371" s="35"/>
      <x:c r="H371" s="35"/>
    </x:row>
    <x:row r="372">
      <x:c r="A372" s="46"/>
      <x:c r="B372" s="39"/>
      <x:c r="C372" s="39" t="str">
        <x:f>IF(A372="","",SUM($B$6:B372))</x:f>
      </x:c>
      <x:c r="D372" s="35"/>
      <x:c r="E372" s="35"/>
      <x:c r="F372" s="35"/>
      <x:c r="G372" s="35"/>
      <x:c r="H372" s="35"/>
    </x:row>
    <x:row r="373">
      <x:c r="A373" s="46"/>
      <x:c r="B373" s="39"/>
      <x:c r="C373" s="39" t="str">
        <x:f>IF(A373="","",SUM($B$6:B373))</x:f>
      </x:c>
      <x:c r="D373" s="35"/>
      <x:c r="E373" s="35"/>
      <x:c r="F373" s="35"/>
      <x:c r="G373" s="35"/>
      <x:c r="H373" s="35"/>
    </x:row>
    <x:row r="374">
      <x:c r="A374" s="46"/>
      <x:c r="B374" s="39"/>
      <x:c r="C374" s="39" t="str">
        <x:f>IF(A374="","",SUM($B$6:B374))</x:f>
      </x:c>
      <x:c r="D374" s="35"/>
      <x:c r="E374" s="35"/>
      <x:c r="F374" s="35"/>
      <x:c r="G374" s="35"/>
      <x:c r="H374" s="35"/>
    </x:row>
    <x:row r="375">
      <x:c r="A375" s="46"/>
      <x:c r="B375" s="39"/>
      <x:c r="C375" s="39" t="str">
        <x:f>IF(A375="","",SUM($B$6:B375))</x:f>
      </x:c>
      <x:c r="D375" s="35"/>
      <x:c r="E375" s="35"/>
      <x:c r="F375" s="35"/>
      <x:c r="G375" s="35"/>
      <x:c r="H375" s="35"/>
    </x:row>
    <x:row r="376">
      <x:c r="A376" s="46"/>
      <x:c r="B376" s="39"/>
      <x:c r="C376" s="39" t="str">
        <x:f>IF(A376="","",SUM($B$6:B376))</x:f>
      </x:c>
      <x:c r="D376" s="35"/>
      <x:c r="E376" s="35"/>
      <x:c r="F376" s="35"/>
      <x:c r="G376" s="35"/>
      <x:c r="H376" s="35"/>
    </x:row>
    <x:row r="377">
      <x:c r="A377" s="46"/>
      <x:c r="B377" s="39"/>
      <x:c r="C377" s="39" t="str">
        <x:f>IF(A377="","",SUM($B$6:B377))</x:f>
      </x:c>
      <x:c r="D377" s="35"/>
      <x:c r="E377" s="35"/>
      <x:c r="F377" s="35"/>
      <x:c r="G377" s="35"/>
      <x:c r="H377" s="35"/>
    </x:row>
    <x:row r="378">
      <x:c r="A378" s="46"/>
      <x:c r="B378" s="39"/>
      <x:c r="C378" s="39" t="str">
        <x:f>IF(A378="","",SUM($B$6:B378))</x:f>
      </x:c>
      <x:c r="D378" s="35"/>
      <x:c r="E378" s="35"/>
      <x:c r="F378" s="35"/>
      <x:c r="G378" s="35"/>
      <x:c r="H378" s="35"/>
    </x:row>
    <x:row r="379">
      <x:c r="A379" s="46"/>
      <x:c r="B379" s="39"/>
      <x:c r="C379" s="39" t="str">
        <x:f>IF(A379="","",SUM($B$6:B379))</x:f>
      </x:c>
      <x:c r="D379" s="35"/>
      <x:c r="E379" s="35"/>
      <x:c r="F379" s="35"/>
      <x:c r="G379" s="35"/>
      <x:c r="H379" s="35"/>
    </x:row>
    <x:row r="380">
      <x:c r="A380" s="46"/>
      <x:c r="B380" s="39"/>
      <x:c r="C380" s="39" t="str">
        <x:f>IF(A380="","",SUM($B$6:B380))</x:f>
      </x:c>
      <x:c r="D380" s="35"/>
      <x:c r="E380" s="35"/>
      <x:c r="F380" s="35"/>
      <x:c r="G380" s="35"/>
      <x:c r="H380" s="35"/>
    </x:row>
    <x:row r="381">
      <x:c r="A381" s="46"/>
      <x:c r="B381" s="39"/>
      <x:c r="C381" s="39" t="str">
        <x:f>IF(A381="","",SUM($B$6:B381))</x:f>
      </x:c>
      <x:c r="D381" s="35"/>
      <x:c r="E381" s="35"/>
      <x:c r="F381" s="35"/>
      <x:c r="G381" s="35"/>
      <x:c r="H381" s="35"/>
    </x:row>
    <x:row r="382">
      <x:c r="A382" s="46"/>
      <x:c r="B382" s="39"/>
      <x:c r="C382" s="39" t="str">
        <x:f>IF(A382="","",SUM($B$6:B382))</x:f>
      </x:c>
      <x:c r="D382" s="35"/>
      <x:c r="E382" s="35"/>
      <x:c r="F382" s="35"/>
      <x:c r="G382" s="35"/>
      <x:c r="H382" s="35"/>
    </x:row>
    <x:row r="383">
      <x:c r="A383" s="46"/>
      <x:c r="B383" s="39"/>
      <x:c r="C383" s="39" t="str">
        <x:f>IF(A383="","",SUM($B$6:B383))</x:f>
      </x:c>
      <x:c r="D383" s="35"/>
      <x:c r="E383" s="35"/>
      <x:c r="F383" s="35"/>
      <x:c r="G383" s="35"/>
      <x:c r="H383" s="35"/>
    </x:row>
    <x:row r="384">
      <x:c r="A384" s="46"/>
      <x:c r="B384" s="39"/>
      <x:c r="C384" s="39" t="str">
        <x:f>IF(A384="","",SUM($B$6:B384))</x:f>
      </x:c>
      <x:c r="D384" s="35"/>
      <x:c r="E384" s="35"/>
      <x:c r="F384" s="35"/>
      <x:c r="G384" s="35"/>
      <x:c r="H384" s="35"/>
    </x:row>
    <x:row r="385">
      <x:c r="A385" s="46"/>
      <x:c r="B385" s="39"/>
      <x:c r="C385" s="39" t="str">
        <x:f>IF(A385="","",SUM($B$6:B385))</x:f>
      </x:c>
      <x:c r="D385" s="35"/>
      <x:c r="E385" s="35"/>
      <x:c r="F385" s="35"/>
      <x:c r="G385" s="35"/>
      <x:c r="H385" s="35"/>
    </x:row>
    <x:row r="386">
      <x:c r="A386" s="46"/>
      <x:c r="B386" s="39"/>
      <x:c r="C386" s="39" t="str">
        <x:f>IF(A386="","",SUM($B$6:B386))</x:f>
      </x:c>
      <x:c r="D386" s="35"/>
      <x:c r="E386" s="35"/>
      <x:c r="F386" s="35"/>
      <x:c r="G386" s="35"/>
      <x:c r="H386" s="35"/>
    </x:row>
    <x:row r="387">
      <x:c r="A387" s="46"/>
      <x:c r="B387" s="39"/>
      <x:c r="C387" s="39" t="str">
        <x:f>IF(A387="","",SUM($B$6:B387))</x:f>
      </x:c>
      <x:c r="D387" s="35"/>
      <x:c r="E387" s="35"/>
      <x:c r="F387" s="35"/>
      <x:c r="G387" s="35"/>
      <x:c r="H387" s="35"/>
    </x:row>
    <x:row r="388">
      <x:c r="A388" s="46"/>
      <x:c r="B388" s="39"/>
      <x:c r="C388" s="39" t="str">
        <x:f>IF(A388="","",SUM($B$6:B388))</x:f>
      </x:c>
      <x:c r="D388" s="35"/>
      <x:c r="E388" s="35"/>
      <x:c r="F388" s="35"/>
      <x:c r="G388" s="35"/>
      <x:c r="H388" s="35"/>
    </x:row>
    <x:row r="389">
      <x:c r="A389" s="46"/>
      <x:c r="B389" s="39"/>
      <x:c r="C389" s="39" t="str">
        <x:f>IF(A389="","",SUM($B$6:B389))</x:f>
      </x:c>
      <x:c r="D389" s="35"/>
      <x:c r="E389" s="35"/>
      <x:c r="F389" s="35"/>
      <x:c r="G389" s="35"/>
      <x:c r="H389" s="35"/>
    </x:row>
    <x:row r="390">
      <x:c r="A390" s="46"/>
      <x:c r="B390" s="39"/>
      <x:c r="C390" s="39" t="str">
        <x:f>IF(A390="","",SUM($B$6:B390))</x:f>
      </x:c>
      <x:c r="D390" s="35"/>
      <x:c r="E390" s="35"/>
      <x:c r="F390" s="35"/>
      <x:c r="G390" s="35"/>
      <x:c r="H390" s="35"/>
    </x:row>
    <x:row r="391">
      <x:c r="A391" s="46"/>
      <x:c r="B391" s="39"/>
      <x:c r="C391" s="39" t="str">
        <x:f>IF(A391="","",SUM($B$6:B391))</x:f>
      </x:c>
      <x:c r="D391" s="35"/>
      <x:c r="E391" s="35"/>
      <x:c r="F391" s="35"/>
      <x:c r="G391" s="35"/>
      <x:c r="H391" s="35"/>
    </x:row>
    <x:row r="392">
      <x:c r="A392" s="46"/>
      <x:c r="B392" s="39"/>
      <x:c r="C392" s="39" t="str">
        <x:f>IF(A392="","",SUM($B$6:B392))</x:f>
      </x:c>
      <x:c r="D392" s="35"/>
      <x:c r="E392" s="35"/>
      <x:c r="F392" s="35"/>
      <x:c r="G392" s="35"/>
      <x:c r="H392" s="35"/>
    </x:row>
    <x:row r="393">
      <x:c r="A393" s="46"/>
      <x:c r="B393" s="39"/>
      <x:c r="C393" s="39" t="str">
        <x:f>IF(A393="","",SUM($B$6:B393))</x:f>
      </x:c>
      <x:c r="D393" s="35"/>
      <x:c r="E393" s="35"/>
      <x:c r="F393" s="35"/>
      <x:c r="G393" s="35"/>
      <x:c r="H393" s="35"/>
    </x:row>
    <x:row r="394">
      <x:c r="A394" s="46"/>
      <x:c r="B394" s="39"/>
      <x:c r="C394" s="39" t="str">
        <x:f>IF(A394="","",SUM($B$6:B394))</x:f>
      </x:c>
      <x:c r="D394" s="35"/>
      <x:c r="E394" s="35"/>
      <x:c r="F394" s="35"/>
      <x:c r="G394" s="35"/>
      <x:c r="H394" s="35"/>
    </x:row>
    <x:row r="395">
      <x:c r="A395" s="46"/>
      <x:c r="B395" s="39"/>
      <x:c r="C395" s="39" t="str">
        <x:f>IF(A395="","",SUM($B$6:B395))</x:f>
      </x:c>
      <x:c r="D395" s="35"/>
      <x:c r="E395" s="35"/>
      <x:c r="F395" s="35"/>
      <x:c r="G395" s="35"/>
      <x:c r="H395" s="35"/>
    </x:row>
    <x:row r="396">
      <x:c r="A396" s="46"/>
      <x:c r="B396" s="39"/>
      <x:c r="C396" s="39" t="str">
        <x:f>IF(A396="","",SUM($B$6:B396))</x:f>
      </x:c>
      <x:c r="D396" s="35"/>
      <x:c r="E396" s="35"/>
      <x:c r="F396" s="35"/>
      <x:c r="G396" s="35"/>
      <x:c r="H396" s="35"/>
    </x:row>
    <x:row r="397">
      <x:c r="A397" s="46"/>
      <x:c r="B397" s="39"/>
      <x:c r="C397" s="39" t="str">
        <x:f>IF(A397="","",SUM($B$6:B397))</x:f>
      </x:c>
      <x:c r="D397" s="35"/>
      <x:c r="E397" s="35"/>
      <x:c r="F397" s="35"/>
      <x:c r="G397" s="35"/>
      <x:c r="H397" s="35"/>
    </x:row>
    <x:row r="398">
      <x:c r="A398" s="46"/>
      <x:c r="B398" s="39"/>
      <x:c r="C398" s="39" t="str">
        <x:f>IF(A398="","",SUM($B$6:B398))</x:f>
      </x:c>
      <x:c r="D398" s="35"/>
      <x:c r="E398" s="35"/>
      <x:c r="F398" s="35"/>
      <x:c r="G398" s="35"/>
      <x:c r="H398" s="35"/>
    </x:row>
    <x:row r="399">
      <x:c r="A399" s="46"/>
      <x:c r="B399" s="39"/>
      <x:c r="C399" s="39" t="str">
        <x:f>IF(A399="","",SUM($B$6:B399))</x:f>
      </x:c>
      <x:c r="D399" s="35"/>
      <x:c r="E399" s="35"/>
      <x:c r="F399" s="35"/>
      <x:c r="G399" s="35"/>
      <x:c r="H399" s="35"/>
    </x:row>
    <x:row r="400">
      <x:c r="A400" s="46"/>
      <x:c r="B400" s="39"/>
      <x:c r="C400" s="39" t="str">
        <x:f>IF(A400="","",SUM($B$6:B400))</x:f>
      </x:c>
      <x:c r="D400" s="35"/>
      <x:c r="E400" s="35"/>
      <x:c r="F400" s="35"/>
      <x:c r="G400" s="35"/>
      <x:c r="H400" s="35"/>
    </x:row>
    <x:row r="401">
      <x:c r="A401" s="46"/>
      <x:c r="B401" s="39"/>
      <x:c r="C401" s="39" t="str">
        <x:f>IF(A401="","",SUM($B$6:B401))</x:f>
      </x:c>
      <x:c r="D401" s="35"/>
      <x:c r="E401" s="35"/>
      <x:c r="F401" s="35"/>
      <x:c r="G401" s="35"/>
      <x:c r="H401" s="35"/>
    </x:row>
    <x:row r="402">
      <x:c r="A402" s="46"/>
      <x:c r="B402" s="39"/>
      <x:c r="C402" s="39" t="str">
        <x:f>IF(A402="","",SUM($B$6:B402))</x:f>
      </x:c>
      <x:c r="D402" s="35"/>
      <x:c r="E402" s="35"/>
      <x:c r="F402" s="35"/>
      <x:c r="G402" s="35"/>
      <x:c r="H402" s="35"/>
    </x:row>
    <x:row r="403">
      <x:c r="A403" s="46"/>
      <x:c r="B403" s="39"/>
      <x:c r="C403" s="39" t="str">
        <x:f>IF(A403="","",SUM($B$6:B403))</x:f>
      </x:c>
      <x:c r="D403" s="35"/>
      <x:c r="E403" s="35"/>
      <x:c r="F403" s="35"/>
      <x:c r="G403" s="35"/>
      <x:c r="H403" s="35"/>
    </x:row>
    <x:row r="404">
      <x:c r="A404" s="46"/>
      <x:c r="B404" s="39"/>
      <x:c r="C404" s="39" t="str">
        <x:f>IF(A404="","",SUM($B$6:B404))</x:f>
      </x:c>
      <x:c r="D404" s="35"/>
      <x:c r="E404" s="35"/>
      <x:c r="F404" s="35"/>
      <x:c r="G404" s="35"/>
      <x:c r="H404" s="35"/>
    </x:row>
    <x:row r="405">
      <x:c r="A405" s="46"/>
      <x:c r="B405" s="39"/>
      <x:c r="C405" s="39" t="str">
        <x:f>IF(A405="","",SUM($B$6:B405))</x:f>
      </x:c>
      <x:c r="D405" s="35"/>
      <x:c r="E405" s="35"/>
      <x:c r="F405" s="35"/>
      <x:c r="G405" s="35"/>
      <x:c r="H405" s="35"/>
    </x:row>
    <x:row r="406">
      <x:c r="A406" s="46"/>
      <x:c r="B406" s="39"/>
      <x:c r="C406" s="39" t="str">
        <x:f>IF(A406="","",SUM($B$6:B406))</x:f>
      </x:c>
      <x:c r="D406" s="35"/>
      <x:c r="E406" s="35"/>
      <x:c r="F406" s="35"/>
      <x:c r="G406" s="35"/>
      <x:c r="H406" s="35"/>
    </x:row>
    <x:row r="407">
      <x:c r="A407" s="46"/>
      <x:c r="B407" s="39"/>
      <x:c r="C407" s="39" t="str">
        <x:f>IF(A407="","",SUM($B$6:B407))</x:f>
      </x:c>
      <x:c r="D407" s="35"/>
      <x:c r="E407" s="35"/>
      <x:c r="F407" s="35"/>
      <x:c r="G407" s="35"/>
      <x:c r="H407" s="35"/>
    </x:row>
    <x:row r="408">
      <x:c r="A408" s="46"/>
      <x:c r="B408" s="39"/>
      <x:c r="C408" s="39" t="str">
        <x:f>IF(A408="","",SUM($B$6:B408))</x:f>
      </x:c>
      <x:c r="D408" s="35"/>
      <x:c r="E408" s="35"/>
      <x:c r="F408" s="35"/>
      <x:c r="G408" s="35"/>
      <x:c r="H408" s="35"/>
    </x:row>
    <x:row r="409">
      <x:c r="A409" s="46"/>
      <x:c r="B409" s="39"/>
      <x:c r="C409" s="39" t="str">
        <x:f>IF(A409="","",SUM($B$6:B409))</x:f>
      </x:c>
      <x:c r="D409" s="35"/>
      <x:c r="E409" s="35"/>
      <x:c r="F409" s="35"/>
      <x:c r="G409" s="35"/>
      <x:c r="H409" s="35"/>
    </x:row>
    <x:row r="410">
      <x:c r="A410" s="46"/>
      <x:c r="B410" s="39"/>
      <x:c r="C410" s="39" t="str">
        <x:f>IF(A410="","",SUM($B$6:B410))</x:f>
      </x:c>
      <x:c r="D410" s="35"/>
      <x:c r="E410" s="35"/>
      <x:c r="F410" s="35"/>
      <x:c r="G410" s="35"/>
      <x:c r="H410" s="35"/>
    </x:row>
    <x:row r="411">
      <x:c r="A411" s="46"/>
      <x:c r="B411" s="39"/>
      <x:c r="C411" s="39" t="str">
        <x:f>IF(A411="","",SUM($B$6:B411))</x:f>
      </x:c>
      <x:c r="D411" s="35"/>
      <x:c r="E411" s="35"/>
      <x:c r="F411" s="35"/>
      <x:c r="G411" s="35"/>
      <x:c r="H411" s="35"/>
    </x:row>
    <x:row r="412">
      <x:c r="A412" s="46"/>
      <x:c r="B412" s="39"/>
      <x:c r="C412" s="39" t="str">
        <x:f>IF(A412="","",SUM($B$6:B412))</x:f>
      </x:c>
      <x:c r="D412" s="35"/>
      <x:c r="E412" s="35"/>
      <x:c r="F412" s="35"/>
      <x:c r="G412" s="35"/>
      <x:c r="H412" s="35"/>
    </x:row>
    <x:row r="413">
      <x:c r="A413" s="46"/>
      <x:c r="B413" s="39"/>
      <x:c r="C413" s="39" t="str">
        <x:f>IF(A413="","",SUM($B$6:B413))</x:f>
      </x:c>
      <x:c r="D413" s="35"/>
      <x:c r="E413" s="35"/>
      <x:c r="F413" s="35"/>
      <x:c r="G413" s="35"/>
      <x:c r="H413" s="35"/>
    </x:row>
    <x:row r="414">
      <x:c r="A414" s="46"/>
      <x:c r="B414" s="39"/>
      <x:c r="C414" s="39" t="str">
        <x:f>IF(A414="","",SUM($B$6:B414))</x:f>
      </x:c>
      <x:c r="D414" s="35"/>
      <x:c r="E414" s="35"/>
      <x:c r="F414" s="35"/>
      <x:c r="G414" s="35"/>
      <x:c r="H414" s="35"/>
    </x:row>
    <x:row r="415">
      <x:c r="A415" s="46"/>
      <x:c r="B415" s="39"/>
      <x:c r="C415" s="39" t="str">
        <x:f>IF(A415="","",SUM($B$6:B415))</x:f>
      </x:c>
      <x:c r="D415" s="35"/>
      <x:c r="E415" s="35"/>
      <x:c r="F415" s="35"/>
      <x:c r="G415" s="35"/>
      <x:c r="H415" s="35"/>
    </x:row>
    <x:row r="416">
      <x:c r="A416" s="46"/>
      <x:c r="B416" s="39"/>
      <x:c r="C416" s="39" t="str">
        <x:f>IF(A416="","",SUM($B$6:B416))</x:f>
      </x:c>
      <x:c r="D416" s="35"/>
      <x:c r="E416" s="35"/>
      <x:c r="F416" s="35"/>
      <x:c r="G416" s="35"/>
      <x:c r="H416" s="35"/>
    </x:row>
    <x:row r="417">
      <x:c r="A417" s="46"/>
      <x:c r="B417" s="39"/>
      <x:c r="C417" s="39" t="str">
        <x:f>IF(A417="","",SUM($B$6:B417))</x:f>
      </x:c>
      <x:c r="D417" s="35"/>
      <x:c r="E417" s="35"/>
      <x:c r="F417" s="35"/>
      <x:c r="G417" s="35"/>
      <x:c r="H417" s="35"/>
    </x:row>
    <x:row r="418">
      <x:c r="A418" s="46"/>
      <x:c r="B418" s="39"/>
      <x:c r="C418" s="39" t="str">
        <x:f>IF(A418="","",SUM($B$6:B418))</x:f>
      </x:c>
      <x:c r="D418" s="35"/>
      <x:c r="E418" s="35"/>
      <x:c r="F418" s="35"/>
      <x:c r="G418" s="35"/>
      <x:c r="H418" s="35"/>
    </x:row>
    <x:row r="419">
      <x:c r="A419" s="46"/>
      <x:c r="B419" s="39"/>
      <x:c r="C419" s="39" t="str">
        <x:f>IF(A419="","",SUM($B$6:B419))</x:f>
      </x:c>
      <x:c r="D419" s="35"/>
      <x:c r="E419" s="35"/>
      <x:c r="F419" s="35"/>
      <x:c r="G419" s="35"/>
      <x:c r="H419" s="35"/>
    </x:row>
    <x:row r="420">
      <x:c r="A420" s="46"/>
      <x:c r="B420" s="39"/>
      <x:c r="C420" s="39" t="str">
        <x:f>IF(A420="","",SUM($B$6:B420))</x:f>
      </x:c>
      <x:c r="D420" s="35"/>
      <x:c r="E420" s="35"/>
      <x:c r="F420" s="35"/>
      <x:c r="G420" s="35"/>
      <x:c r="H420" s="35"/>
    </x:row>
    <x:row r="421">
      <x:c r="A421" s="46"/>
      <x:c r="B421" s="39"/>
      <x:c r="C421" s="39" t="str">
        <x:f>IF(A421="","",SUM($B$6:B421))</x:f>
      </x:c>
      <x:c r="D421" s="35"/>
      <x:c r="E421" s="35"/>
      <x:c r="F421" s="35"/>
      <x:c r="G421" s="35"/>
      <x:c r="H421" s="35"/>
    </x:row>
    <x:row r="422">
      <x:c r="A422" s="46"/>
      <x:c r="B422" s="39"/>
      <x:c r="C422" s="39" t="str">
        <x:f>IF(A422="","",SUM($B$6:B422))</x:f>
      </x:c>
      <x:c r="D422" s="35"/>
      <x:c r="E422" s="35"/>
      <x:c r="F422" s="35"/>
      <x:c r="G422" s="35"/>
      <x:c r="H422" s="35"/>
    </x:row>
    <x:row r="423">
      <x:c r="A423" s="46"/>
      <x:c r="B423" s="39"/>
      <x:c r="C423" s="39" t="str">
        <x:f>IF(A423="","",SUM($B$6:B423))</x:f>
      </x:c>
      <x:c r="D423" s="35"/>
      <x:c r="E423" s="35"/>
      <x:c r="F423" s="35"/>
      <x:c r="G423" s="35"/>
      <x:c r="H423" s="35"/>
    </x:row>
    <x:row r="424">
      <x:c r="A424" s="46"/>
      <x:c r="B424" s="39"/>
      <x:c r="C424" s="39" t="str">
        <x:f>IF(A424="","",SUM($B$6:B424))</x:f>
      </x:c>
      <x:c r="D424" s="35"/>
      <x:c r="E424" s="35"/>
      <x:c r="F424" s="35"/>
      <x:c r="G424" s="35"/>
      <x:c r="H424" s="35"/>
    </x:row>
    <x:row r="425">
      <x:c r="A425" s="46"/>
      <x:c r="B425" s="39"/>
      <x:c r="C425" s="39" t="str">
        <x:f>IF(A425="","",SUM($B$6:B425))</x:f>
      </x:c>
      <x:c r="D425" s="35"/>
      <x:c r="E425" s="35"/>
      <x:c r="F425" s="35"/>
      <x:c r="G425" s="35"/>
      <x:c r="H425" s="35"/>
    </x:row>
    <x:row r="426">
      <x:c r="A426" s="46"/>
      <x:c r="B426" s="39"/>
      <x:c r="C426" s="39" t="str">
        <x:f>IF(A426="","",SUM($B$6:B426))</x:f>
      </x:c>
      <x:c r="D426" s="35"/>
      <x:c r="E426" s="35"/>
      <x:c r="F426" s="35"/>
      <x:c r="G426" s="35"/>
      <x:c r="H426" s="35"/>
    </x:row>
    <x:row r="427">
      <x:c r="A427" s="46"/>
      <x:c r="B427" s="39"/>
      <x:c r="C427" s="39" t="str">
        <x:f>IF(A427="","",SUM($B$6:B427))</x:f>
      </x:c>
      <x:c r="D427" s="35"/>
      <x:c r="E427" s="35"/>
      <x:c r="F427" s="35"/>
      <x:c r="G427" s="35"/>
      <x:c r="H427" s="35"/>
    </x:row>
    <x:row r="428">
      <x:c r="A428" s="46"/>
      <x:c r="B428" s="39"/>
      <x:c r="C428" s="39" t="str">
        <x:f>IF(A428="","",SUM($B$6:B428))</x:f>
      </x:c>
      <x:c r="D428" s="35"/>
      <x:c r="E428" s="35"/>
      <x:c r="F428" s="35"/>
      <x:c r="G428" s="35"/>
      <x:c r="H428" s="35"/>
    </x:row>
    <x:row r="429">
      <x:c r="A429" s="46"/>
      <x:c r="B429" s="39"/>
      <x:c r="C429" s="39" t="str">
        <x:f>IF(A429="","",SUM($B$6:B429))</x:f>
      </x:c>
      <x:c r="D429" s="35"/>
      <x:c r="E429" s="35"/>
      <x:c r="F429" s="35"/>
      <x:c r="G429" s="35"/>
      <x:c r="H429" s="35"/>
    </x:row>
    <x:row r="430">
      <x:c r="A430" s="46"/>
      <x:c r="B430" s="39"/>
      <x:c r="C430" s="39" t="str">
        <x:f>IF(A430="","",SUM($B$6:B430))</x:f>
      </x:c>
      <x:c r="D430" s="35"/>
      <x:c r="E430" s="35"/>
      <x:c r="F430" s="35"/>
      <x:c r="G430" s="35"/>
      <x:c r="H430" s="35"/>
    </x:row>
    <x:row r="431">
      <x:c r="A431" s="46"/>
      <x:c r="B431" s="39"/>
      <x:c r="C431" s="39" t="str">
        <x:f>IF(A431="","",SUM($B$6:B431))</x:f>
      </x:c>
      <x:c r="D431" s="35"/>
      <x:c r="E431" s="35"/>
      <x:c r="F431" s="35"/>
      <x:c r="G431" s="35"/>
      <x:c r="H431" s="35"/>
    </x:row>
    <x:row r="432">
      <x:c r="A432" s="46"/>
      <x:c r="B432" s="39"/>
      <x:c r="C432" s="39" t="str">
        <x:f>IF(A432="","",SUM($B$6:B432))</x:f>
      </x:c>
      <x:c r="D432" s="35"/>
      <x:c r="E432" s="35"/>
      <x:c r="F432" s="35"/>
      <x:c r="G432" s="35"/>
      <x:c r="H432" s="35"/>
    </x:row>
    <x:row r="433">
      <x:c r="A433" s="46"/>
      <x:c r="B433" s="39"/>
      <x:c r="C433" s="39" t="str">
        <x:f>IF(A433="","",SUM($B$6:B433))</x:f>
      </x:c>
      <x:c r="D433" s="35"/>
      <x:c r="E433" s="35"/>
      <x:c r="F433" s="35"/>
      <x:c r="G433" s="35"/>
      <x:c r="H433" s="35"/>
    </x:row>
    <x:row r="434">
      <x:c r="A434" s="46"/>
      <x:c r="B434" s="39"/>
      <x:c r="C434" s="39" t="str">
        <x:f>IF(A434="","",SUM($B$6:B434))</x:f>
      </x:c>
      <x:c r="D434" s="35"/>
      <x:c r="E434" s="35"/>
      <x:c r="F434" s="35"/>
      <x:c r="G434" s="35"/>
      <x:c r="H434" s="35"/>
    </x:row>
    <x:row r="435">
      <x:c r="A435" s="46"/>
      <x:c r="B435" s="39"/>
      <x:c r="C435" s="39" t="str">
        <x:f>IF(A435="","",SUM($B$6:B435))</x:f>
      </x:c>
      <x:c r="D435" s="35"/>
      <x:c r="E435" s="35"/>
      <x:c r="F435" s="35"/>
      <x:c r="G435" s="35"/>
      <x:c r="H435" s="35"/>
    </x:row>
    <x:row r="436">
      <x:c r="A436" s="46"/>
      <x:c r="B436" s="39"/>
      <x:c r="C436" s="39" t="str">
        <x:f>IF(A436="","",SUM($B$6:B436))</x:f>
      </x:c>
      <x:c r="D436" s="35"/>
      <x:c r="E436" s="35"/>
      <x:c r="F436" s="35"/>
      <x:c r="G436" s="35"/>
      <x:c r="H436" s="35"/>
    </x:row>
    <x:row r="437">
      <x:c r="A437" s="46"/>
      <x:c r="B437" s="39"/>
      <x:c r="C437" s="39" t="str">
        <x:f>IF(A437="","",SUM($B$6:B437))</x:f>
      </x:c>
      <x:c r="D437" s="35"/>
      <x:c r="E437" s="35"/>
      <x:c r="F437" s="35"/>
      <x:c r="G437" s="35"/>
      <x:c r="H437" s="35"/>
    </x:row>
    <x:row r="438">
      <x:c r="A438" s="46"/>
      <x:c r="B438" s="39"/>
      <x:c r="C438" s="39" t="str">
        <x:f>IF(A438="","",SUM($B$6:B438))</x:f>
      </x:c>
      <x:c r="D438" s="35"/>
      <x:c r="E438" s="35"/>
      <x:c r="F438" s="35"/>
      <x:c r="G438" s="35"/>
      <x:c r="H438" s="35"/>
    </x:row>
    <x:row r="439">
      <x:c r="A439" s="46"/>
      <x:c r="B439" s="39"/>
      <x:c r="C439" s="39" t="str">
        <x:f>IF(A439="","",SUM($B$6:B439))</x:f>
      </x:c>
      <x:c r="D439" s="35"/>
      <x:c r="E439" s="35"/>
      <x:c r="F439" s="35"/>
      <x:c r="G439" s="35"/>
      <x:c r="H439" s="35"/>
    </x:row>
    <x:row r="440">
      <x:c r="A440" s="46"/>
      <x:c r="B440" s="39"/>
      <x:c r="C440" s="39" t="str">
        <x:f>IF(A440="","",SUM($B$6:B440))</x:f>
      </x:c>
      <x:c r="D440" s="35"/>
      <x:c r="E440" s="35"/>
      <x:c r="F440" s="35"/>
      <x:c r="G440" s="35"/>
      <x:c r="H440" s="35"/>
    </x:row>
    <x:row r="441">
      <x:c r="A441" s="46"/>
      <x:c r="B441" s="39"/>
      <x:c r="C441" s="39" t="str">
        <x:f>IF(A441="","",SUM($B$6:B441))</x:f>
      </x:c>
      <x:c r="D441" s="35"/>
      <x:c r="E441" s="35"/>
      <x:c r="F441" s="35"/>
      <x:c r="G441" s="35"/>
      <x:c r="H441" s="35"/>
    </x:row>
    <x:row r="442">
      <x:c r="A442" s="46"/>
      <x:c r="B442" s="39"/>
      <x:c r="C442" s="39" t="str">
        <x:f>IF(A442="","",SUM($B$6:B442))</x:f>
      </x:c>
      <x:c r="D442" s="35"/>
      <x:c r="E442" s="35"/>
      <x:c r="F442" s="35"/>
      <x:c r="G442" s="35"/>
      <x:c r="H442" s="35"/>
    </x:row>
    <x:row r="443">
      <x:c r="A443" s="46"/>
      <x:c r="B443" s="39"/>
      <x:c r="C443" s="39" t="str">
        <x:f>IF(A443="","",SUM($B$6:B443))</x:f>
      </x:c>
      <x:c r="D443" s="35"/>
      <x:c r="E443" s="35"/>
      <x:c r="F443" s="35"/>
      <x:c r="G443" s="35"/>
      <x:c r="H443" s="35"/>
    </x:row>
    <x:row r="444">
      <x:c r="A444" s="46"/>
      <x:c r="B444" s="39"/>
      <x:c r="C444" s="39" t="str">
        <x:f>IF(A444="","",SUM($B$6:B444))</x:f>
      </x:c>
      <x:c r="D444" s="35"/>
      <x:c r="E444" s="35"/>
      <x:c r="F444" s="35"/>
      <x:c r="G444" s="35"/>
      <x:c r="H444" s="35"/>
    </x:row>
    <x:row r="445">
      <x:c r="A445" s="46"/>
      <x:c r="B445" s="39"/>
      <x:c r="C445" s="39" t="str">
        <x:f>IF(A445="","",SUM($B$6:B445))</x:f>
      </x:c>
      <x:c r="D445" s="35"/>
      <x:c r="E445" s="35"/>
      <x:c r="F445" s="35"/>
      <x:c r="G445" s="35"/>
      <x:c r="H445" s="35"/>
    </x:row>
    <x:row r="446">
      <x:c r="A446" s="46"/>
      <x:c r="B446" s="39"/>
      <x:c r="C446" s="39" t="str">
        <x:f>IF(A446="","",SUM($B$6:B446))</x:f>
      </x:c>
      <x:c r="D446" s="35"/>
      <x:c r="E446" s="35"/>
      <x:c r="F446" s="35"/>
      <x:c r="G446" s="35"/>
      <x:c r="H446" s="35"/>
    </x:row>
    <x:row r="447">
      <x:c r="A447" s="46"/>
      <x:c r="B447" s="39"/>
      <x:c r="C447" s="39" t="str">
        <x:f>IF(A447="","",SUM($B$6:B447))</x:f>
      </x:c>
      <x:c r="D447" s="35"/>
      <x:c r="E447" s="35"/>
      <x:c r="F447" s="35"/>
      <x:c r="G447" s="35"/>
      <x:c r="H447" s="35"/>
    </x:row>
    <x:row r="448">
      <x:c r="A448" s="46"/>
      <x:c r="B448" s="39"/>
      <x:c r="C448" s="39" t="str">
        <x:f>IF(A448="","",SUM($B$6:B448))</x:f>
      </x:c>
      <x:c r="D448" s="35"/>
      <x:c r="E448" s="35"/>
      <x:c r="F448" s="35"/>
      <x:c r="G448" s="35"/>
      <x:c r="H448" s="35"/>
    </x:row>
    <x:row r="449">
      <x:c r="A449" s="46"/>
      <x:c r="B449" s="39"/>
      <x:c r="C449" s="39" t="str">
        <x:f>IF(A449="","",SUM($B$6:B449))</x:f>
      </x:c>
      <x:c r="D449" s="35"/>
      <x:c r="E449" s="35"/>
      <x:c r="F449" s="35"/>
      <x:c r="G449" s="35"/>
      <x:c r="H449" s="35"/>
    </x:row>
    <x:row r="450">
      <x:c r="A450" s="46"/>
      <x:c r="B450" s="39"/>
      <x:c r="C450" s="39" t="str">
        <x:f>IF(A450="","",SUM($B$6:B450))</x:f>
      </x:c>
      <x:c r="D450" s="35"/>
      <x:c r="E450" s="35"/>
      <x:c r="F450" s="35"/>
      <x:c r="G450" s="35"/>
      <x:c r="H450" s="35"/>
    </x:row>
    <x:row r="451">
      <x:c r="A451" s="46"/>
      <x:c r="B451" s="39"/>
      <x:c r="C451" s="39" t="str">
        <x:f>IF(A451="","",SUM($B$6:B451))</x:f>
      </x:c>
      <x:c r="D451" s="35"/>
      <x:c r="E451" s="35"/>
      <x:c r="F451" s="35"/>
      <x:c r="G451" s="35"/>
      <x:c r="H451" s="35"/>
    </x:row>
    <x:row r="452">
      <x:c r="A452" s="46"/>
      <x:c r="B452" s="39"/>
      <x:c r="C452" s="39" t="str">
        <x:f>IF(A452="","",SUM($B$6:B452))</x:f>
      </x:c>
      <x:c r="D452" s="35"/>
      <x:c r="E452" s="35"/>
      <x:c r="F452" s="35"/>
      <x:c r="G452" s="35"/>
      <x:c r="H452" s="35"/>
    </x:row>
    <x:row r="453">
      <x:c r="A453" s="46"/>
      <x:c r="B453" s="39"/>
      <x:c r="C453" s="39" t="str">
        <x:f>IF(A453="","",SUM($B$6:B453))</x:f>
      </x:c>
      <x:c r="D453" s="35"/>
      <x:c r="E453" s="35"/>
      <x:c r="F453" s="35"/>
      <x:c r="G453" s="35"/>
      <x:c r="H453" s="35"/>
    </x:row>
    <x:row r="454">
      <x:c r="A454" s="46"/>
      <x:c r="B454" s="39"/>
      <x:c r="C454" s="39" t="str">
        <x:f>IF(A454="","",SUM($B$6:B454))</x:f>
      </x:c>
      <x:c r="D454" s="35"/>
      <x:c r="E454" s="35"/>
      <x:c r="F454" s="35"/>
      <x:c r="G454" s="35"/>
      <x:c r="H454" s="35"/>
    </x:row>
    <x:row r="455">
      <x:c r="A455" s="46"/>
      <x:c r="B455" s="39"/>
      <x:c r="C455" s="39" t="str">
        <x:f>IF(A455="","",SUM($B$6:B455))</x:f>
      </x:c>
      <x:c r="D455" s="35"/>
      <x:c r="E455" s="35"/>
      <x:c r="F455" s="35"/>
      <x:c r="G455" s="35"/>
      <x:c r="H455" s="35"/>
    </x:row>
    <x:row r="456">
      <x:c r="A456" s="46"/>
      <x:c r="B456" s="39"/>
      <x:c r="C456" s="39" t="str">
        <x:f>IF(A456="","",SUM($B$6:B456))</x:f>
      </x:c>
      <x:c r="D456" s="35"/>
      <x:c r="E456" s="35"/>
      <x:c r="F456" s="35"/>
      <x:c r="G456" s="35"/>
      <x:c r="H456" s="35"/>
    </x:row>
    <x:row r="457">
      <x:c r="A457" s="46"/>
      <x:c r="B457" s="39"/>
      <x:c r="C457" s="39" t="str">
        <x:f>IF(A457="","",SUM($B$6:B457))</x:f>
      </x:c>
      <x:c r="D457" s="35"/>
      <x:c r="E457" s="35"/>
      <x:c r="F457" s="35"/>
      <x:c r="G457" s="35"/>
      <x:c r="H457" s="35"/>
    </x:row>
    <x:row r="458">
      <x:c r="A458" s="46"/>
      <x:c r="B458" s="39"/>
      <x:c r="C458" s="39" t="str">
        <x:f>IF(A458="","",SUM($B$6:B458))</x:f>
      </x:c>
      <x:c r="D458" s="35"/>
      <x:c r="E458" s="35"/>
      <x:c r="F458" s="35"/>
      <x:c r="G458" s="35"/>
      <x:c r="H458" s="35"/>
    </x:row>
    <x:row r="459">
      <x:c r="A459" s="46"/>
      <x:c r="B459" s="39"/>
      <x:c r="C459" s="39" t="str">
        <x:f>IF(A459="","",SUM($B$6:B459))</x:f>
      </x:c>
      <x:c r="D459" s="35"/>
      <x:c r="E459" s="35"/>
      <x:c r="F459" s="35"/>
      <x:c r="G459" s="35"/>
      <x:c r="H459" s="35"/>
    </x:row>
    <x:row r="460">
      <x:c r="A460" s="46"/>
      <x:c r="B460" s="39"/>
      <x:c r="C460" s="39" t="str">
        <x:f>IF(A460="","",SUM($B$6:B460))</x:f>
      </x:c>
      <x:c r="D460" s="35"/>
      <x:c r="E460" s="35"/>
      <x:c r="F460" s="35"/>
      <x:c r="G460" s="35"/>
      <x:c r="H460" s="35"/>
    </x:row>
    <x:row r="461">
      <x:c r="A461" s="46"/>
      <x:c r="B461" s="39"/>
      <x:c r="C461" s="39" t="str">
        <x:f>IF(A461="","",SUM($B$6:B461))</x:f>
      </x:c>
      <x:c r="D461" s="35"/>
      <x:c r="E461" s="35"/>
      <x:c r="F461" s="35"/>
      <x:c r="G461" s="35"/>
      <x:c r="H461" s="35"/>
    </x:row>
    <x:row r="462">
      <x:c r="A462" s="46"/>
      <x:c r="B462" s="39"/>
      <x:c r="C462" s="39" t="str">
        <x:f>IF(A462="","",SUM($B$6:B462))</x:f>
      </x:c>
      <x:c r="D462" s="35"/>
      <x:c r="E462" s="35"/>
      <x:c r="F462" s="35"/>
      <x:c r="G462" s="35"/>
      <x:c r="H462" s="35"/>
    </x:row>
    <x:row r="463">
      <x:c r="A463" s="46"/>
      <x:c r="B463" s="39"/>
      <x:c r="C463" s="39" t="str">
        <x:f>IF(A463="","",SUM($B$6:B463))</x:f>
      </x:c>
      <x:c r="D463" s="35"/>
      <x:c r="E463" s="35"/>
      <x:c r="F463" s="35"/>
      <x:c r="G463" s="35"/>
      <x:c r="H463" s="35"/>
    </x:row>
    <x:row r="464">
      <x:c r="A464" s="46"/>
      <x:c r="B464" s="39"/>
      <x:c r="C464" s="39" t="str">
        <x:f>IF(A464="","",SUM($B$6:B464))</x:f>
      </x:c>
      <x:c r="D464" s="35"/>
      <x:c r="E464" s="35"/>
      <x:c r="F464" s="35"/>
      <x:c r="G464" s="35"/>
      <x:c r="H464" s="35"/>
    </x:row>
    <x:row r="465">
      <x:c r="A465" s="46"/>
      <x:c r="B465" s="39"/>
      <x:c r="C465" s="39" t="str">
        <x:f>IF(A465="","",SUM($B$6:B465))</x:f>
      </x:c>
      <x:c r="D465" s="35"/>
      <x:c r="E465" s="35"/>
      <x:c r="F465" s="35"/>
      <x:c r="G465" s="35"/>
      <x:c r="H465" s="35"/>
    </x:row>
    <x:row r="466">
      <x:c r="A466" s="46"/>
      <x:c r="B466" s="39"/>
      <x:c r="C466" s="39" t="str">
        <x:f>IF(A466="","",SUM($B$6:B466))</x:f>
      </x:c>
      <x:c r="D466" s="35"/>
      <x:c r="E466" s="35"/>
      <x:c r="F466" s="35"/>
      <x:c r="G466" s="35"/>
      <x:c r="H466" s="35"/>
    </x:row>
    <x:row r="467">
      <x:c r="A467" s="46"/>
      <x:c r="B467" s="39"/>
      <x:c r="C467" s="39" t="str">
        <x:f>IF(A467="","",SUM($B$6:B467))</x:f>
      </x:c>
      <x:c r="D467" s="35"/>
      <x:c r="E467" s="35"/>
      <x:c r="F467" s="35"/>
      <x:c r="G467" s="35"/>
      <x:c r="H467" s="35"/>
    </x:row>
    <x:row r="468">
      <x:c r="A468" s="46"/>
      <x:c r="B468" s="39"/>
      <x:c r="C468" s="39" t="str">
        <x:f>IF(A468="","",SUM($B$6:B468))</x:f>
      </x:c>
      <x:c r="D468" s="35"/>
      <x:c r="E468" s="35"/>
      <x:c r="F468" s="35"/>
      <x:c r="G468" s="35"/>
      <x:c r="H468" s="35"/>
    </x:row>
    <x:row r="469">
      <x:c r="A469" s="46"/>
      <x:c r="B469" s="39"/>
      <x:c r="C469" s="39" t="str">
        <x:f>IF(A469="","",SUM($B$6:B469))</x:f>
      </x:c>
      <x:c r="D469" s="35"/>
      <x:c r="E469" s="35"/>
      <x:c r="F469" s="35"/>
      <x:c r="G469" s="35"/>
      <x:c r="H469" s="35"/>
    </x:row>
    <x:row r="470">
      <x:c r="A470" s="46"/>
      <x:c r="B470" s="39"/>
      <x:c r="C470" s="39" t="str">
        <x:f>IF(A470="","",SUM($B$6:B470))</x:f>
      </x:c>
      <x:c r="D470" s="35"/>
      <x:c r="E470" s="35"/>
      <x:c r="F470" s="35"/>
      <x:c r="G470" s="35"/>
      <x:c r="H470" s="35"/>
    </x:row>
    <x:row r="471">
      <x:c r="A471" s="46"/>
      <x:c r="B471" s="39"/>
      <x:c r="C471" s="39" t="str">
        <x:f>IF(A471="","",SUM($B$6:B471))</x:f>
      </x:c>
      <x:c r="D471" s="35"/>
      <x:c r="E471" s="35"/>
      <x:c r="F471" s="35"/>
      <x:c r="G471" s="35"/>
      <x:c r="H471" s="35"/>
    </x:row>
    <x:row r="472">
      <x:c r="A472" s="46"/>
      <x:c r="B472" s="39"/>
      <x:c r="C472" s="39" t="str">
        <x:f>IF(A472="","",SUM($B$6:B472))</x:f>
      </x:c>
      <x:c r="D472" s="35"/>
      <x:c r="E472" s="35"/>
      <x:c r="F472" s="35"/>
      <x:c r="G472" s="35"/>
      <x:c r="H472" s="35"/>
    </x:row>
    <x:row r="473">
      <x:c r="A473" s="46"/>
      <x:c r="B473" s="39"/>
      <x:c r="C473" s="39" t="str">
        <x:f>IF(A473="","",SUM($B$6:B473))</x:f>
      </x:c>
      <x:c r="D473" s="35"/>
      <x:c r="E473" s="35"/>
      <x:c r="F473" s="35"/>
      <x:c r="G473" s="35"/>
      <x:c r="H473" s="35"/>
    </x:row>
    <x:row r="474">
      <x:c r="A474" s="46"/>
      <x:c r="B474" s="39"/>
      <x:c r="C474" s="39" t="str">
        <x:f>IF(A474="","",SUM($B$6:B474))</x:f>
      </x:c>
      <x:c r="D474" s="35"/>
      <x:c r="E474" s="35"/>
      <x:c r="F474" s="35"/>
      <x:c r="G474" s="35"/>
      <x:c r="H474" s="35"/>
    </x:row>
    <x:row r="475">
      <x:c r="A475" s="46"/>
      <x:c r="B475" s="39"/>
      <x:c r="C475" s="39" t="str">
        <x:f>IF(A475="","",SUM($B$6:B475))</x:f>
      </x:c>
      <x:c r="D475" s="35"/>
      <x:c r="E475" s="35"/>
      <x:c r="F475" s="35"/>
      <x:c r="G475" s="35"/>
      <x:c r="H475" s="35"/>
    </x:row>
    <x:row r="476">
      <x:c r="A476" s="46"/>
      <x:c r="B476" s="39"/>
      <x:c r="C476" s="39" t="str">
        <x:f>IF(A476="","",SUM($B$6:B476))</x:f>
      </x:c>
      <x:c r="D476" s="35"/>
      <x:c r="E476" s="35"/>
      <x:c r="F476" s="35"/>
      <x:c r="G476" s="35"/>
      <x:c r="H476" s="35"/>
    </x:row>
    <x:row r="477">
      <x:c r="A477" s="46"/>
      <x:c r="B477" s="39"/>
      <x:c r="C477" s="39" t="str">
        <x:f>IF(A477="","",SUM($B$6:B477))</x:f>
      </x:c>
      <x:c r="D477" s="35"/>
      <x:c r="E477" s="35"/>
      <x:c r="F477" s="35"/>
      <x:c r="G477" s="35"/>
      <x:c r="H477" s="35"/>
    </x:row>
    <x:row r="478">
      <x:c r="A478" s="46"/>
      <x:c r="B478" s="39"/>
      <x:c r="C478" s="39" t="str">
        <x:f>IF(A478="","",SUM($B$6:B478))</x:f>
      </x:c>
      <x:c r="D478" s="35"/>
      <x:c r="E478" s="35"/>
      <x:c r="F478" s="35"/>
      <x:c r="G478" s="35"/>
      <x:c r="H478" s="35"/>
    </x:row>
    <x:row r="479">
      <x:c r="A479" s="46"/>
      <x:c r="B479" s="39"/>
      <x:c r="C479" s="39" t="str">
        <x:f>IF(A479="","",SUM($B$6:B479))</x:f>
      </x:c>
      <x:c r="D479" s="35"/>
      <x:c r="E479" s="35"/>
      <x:c r="F479" s="35"/>
      <x:c r="G479" s="35"/>
      <x:c r="H479" s="35"/>
    </x:row>
    <x:row r="480">
      <x:c r="A480" s="46"/>
      <x:c r="B480" s="39"/>
      <x:c r="C480" s="39" t="str">
        <x:f>IF(A480="","",SUM($B$6:B480))</x:f>
      </x:c>
      <x:c r="D480" s="35"/>
      <x:c r="E480" s="35"/>
      <x:c r="F480" s="35"/>
      <x:c r="G480" s="35"/>
      <x:c r="H480" s="35"/>
    </x:row>
    <x:row r="481">
      <x:c r="A481" s="46"/>
      <x:c r="B481" s="39"/>
      <x:c r="C481" s="39" t="str">
        <x:f>IF(A481="","",SUM($B$6:B481))</x:f>
      </x:c>
      <x:c r="D481" s="35"/>
      <x:c r="E481" s="35"/>
      <x:c r="F481" s="35"/>
      <x:c r="G481" s="35"/>
      <x:c r="H481" s="35"/>
    </x:row>
    <x:row r="482">
      <x:c r="A482" s="46"/>
      <x:c r="B482" s="39"/>
      <x:c r="C482" s="39" t="str">
        <x:f>IF(A482="","",SUM($B$6:B482))</x:f>
      </x:c>
      <x:c r="D482" s="35"/>
      <x:c r="E482" s="35"/>
      <x:c r="F482" s="35"/>
      <x:c r="G482" s="35"/>
      <x:c r="H482" s="35"/>
    </x:row>
    <x:row r="483">
      <x:c r="A483" s="46"/>
      <x:c r="B483" s="39"/>
      <x:c r="C483" s="39" t="str">
        <x:f>IF(A483="","",SUM($B$6:B483))</x:f>
      </x:c>
      <x:c r="D483" s="35"/>
      <x:c r="E483" s="35"/>
      <x:c r="F483" s="35"/>
      <x:c r="G483" s="35"/>
      <x:c r="H483" s="35"/>
    </x:row>
    <x:row r="484">
      <x:c r="A484" s="46"/>
      <x:c r="B484" s="39"/>
      <x:c r="C484" s="39" t="str">
        <x:f>IF(A484="","",SUM($B$6:B484))</x:f>
      </x:c>
      <x:c r="D484" s="35"/>
      <x:c r="E484" s="35"/>
      <x:c r="F484" s="35"/>
      <x:c r="G484" s="35"/>
      <x:c r="H484" s="35"/>
    </x:row>
    <x:row r="485">
      <x:c r="A485" s="46"/>
      <x:c r="B485" s="39"/>
      <x:c r="C485" s="39" t="str">
        <x:f>IF(A485="","",SUM($B$6:B485))</x:f>
      </x:c>
      <x:c r="D485" s="35"/>
      <x:c r="E485" s="35"/>
      <x:c r="F485" s="35"/>
      <x:c r="G485" s="35"/>
      <x:c r="H485" s="35"/>
    </x:row>
    <x:row r="486">
      <x:c r="A486" s="46"/>
      <x:c r="B486" s="39"/>
      <x:c r="C486" s="39" t="str">
        <x:f>IF(A486="","",SUM($B$6:B486))</x:f>
      </x:c>
      <x:c r="D486" s="35"/>
      <x:c r="E486" s="35"/>
      <x:c r="F486" s="35"/>
      <x:c r="G486" s="35"/>
      <x:c r="H486" s="35"/>
    </x:row>
    <x:row r="487">
      <x:c r="A487" s="46"/>
      <x:c r="B487" s="39"/>
      <x:c r="C487" s="39" t="str">
        <x:f>IF(A487="","",SUM($B$6:B487))</x:f>
      </x:c>
      <x:c r="D487" s="35"/>
      <x:c r="E487" s="35"/>
      <x:c r="F487" s="35"/>
      <x:c r="G487" s="35"/>
      <x:c r="H487" s="35"/>
    </x:row>
    <x:row r="488">
      <x:c r="A488" s="46"/>
      <x:c r="B488" s="39"/>
      <x:c r="C488" s="39" t="str">
        <x:f>IF(A488="","",SUM($B$6:B488))</x:f>
      </x:c>
      <x:c r="D488" s="35"/>
      <x:c r="E488" s="35"/>
      <x:c r="F488" s="35"/>
      <x:c r="G488" s="35"/>
      <x:c r="H488" s="35"/>
    </x:row>
    <x:row r="489">
      <x:c r="A489" s="46"/>
      <x:c r="B489" s="39"/>
      <x:c r="C489" s="39" t="str">
        <x:f>IF(A489="","",SUM($B$6:B489))</x:f>
      </x:c>
      <x:c r="D489" s="35"/>
      <x:c r="E489" s="35"/>
      <x:c r="F489" s="35"/>
      <x:c r="G489" s="35"/>
      <x:c r="H489" s="35"/>
    </x:row>
    <x:row r="490">
      <x:c r="A490" s="46"/>
      <x:c r="B490" s="39"/>
      <x:c r="C490" s="39" t="str">
        <x:f>IF(A490="","",SUM($B$6:B490))</x:f>
      </x:c>
      <x:c r="D490" s="35"/>
      <x:c r="E490" s="35"/>
      <x:c r="F490" s="35"/>
      <x:c r="G490" s="35"/>
      <x:c r="H490" s="35"/>
    </x:row>
    <x:row r="491">
      <x:c r="A491" s="46"/>
      <x:c r="B491" s="39"/>
      <x:c r="C491" s="39" t="str">
        <x:f>IF(A491="","",SUM($B$6:B491))</x:f>
      </x:c>
      <x:c r="D491" s="35"/>
      <x:c r="E491" s="35"/>
      <x:c r="F491" s="35"/>
      <x:c r="G491" s="35"/>
      <x:c r="H491" s="35"/>
    </x:row>
    <x:row r="492">
      <x:c r="A492" s="46"/>
      <x:c r="B492" s="39"/>
      <x:c r="C492" s="39" t="str">
        <x:f>IF(A492="","",SUM($B$6:B492))</x:f>
      </x:c>
      <x:c r="D492" s="35"/>
      <x:c r="E492" s="35"/>
      <x:c r="F492" s="35"/>
      <x:c r="G492" s="35"/>
      <x:c r="H492" s="35"/>
    </x:row>
    <x:row r="493">
      <x:c r="A493" s="46"/>
      <x:c r="B493" s="39"/>
      <x:c r="C493" s="39" t="str">
        <x:f>IF(A493="","",SUM($B$6:B493))</x:f>
      </x:c>
      <x:c r="D493" s="35"/>
      <x:c r="E493" s="35"/>
      <x:c r="F493" s="35"/>
      <x:c r="G493" s="35"/>
      <x:c r="H493" s="35"/>
    </x:row>
    <x:row r="494">
      <x:c r="A494" s="46"/>
      <x:c r="B494" s="39"/>
      <x:c r="C494" s="39" t="str">
        <x:f>IF(A494="","",SUM($B$6:B494))</x:f>
      </x:c>
      <x:c r="D494" s="35"/>
      <x:c r="E494" s="35"/>
      <x:c r="F494" s="35"/>
      <x:c r="G494" s="35"/>
      <x:c r="H494" s="35"/>
    </x:row>
    <x:row r="495">
      <x:c r="A495" s="46"/>
      <x:c r="B495" s="39"/>
      <x:c r="C495" s="39" t="str">
        <x:f>IF(A495="","",SUM($B$6:B495))</x:f>
      </x:c>
      <x:c r="D495" s="35"/>
      <x:c r="E495" s="35"/>
      <x:c r="F495" s="35"/>
      <x:c r="G495" s="35"/>
      <x:c r="H495" s="35"/>
    </x:row>
    <x:row r="496">
      <x:c r="A496" s="46"/>
      <x:c r="B496" s="39"/>
      <x:c r="C496" s="39" t="str">
        <x:f>IF(A496="","",SUM($B$6:B496))</x:f>
      </x:c>
      <x:c r="D496" s="35"/>
      <x:c r="E496" s="35"/>
      <x:c r="F496" s="35"/>
      <x:c r="G496" s="35"/>
      <x:c r="H496" s="35"/>
    </x:row>
    <x:row r="497">
      <x:c r="A497" s="46"/>
      <x:c r="B497" s="39"/>
      <x:c r="C497" s="39" t="str">
        <x:f>IF(A497="","",SUM($B$6:B497))</x:f>
      </x:c>
      <x:c r="D497" s="35"/>
      <x:c r="E497" s="35"/>
      <x:c r="F497" s="35"/>
      <x:c r="G497" s="35"/>
      <x:c r="H497" s="35"/>
    </x:row>
    <x:row r="498">
      <x:c r="A498" s="46"/>
      <x:c r="B498" s="39"/>
      <x:c r="C498" s="39" t="str">
        <x:f>IF(A498="","",SUM($B$6:B498))</x:f>
      </x:c>
      <x:c r="D498" s="35"/>
      <x:c r="E498" s="35"/>
      <x:c r="F498" s="35"/>
      <x:c r="G498" s="35"/>
      <x:c r="H498" s="35"/>
    </x:row>
    <x:row r="499">
      <x:c r="A499" s="46"/>
      <x:c r="B499" s="39"/>
      <x:c r="C499" s="39" t="str">
        <x:f>IF(A499="","",SUM($B$6:B499))</x:f>
      </x:c>
      <x:c r="D499" s="35"/>
      <x:c r="E499" s="35"/>
      <x:c r="F499" s="35"/>
      <x:c r="G499" s="35"/>
      <x:c r="H499" s="35"/>
    </x:row>
    <x:row r="500">
      <x:c r="A500" s="46"/>
      <x:c r="B500" s="39"/>
      <x:c r="C500" s="39" t="str">
        <x:f>IF(A500="","",SUM($B$6:B500))</x:f>
      </x:c>
      <x:c r="D500" s="35"/>
      <x:c r="E500" s="35"/>
      <x:c r="F500" s="35"/>
      <x:c r="G500" s="35"/>
      <x:c r="H500" s="35"/>
    </x:row>
    <x:row r="501">
      <x:c r="A501" s="46"/>
      <x:c r="B501" s="39"/>
      <x:c r="C501" s="39" t="str">
        <x:f>IF(A501="","",SUM($B$6:B501))</x:f>
      </x:c>
      <x:c r="D501" s="35"/>
      <x:c r="E501" s="35"/>
      <x:c r="F501" s="35"/>
      <x:c r="G501" s="35"/>
      <x:c r="H501" s="35"/>
    </x:row>
    <x:row r="502">
      <x:c r="A502" s="46"/>
      <x:c r="B502" s="39"/>
      <x:c r="C502" s="39" t="str">
        <x:f>IF(A502="","",SUM($B$6:B502))</x:f>
      </x:c>
      <x:c r="D502" s="35"/>
      <x:c r="E502" s="35"/>
      <x:c r="F502" s="35"/>
      <x:c r="G502" s="35"/>
      <x:c r="H502" s="35"/>
    </x:row>
    <x:row r="503">
      <x:c r="A503" s="46"/>
      <x:c r="B503" s="39"/>
      <x:c r="C503" s="39" t="str">
        <x:f>IF(A503="","",SUM($B$6:B503))</x:f>
      </x:c>
      <x:c r="D503" s="35"/>
      <x:c r="E503" s="35"/>
      <x:c r="F503" s="35"/>
      <x:c r="G503" s="35"/>
      <x:c r="H503" s="35"/>
    </x:row>
    <x:row r="504">
      <x:c r="A504" s="46"/>
      <x:c r="B504" s="39"/>
      <x:c r="C504" s="39" t="str">
        <x:f>IF(A504="","",SUM($B$6:B504))</x:f>
      </x:c>
      <x:c r="D504" s="35"/>
      <x:c r="E504" s="35"/>
      <x:c r="F504" s="35"/>
      <x:c r="G504" s="35"/>
      <x:c r="H504" s="35"/>
    </x:row>
    <x:row r="505">
      <x:c r="A505" s="46"/>
      <x:c r="B505" s="39"/>
      <x:c r="C505" s="39" t="str">
        <x:f>IF(A505="","",SUM($B$6:B505))</x:f>
      </x:c>
      <x:c r="D505" s="35"/>
      <x:c r="E505" s="35"/>
      <x:c r="F505" s="35"/>
      <x:c r="G505" s="35"/>
      <x:c r="H505" s="35"/>
    </x:row>
  </x:sheetData>
  <x:mergeCells>
    <x:mergeCell ref="A1:H1"/>
    <x:mergeCell ref="A2:H2"/>
  </x:mergeCells>
  <x:conditionalFormatting sqref="H7:H9">
    <x:cfRule type="dataBar" priority="1">
      <x:dataBar>
        <x:cfvo type="min"/>
        <x:cfvo type="max"/>
        <x:color rgb="FF16A34A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4a1607b622a4b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4.380000114440918" hidden="0" customWidth="1"/>
    <x:col min="3" max="3" width="15" hidden="0" customWidth="1"/>
    <x:col min="4" max="4" width="15.630000114440918" hidden="0" customWidth="1"/>
    <x:col min="5" max="5" width="14.380000114440918" hidden="0" customWidth="1"/>
    <x:col min="6" max="6" width="14.380000114440918" hidden="0" customWidth="1"/>
    <x:col min="7" max="7" width="13.75" hidden="0" customWidth="1"/>
    <x:col min="8" max="8" width="14.380000114440918" hidden="0" customWidth="1"/>
    <x:col min="9" max="9" width="18.75" hidden="0" customWidth="1"/>
  </x:cols>
  <x:sheetData>
    <x:row r="1" ht="28.5" customHeight="1">
      <x:c r="A1" s="34" t="str">
        <x:v>Metas Financieras</x:v>
      </x:c>
      <x:c r="B1" s="34" t="str">
        <x:v>Metas Financieras</x:v>
      </x:c>
      <x:c r="C1" s="34" t="str">
        <x:v>Metas Financieras</x:v>
      </x:c>
      <x:c r="D1" s="34" t="str">
        <x:v>Metas Financieras</x:v>
      </x:c>
      <x:c r="E1" s="34" t="str">
        <x:v>Metas Financieras</x:v>
      </x:c>
      <x:c r="F1" s="34" t="str">
        <x:v>Metas Financieras</x:v>
      </x:c>
      <x:c r="G1" s="34" t="str">
        <x:v>Metas Financieras</x:v>
      </x:c>
      <x:c r="H1" s="34" t="str">
        <x:v>Metas Financieras</x:v>
      </x:c>
      <x:c r="I1" s="34" t="str">
        <x:v>Metas Financieras</x:v>
      </x:c>
    </x:row>
    <x:row r="2" ht="19.5" customHeight="1">
      <x:c r="A2" s="36" t="str">
        <x:v>Objetivos familiares con avance, brecha y fecha estimada de cumplimiento.</x:v>
      </x:c>
      <x:c r="B2" s="36" t="str">
        <x:v>Objetivos familiares con avance, brecha y fecha estimada de cumplimiento.</x:v>
      </x:c>
      <x:c r="C2" s="36" t="str">
        <x:v>Objetivos familiares con avance, brecha y fecha estimada de cumplimiento.</x:v>
      </x:c>
      <x:c r="D2" s="36" t="str">
        <x:v>Objetivos familiares con avance, brecha y fecha estimada de cumplimiento.</x:v>
      </x:c>
      <x:c r="E2" s="36" t="str">
        <x:v>Objetivos familiares con avance, brecha y fecha estimada de cumplimiento.</x:v>
      </x:c>
      <x:c r="F2" s="36" t="str">
        <x:v>Objetivos familiares con avance, brecha y fecha estimada de cumplimiento.</x:v>
      </x:c>
      <x:c r="G2" s="36" t="str">
        <x:v>Objetivos familiares con avance, brecha y fecha estimada de cumplimiento.</x:v>
      </x:c>
      <x:c r="H2" s="36" t="str">
        <x:v>Objetivos familiares con avance, brecha y fecha estimada de cumplimiento.</x:v>
      </x:c>
      <x:c r="I2" s="36" t="str">
        <x:v>Objetivos familiares con avance, brecha y fecha estimada de cumplimiento.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</x:row>
    <x:row r="5">
      <x:c r="A5" s="37" t="str">
        <x:v>Nombre de la meta</x:v>
      </x:c>
      <x:c r="B5" s="37" t="str">
        <x:v>Categoría</x:v>
      </x:c>
      <x:c r="C5" s="37" t="str">
        <x:v>Monto objetivo</x:v>
      </x:c>
      <x:c r="D5" s="37" t="str">
        <x:v>Monto acumulado</x:v>
      </x:c>
      <x:c r="E5" s="37" t="str">
        <x:v>Diferencia</x:v>
      </x:c>
      <x:c r="F5" s="37" t="str">
        <x:v>Fecha objetivo</x:v>
      </x:c>
      <x:c r="G5" s="37" t="str">
        <x:v>% completado</x:v>
      </x:c>
      <x:c r="H5" s="37" t="str">
        <x:v>Aporte mensual</x:v>
      </x:c>
      <x:c r="I5" s="37" t="str">
        <x:v>Fecha estimada cumplimiento</x:v>
      </x:c>
    </x:row>
    <x:row r="6">
      <x:c r="A6" s="38" t="str">
        <x:v>Vacaciones familiares</x:v>
      </x:c>
      <x:c r="B6" s="38" t="str">
        <x:v>Viajes</x:v>
      </x:c>
      <x:c r="C6" s="39" t="n">
        <x:v>5000</x:v>
      </x:c>
      <x:c r="D6" s="39" t="n">
        <x:v>1200</x:v>
      </x:c>
      <x:c r="E6" s="39" t="n">
        <x:f>IF(C6="","",C6-D6)</x:f>
        <x:v>3800</x:v>
      </x:c>
      <x:c r="F6" s="46" t="n">
        <x:v>46569</x:v>
      </x:c>
      <x:c r="G6" s="40" t="n">
        <x:f>IFERROR(D6/C6,"")</x:f>
        <x:v>0.24</x:v>
      </x:c>
      <x:c r="H6" s="39" t="n">
        <x:v>350</x:v>
      </x:c>
      <x:c r="I6" s="46" t="n">
        <x:f>IF(OR(E6&lt;=0,H6&lt;=0),"",EDATE(TODAY(),ROUNDUP(E6/H6,0)))</x:f>
        <x:v>46513</x:v>
      </x:c>
    </x:row>
    <x:row r="7">
      <x:c r="A7" s="38" t="str">
        <x:v>Entrada vivienda</x:v>
      </x:c>
      <x:c r="B7" s="38" t="str">
        <x:v>Casa</x:v>
      </x:c>
      <x:c r="C7" s="39" t="n">
        <x:v>30000</x:v>
      </x:c>
      <x:c r="D7" s="39" t="n">
        <x:v>8200</x:v>
      </x:c>
      <x:c r="E7" s="39" t="n">
        <x:f>IF(C7="","",C7-D7)</x:f>
        <x:v>21800</x:v>
      </x:c>
      <x:c r="F7" s="46" t="n">
        <x:v>47119</x:v>
      </x:c>
      <x:c r="G7" s="40" t="n">
        <x:f>IFERROR(D7/C7,"")</x:f>
        <x:v>0.2733333333333333</x:v>
      </x:c>
      <x:c r="H7" s="39" t="n">
        <x:v>600</x:v>
      </x:c>
      <x:c r="I7" s="46" t="n">
        <x:f>IF(OR(E7&lt;=0,H7&lt;=0),"",EDATE(TODAY(),ROUNDUP(E7/H7,0)))</x:f>
        <x:v>47305</x:v>
      </x:c>
    </x:row>
    <x:row r="8">
      <x:c r="A8" s="38" t="str"/>
      <x:c r="B8" s="38" t="str"/>
      <x:c r="C8" s="39"/>
      <x:c r="D8" s="39"/>
      <x:c r="E8" s="39" t="str">
        <x:f>IF(C8="","",C8-D8)</x:f>
      </x:c>
      <x:c r="F8" s="46"/>
      <x:c r="G8" s="40" t="str">
        <x:f>IFERROR(D8/C8,"")</x:f>
      </x:c>
      <x:c r="H8" s="39"/>
      <x:c r="I8" s="46" t="str">
        <x:f>IF(OR(E8&lt;=0,H8&lt;=0),"",EDATE(TODAY(),ROUNDUP(E8/H8,0)))</x:f>
      </x:c>
    </x:row>
    <x:row r="9">
      <x:c r="A9" s="38" t="str"/>
      <x:c r="B9" s="38" t="str"/>
      <x:c r="C9" s="39"/>
      <x:c r="D9" s="39"/>
      <x:c r="E9" s="39" t="str">
        <x:f>IF(C9="","",C9-D9)</x:f>
      </x:c>
      <x:c r="F9" s="46"/>
      <x:c r="G9" s="40" t="str">
        <x:f>IFERROR(D9/C9,"")</x:f>
      </x:c>
      <x:c r="H9" s="39"/>
      <x:c r="I9" s="46" t="str">
        <x:f>IF(OR(E9&lt;=0,H9&lt;=0),"",EDATE(TODAY(),ROUNDUP(E9/H9,0)))</x:f>
      </x:c>
    </x:row>
    <x:row r="10">
      <x:c r="A10" s="38" t="str"/>
      <x:c r="B10" s="38" t="str"/>
      <x:c r="C10" s="39"/>
      <x:c r="D10" s="39"/>
      <x:c r="E10" s="39" t="str">
        <x:f>IF(C10="","",C10-D10)</x:f>
      </x:c>
      <x:c r="F10" s="46"/>
      <x:c r="G10" s="40" t="str">
        <x:f>IFERROR(D10/C10,"")</x:f>
      </x:c>
      <x:c r="H10" s="39"/>
      <x:c r="I10" s="46" t="str">
        <x:f>IF(OR(E10&lt;=0,H10&lt;=0),"",EDATE(TODAY(),ROUNDUP(E10/H10,0)))</x:f>
      </x:c>
    </x:row>
    <x:row r="11">
      <x:c r="A11" s="38" t="str"/>
      <x:c r="B11" s="38" t="str"/>
      <x:c r="C11" s="39"/>
      <x:c r="D11" s="39"/>
      <x:c r="E11" s="39" t="str">
        <x:f>IF(C11="","",C11-D11)</x:f>
      </x:c>
      <x:c r="F11" s="46"/>
      <x:c r="G11" s="40" t="str">
        <x:f>IFERROR(D11/C11,"")</x:f>
      </x:c>
      <x:c r="H11" s="39"/>
      <x:c r="I11" s="46" t="str">
        <x:f>IF(OR(E11&lt;=0,H11&lt;=0),"",EDATE(TODAY(),ROUNDUP(E11/H11,0)))</x:f>
      </x:c>
    </x:row>
    <x:row r="12">
      <x:c r="A12" s="38" t="str"/>
      <x:c r="B12" s="38" t="str"/>
      <x:c r="C12" s="39"/>
      <x:c r="D12" s="39"/>
      <x:c r="E12" s="39" t="str">
        <x:f>IF(C12="","",C12-D12)</x:f>
      </x:c>
      <x:c r="F12" s="46"/>
      <x:c r="G12" s="40" t="str">
        <x:f>IFERROR(D12/C12,"")</x:f>
      </x:c>
      <x:c r="H12" s="39"/>
      <x:c r="I12" s="46" t="str">
        <x:f>IF(OR(E12&lt;=0,H12&lt;=0),"",EDATE(TODAY(),ROUNDUP(E12/H12,0)))</x:f>
      </x:c>
    </x:row>
    <x:row r="13">
      <x:c r="A13" s="38" t="str"/>
      <x:c r="B13" s="38" t="str"/>
      <x:c r="C13" s="39"/>
      <x:c r="D13" s="39"/>
      <x:c r="E13" s="39" t="str">
        <x:f>IF(C13="","",C13-D13)</x:f>
      </x:c>
      <x:c r="F13" s="46"/>
      <x:c r="G13" s="40" t="str">
        <x:f>IFERROR(D13/C13,"")</x:f>
      </x:c>
      <x:c r="H13" s="39"/>
      <x:c r="I13" s="46" t="str">
        <x:f>IF(OR(E13&lt;=0,H13&lt;=0),"",EDATE(TODAY(),ROUNDUP(E13/H13,0)))</x:f>
      </x:c>
    </x:row>
    <x:row r="14">
      <x:c r="A14" s="38" t="str"/>
      <x:c r="B14" s="38" t="str"/>
      <x:c r="C14" s="39"/>
      <x:c r="D14" s="39"/>
      <x:c r="E14" s="39" t="str">
        <x:f>IF(C14="","",C14-D14)</x:f>
      </x:c>
      <x:c r="F14" s="46"/>
      <x:c r="G14" s="40" t="str">
        <x:f>IFERROR(D14/C14,"")</x:f>
      </x:c>
      <x:c r="H14" s="39"/>
      <x:c r="I14" s="46" t="str">
        <x:f>IF(OR(E14&lt;=0,H14&lt;=0),"",EDATE(TODAY(),ROUNDUP(E14/H14,0)))</x:f>
      </x:c>
    </x:row>
    <x:row r="15">
      <x:c r="A15" s="38" t="str"/>
      <x:c r="B15" s="38" t="str"/>
      <x:c r="C15" s="39"/>
      <x:c r="D15" s="39"/>
      <x:c r="E15" s="39" t="str">
        <x:f>IF(C15="","",C15-D15)</x:f>
      </x:c>
      <x:c r="F15" s="46"/>
      <x:c r="G15" s="40" t="str">
        <x:f>IFERROR(D15/C15,"")</x:f>
      </x:c>
      <x:c r="H15" s="39"/>
      <x:c r="I15" s="46" t="str">
        <x:f>IF(OR(E15&lt;=0,H15&lt;=0),"",EDATE(TODAY(),ROUNDUP(E15/H15,0)))</x:f>
      </x:c>
    </x:row>
    <x:row r="16">
      <x:c r="A16" s="38" t="str"/>
      <x:c r="B16" s="38" t="str"/>
      <x:c r="C16" s="39"/>
      <x:c r="D16" s="39"/>
      <x:c r="E16" s="39" t="str">
        <x:f>IF(C16="","",C16-D16)</x:f>
      </x:c>
      <x:c r="F16" s="46"/>
      <x:c r="G16" s="40" t="str">
        <x:f>IFERROR(D16/C16,"")</x:f>
      </x:c>
      <x:c r="H16" s="39"/>
      <x:c r="I16" s="46" t="str">
        <x:f>IF(OR(E16&lt;=0,H16&lt;=0),"",EDATE(TODAY(),ROUNDUP(E16/H16,0)))</x:f>
      </x:c>
    </x:row>
    <x:row r="17">
      <x:c r="A17" s="38" t="str"/>
      <x:c r="B17" s="38" t="str"/>
      <x:c r="C17" s="39"/>
      <x:c r="D17" s="39"/>
      <x:c r="E17" s="39" t="str">
        <x:f>IF(C17="","",C17-D17)</x:f>
      </x:c>
      <x:c r="F17" s="46"/>
      <x:c r="G17" s="40" t="str">
        <x:f>IFERROR(D17/C17,"")</x:f>
      </x:c>
      <x:c r="H17" s="39"/>
      <x:c r="I17" s="46" t="str">
        <x:f>IF(OR(E17&lt;=0,H17&lt;=0),"",EDATE(TODAY(),ROUNDUP(E17/H17,0)))</x:f>
      </x:c>
    </x:row>
    <x:row r="18">
      <x:c r="A18" s="38" t="str"/>
      <x:c r="B18" s="38" t="str"/>
      <x:c r="C18" s="39"/>
      <x:c r="D18" s="39"/>
      <x:c r="E18" s="39" t="str">
        <x:f>IF(C18="","",C18-D18)</x:f>
      </x:c>
      <x:c r="F18" s="46"/>
      <x:c r="G18" s="40" t="str">
        <x:f>IFERROR(D18/C18,"")</x:f>
      </x:c>
      <x:c r="H18" s="39"/>
      <x:c r="I18" s="46" t="str">
        <x:f>IF(OR(E18&lt;=0,H18&lt;=0),"",EDATE(TODAY(),ROUNDUP(E18/H18,0)))</x:f>
      </x:c>
    </x:row>
    <x:row r="19">
      <x:c r="A19" s="38" t="str"/>
      <x:c r="B19" s="38" t="str"/>
      <x:c r="C19" s="39"/>
      <x:c r="D19" s="39"/>
      <x:c r="E19" s="39" t="str">
        <x:f>IF(C19="","",C19-D19)</x:f>
      </x:c>
      <x:c r="F19" s="46"/>
      <x:c r="G19" s="40" t="str">
        <x:f>IFERROR(D19/C19,"")</x:f>
      </x:c>
      <x:c r="H19" s="39"/>
      <x:c r="I19" s="46" t="str">
        <x:f>IF(OR(E19&lt;=0,H19&lt;=0),"",EDATE(TODAY(),ROUNDUP(E19/H19,0)))</x:f>
      </x:c>
    </x:row>
    <x:row r="20">
      <x:c r="A20" s="38" t="str"/>
      <x:c r="B20" s="38" t="str"/>
      <x:c r="C20" s="39"/>
      <x:c r="D20" s="39"/>
      <x:c r="E20" s="39" t="str">
        <x:f>IF(C20="","",C20-D20)</x:f>
      </x:c>
      <x:c r="F20" s="46"/>
      <x:c r="G20" s="40" t="str">
        <x:f>IFERROR(D20/C20,"")</x:f>
      </x:c>
      <x:c r="H20" s="39"/>
      <x:c r="I20" s="46" t="str">
        <x:f>IF(OR(E20&lt;=0,H20&lt;=0),"",EDATE(TODAY(),ROUNDUP(E20/H20,0)))</x:f>
      </x:c>
    </x:row>
    <x:row r="21">
      <x:c r="A21" s="38" t="str"/>
      <x:c r="B21" s="38" t="str"/>
      <x:c r="C21" s="39"/>
      <x:c r="D21" s="39"/>
      <x:c r="E21" s="39" t="str">
        <x:f>IF(C21="","",C21-D21)</x:f>
      </x:c>
      <x:c r="F21" s="46"/>
      <x:c r="G21" s="40" t="str">
        <x:f>IFERROR(D21/C21,"")</x:f>
      </x:c>
      <x:c r="H21" s="39"/>
      <x:c r="I21" s="46" t="str">
        <x:f>IF(OR(E21&lt;=0,H21&lt;=0),"",EDATE(TODAY(),ROUNDUP(E21/H21,0)))</x:f>
      </x:c>
    </x:row>
    <x:row r="22">
      <x:c r="A22" s="38" t="str"/>
      <x:c r="B22" s="38" t="str"/>
      <x:c r="C22" s="39"/>
      <x:c r="D22" s="39"/>
      <x:c r="E22" s="39" t="str">
        <x:f>IF(C22="","",C22-D22)</x:f>
      </x:c>
      <x:c r="F22" s="46"/>
      <x:c r="G22" s="40" t="str">
        <x:f>IFERROR(D22/C22,"")</x:f>
      </x:c>
      <x:c r="H22" s="39"/>
      <x:c r="I22" s="46" t="str">
        <x:f>IF(OR(E22&lt;=0,H22&lt;=0),"",EDATE(TODAY(),ROUNDUP(E22/H22,0)))</x:f>
      </x:c>
    </x:row>
    <x:row r="23">
      <x:c r="A23" s="38" t="str"/>
      <x:c r="B23" s="38" t="str"/>
      <x:c r="C23" s="39"/>
      <x:c r="D23" s="39"/>
      <x:c r="E23" s="39" t="str">
        <x:f>IF(C23="","",C23-D23)</x:f>
      </x:c>
      <x:c r="F23" s="46"/>
      <x:c r="G23" s="40" t="str">
        <x:f>IFERROR(D23/C23,"")</x:f>
      </x:c>
      <x:c r="H23" s="39"/>
      <x:c r="I23" s="46" t="str">
        <x:f>IF(OR(E23&lt;=0,H23&lt;=0),"",EDATE(TODAY(),ROUNDUP(E23/H23,0)))</x:f>
      </x:c>
    </x:row>
    <x:row r="24">
      <x:c r="A24" s="38" t="str"/>
      <x:c r="B24" s="38" t="str"/>
      <x:c r="C24" s="39"/>
      <x:c r="D24" s="39"/>
      <x:c r="E24" s="39" t="str">
        <x:f>IF(C24="","",C24-D24)</x:f>
      </x:c>
      <x:c r="F24" s="46"/>
      <x:c r="G24" s="40" t="str">
        <x:f>IFERROR(D24/C24,"")</x:f>
      </x:c>
      <x:c r="H24" s="39"/>
      <x:c r="I24" s="46" t="str">
        <x:f>IF(OR(E24&lt;=0,H24&lt;=0),"",EDATE(TODAY(),ROUNDUP(E24/H24,0)))</x:f>
      </x:c>
    </x:row>
    <x:row r="25">
      <x:c r="A25" s="38" t="str"/>
      <x:c r="B25" s="38" t="str"/>
      <x:c r="C25" s="39"/>
      <x:c r="D25" s="39"/>
      <x:c r="E25" s="39" t="str">
        <x:f>IF(C25="","",C25-D25)</x:f>
      </x:c>
      <x:c r="F25" s="46"/>
      <x:c r="G25" s="40" t="str">
        <x:f>IFERROR(D25/C25,"")</x:f>
      </x:c>
      <x:c r="H25" s="39"/>
      <x:c r="I25" s="46" t="str">
        <x:f>IF(OR(E25&lt;=0,H25&lt;=0),"",EDATE(TODAY(),ROUNDUP(E25/H25,0)))</x:f>
      </x:c>
    </x:row>
    <x:row r="26">
      <x:c r="A26" s="38" t="str"/>
      <x:c r="B26" s="38" t="str"/>
      <x:c r="C26" s="39"/>
      <x:c r="D26" s="39"/>
      <x:c r="E26" s="39" t="str">
        <x:f>IF(C26="","",C26-D26)</x:f>
      </x:c>
      <x:c r="F26" s="46"/>
      <x:c r="G26" s="40" t="str">
        <x:f>IFERROR(D26/C26,"")</x:f>
      </x:c>
      <x:c r="H26" s="39"/>
      <x:c r="I26" s="46" t="str">
        <x:f>IF(OR(E26&lt;=0,H26&lt;=0),"",EDATE(TODAY(),ROUNDUP(E26/H26,0)))</x:f>
      </x:c>
    </x:row>
    <x:row r="27">
      <x:c r="A27" s="38" t="str"/>
      <x:c r="B27" s="38" t="str"/>
      <x:c r="C27" s="39"/>
      <x:c r="D27" s="39"/>
      <x:c r="E27" s="39" t="str">
        <x:f>IF(C27="","",C27-D27)</x:f>
      </x:c>
      <x:c r="F27" s="46"/>
      <x:c r="G27" s="40" t="str">
        <x:f>IFERROR(D27/C27,"")</x:f>
      </x:c>
      <x:c r="H27" s="39"/>
      <x:c r="I27" s="46" t="str">
        <x:f>IF(OR(E27&lt;=0,H27&lt;=0),"",EDATE(TODAY(),ROUNDUP(E27/H27,0)))</x:f>
      </x:c>
    </x:row>
    <x:row r="28">
      <x:c r="A28" s="38" t="str"/>
      <x:c r="B28" s="38" t="str"/>
      <x:c r="C28" s="39"/>
      <x:c r="D28" s="39"/>
      <x:c r="E28" s="39" t="str">
        <x:f>IF(C28="","",C28-D28)</x:f>
      </x:c>
      <x:c r="F28" s="46"/>
      <x:c r="G28" s="40" t="str">
        <x:f>IFERROR(D28/C28,"")</x:f>
      </x:c>
      <x:c r="H28" s="39"/>
      <x:c r="I28" s="46" t="str">
        <x:f>IF(OR(E28&lt;=0,H28&lt;=0),"",EDATE(TODAY(),ROUNDUP(E28/H28,0)))</x:f>
      </x:c>
    </x:row>
    <x:row r="29">
      <x:c r="A29" s="38" t="str"/>
      <x:c r="B29" s="38" t="str"/>
      <x:c r="C29" s="39"/>
      <x:c r="D29" s="39"/>
      <x:c r="E29" s="39" t="str">
        <x:f>IF(C29="","",C29-D29)</x:f>
      </x:c>
      <x:c r="F29" s="46"/>
      <x:c r="G29" s="40" t="str">
        <x:f>IFERROR(D29/C29,"")</x:f>
      </x:c>
      <x:c r="H29" s="39"/>
      <x:c r="I29" s="46" t="str">
        <x:f>IF(OR(E29&lt;=0,H29&lt;=0),"",EDATE(TODAY(),ROUNDUP(E29/H29,0)))</x:f>
      </x:c>
    </x:row>
    <x:row r="30">
      <x:c r="A30" s="38" t="str"/>
      <x:c r="B30" s="38" t="str"/>
      <x:c r="C30" s="39"/>
      <x:c r="D30" s="39"/>
      <x:c r="E30" s="39" t="str">
        <x:f>IF(C30="","",C30-D30)</x:f>
      </x:c>
      <x:c r="F30" s="46"/>
      <x:c r="G30" s="40" t="str">
        <x:f>IFERROR(D30/C30,"")</x:f>
      </x:c>
      <x:c r="H30" s="39"/>
      <x:c r="I30" s="46" t="str">
        <x:f>IF(OR(E30&lt;=0,H30&lt;=0),"",EDATE(TODAY(),ROUNDUP(E30/H30,0)))</x:f>
      </x:c>
    </x:row>
    <x:row r="31">
      <x:c r="A31" s="38" t="str"/>
      <x:c r="B31" s="38" t="str"/>
      <x:c r="C31" s="39"/>
      <x:c r="D31" s="39"/>
      <x:c r="E31" s="39" t="str">
        <x:f>IF(C31="","",C31-D31)</x:f>
      </x:c>
      <x:c r="F31" s="46"/>
      <x:c r="G31" s="40" t="str">
        <x:f>IFERROR(D31/C31,"")</x:f>
      </x:c>
      <x:c r="H31" s="39"/>
      <x:c r="I31" s="46" t="str">
        <x:f>IF(OR(E31&lt;=0,H31&lt;=0),"",EDATE(TODAY(),ROUNDUP(E31/H31,0)))</x:f>
      </x:c>
    </x:row>
    <x:row r="32">
      <x:c r="A32" s="38" t="str"/>
      <x:c r="B32" s="38" t="str"/>
      <x:c r="C32" s="39"/>
      <x:c r="D32" s="39"/>
      <x:c r="E32" s="39" t="str">
        <x:f>IF(C32="","",C32-D32)</x:f>
      </x:c>
      <x:c r="F32" s="46"/>
      <x:c r="G32" s="40" t="str">
        <x:f>IFERROR(D32/C32,"")</x:f>
      </x:c>
      <x:c r="H32" s="39"/>
      <x:c r="I32" s="46" t="str">
        <x:f>IF(OR(E32&lt;=0,H32&lt;=0),"",EDATE(TODAY(),ROUNDUP(E32/H32,0)))</x:f>
      </x:c>
    </x:row>
    <x:row r="33">
      <x:c r="A33" s="38" t="str"/>
      <x:c r="B33" s="38" t="str"/>
      <x:c r="C33" s="39"/>
      <x:c r="D33" s="39"/>
      <x:c r="E33" s="39" t="str">
        <x:f>IF(C33="","",C33-D33)</x:f>
      </x:c>
      <x:c r="F33" s="46"/>
      <x:c r="G33" s="40" t="str">
        <x:f>IFERROR(D33/C33,"")</x:f>
      </x:c>
      <x:c r="H33" s="39"/>
      <x:c r="I33" s="46" t="str">
        <x:f>IF(OR(E33&lt;=0,H33&lt;=0),"",EDATE(TODAY(),ROUNDUP(E33/H33,0)))</x:f>
      </x:c>
    </x:row>
    <x:row r="34">
      <x:c r="A34" s="38" t="str"/>
      <x:c r="B34" s="38" t="str"/>
      <x:c r="C34" s="39"/>
      <x:c r="D34" s="39"/>
      <x:c r="E34" s="39" t="str">
        <x:f>IF(C34="","",C34-D34)</x:f>
      </x:c>
      <x:c r="F34" s="46"/>
      <x:c r="G34" s="40" t="str">
        <x:f>IFERROR(D34/C34,"")</x:f>
      </x:c>
      <x:c r="H34" s="39"/>
      <x:c r="I34" s="46" t="str">
        <x:f>IF(OR(E34&lt;=0,H34&lt;=0),"",EDATE(TODAY(),ROUNDUP(E34/H34,0)))</x:f>
      </x:c>
    </x:row>
    <x:row r="35">
      <x:c r="A35" s="38" t="str"/>
      <x:c r="B35" s="38" t="str"/>
      <x:c r="C35" s="39"/>
      <x:c r="D35" s="39"/>
      <x:c r="E35" s="39" t="str">
        <x:f>IF(C35="","",C35-D35)</x:f>
      </x:c>
      <x:c r="F35" s="46"/>
      <x:c r="G35" s="40" t="str">
        <x:f>IFERROR(D35/C35,"")</x:f>
      </x:c>
      <x:c r="H35" s="39"/>
      <x:c r="I35" s="46" t="str">
        <x:f>IF(OR(E35&lt;=0,H35&lt;=0),"",EDATE(TODAY(),ROUNDUP(E35/H35,0)))</x:f>
      </x:c>
    </x:row>
    <x:row r="36">
      <x:c r="A36" s="38" t="str"/>
      <x:c r="B36" s="38" t="str"/>
      <x:c r="C36" s="39"/>
      <x:c r="D36" s="39"/>
      <x:c r="E36" s="39" t="str">
        <x:f>IF(C36="","",C36-D36)</x:f>
      </x:c>
      <x:c r="F36" s="46"/>
      <x:c r="G36" s="40" t="str">
        <x:f>IFERROR(D36/C36,"")</x:f>
      </x:c>
      <x:c r="H36" s="39"/>
      <x:c r="I36" s="46" t="str">
        <x:f>IF(OR(E36&lt;=0,H36&lt;=0),"",EDATE(TODAY(),ROUNDUP(E36/H36,0)))</x:f>
      </x:c>
    </x:row>
    <x:row r="37">
      <x:c r="A37" s="38" t="str"/>
      <x:c r="B37" s="38" t="str"/>
      <x:c r="C37" s="39"/>
      <x:c r="D37" s="39"/>
      <x:c r="E37" s="39" t="str">
        <x:f>IF(C37="","",C37-D37)</x:f>
      </x:c>
      <x:c r="F37" s="46"/>
      <x:c r="G37" s="40" t="str">
        <x:f>IFERROR(D37/C37,"")</x:f>
      </x:c>
      <x:c r="H37" s="39"/>
      <x:c r="I37" s="46" t="str">
        <x:f>IF(OR(E37&lt;=0,H37&lt;=0),"",EDATE(TODAY(),ROUNDUP(E37/H37,0)))</x:f>
      </x:c>
    </x:row>
    <x:row r="38">
      <x:c r="A38" s="38" t="str"/>
      <x:c r="B38" s="38" t="str"/>
      <x:c r="C38" s="39"/>
      <x:c r="D38" s="39"/>
      <x:c r="E38" s="39" t="str">
        <x:f>IF(C38="","",C38-D38)</x:f>
      </x:c>
      <x:c r="F38" s="46"/>
      <x:c r="G38" s="40" t="str">
        <x:f>IFERROR(D38/C38,"")</x:f>
      </x:c>
      <x:c r="H38" s="39"/>
      <x:c r="I38" s="46" t="str">
        <x:f>IF(OR(E38&lt;=0,H38&lt;=0),"",EDATE(TODAY(),ROUNDUP(E38/H38,0)))</x:f>
      </x:c>
    </x:row>
    <x:row r="39">
      <x:c r="A39" s="38" t="str"/>
      <x:c r="B39" s="38" t="str"/>
      <x:c r="C39" s="39"/>
      <x:c r="D39" s="39"/>
      <x:c r="E39" s="39" t="str">
        <x:f>IF(C39="","",C39-D39)</x:f>
      </x:c>
      <x:c r="F39" s="46"/>
      <x:c r="G39" s="40" t="str">
        <x:f>IFERROR(D39/C39,"")</x:f>
      </x:c>
      <x:c r="H39" s="39"/>
      <x:c r="I39" s="46" t="str">
        <x:f>IF(OR(E39&lt;=0,H39&lt;=0),"",EDATE(TODAY(),ROUNDUP(E39/H39,0)))</x:f>
      </x:c>
    </x:row>
    <x:row r="40">
      <x:c r="A40" s="38" t="str"/>
      <x:c r="B40" s="38" t="str"/>
      <x:c r="C40" s="39"/>
      <x:c r="D40" s="39"/>
      <x:c r="E40" s="39" t="str">
        <x:f>IF(C40="","",C40-D40)</x:f>
      </x:c>
      <x:c r="F40" s="46"/>
      <x:c r="G40" s="40" t="str">
        <x:f>IFERROR(D40/C40,"")</x:f>
      </x:c>
      <x:c r="H40" s="39"/>
      <x:c r="I40" s="46" t="str">
        <x:f>IF(OR(E40&lt;=0,H40&lt;=0),"",EDATE(TODAY(),ROUNDUP(E40/H40,0)))</x:f>
      </x:c>
    </x:row>
    <x:row r="41">
      <x:c r="A41" s="38" t="str"/>
      <x:c r="B41" s="38" t="str"/>
      <x:c r="C41" s="39"/>
      <x:c r="D41" s="39"/>
      <x:c r="E41" s="39" t="str">
        <x:f>IF(C41="","",C41-D41)</x:f>
      </x:c>
      <x:c r="F41" s="46"/>
      <x:c r="G41" s="40" t="str">
        <x:f>IFERROR(D41/C41,"")</x:f>
      </x:c>
      <x:c r="H41" s="39"/>
      <x:c r="I41" s="46" t="str">
        <x:f>IF(OR(E41&lt;=0,H41&lt;=0),"",EDATE(TODAY(),ROUNDUP(E41/H41,0)))</x:f>
      </x:c>
    </x:row>
    <x:row r="42">
      <x:c r="A42" s="38" t="str"/>
      <x:c r="B42" s="38" t="str"/>
      <x:c r="C42" s="39"/>
      <x:c r="D42" s="39"/>
      <x:c r="E42" s="39" t="str">
        <x:f>IF(C42="","",C42-D42)</x:f>
      </x:c>
      <x:c r="F42" s="46"/>
      <x:c r="G42" s="40" t="str">
        <x:f>IFERROR(D42/C42,"")</x:f>
      </x:c>
      <x:c r="H42" s="39"/>
      <x:c r="I42" s="46" t="str">
        <x:f>IF(OR(E42&lt;=0,H42&lt;=0),"",EDATE(TODAY(),ROUNDUP(E42/H42,0)))</x:f>
      </x:c>
    </x:row>
    <x:row r="43">
      <x:c r="A43" s="38" t="str"/>
      <x:c r="B43" s="38" t="str"/>
      <x:c r="C43" s="39"/>
      <x:c r="D43" s="39"/>
      <x:c r="E43" s="39" t="str">
        <x:f>IF(C43="","",C43-D43)</x:f>
      </x:c>
      <x:c r="F43" s="46"/>
      <x:c r="G43" s="40" t="str">
        <x:f>IFERROR(D43/C43,"")</x:f>
      </x:c>
      <x:c r="H43" s="39"/>
      <x:c r="I43" s="46" t="str">
        <x:f>IF(OR(E43&lt;=0,H43&lt;=0),"",EDATE(TODAY(),ROUNDUP(E43/H43,0)))</x:f>
      </x:c>
    </x:row>
    <x:row r="44">
      <x:c r="A44" s="38" t="str"/>
      <x:c r="B44" s="38" t="str"/>
      <x:c r="C44" s="39"/>
      <x:c r="D44" s="39"/>
      <x:c r="E44" s="39" t="str">
        <x:f>IF(C44="","",C44-D44)</x:f>
      </x:c>
      <x:c r="F44" s="46"/>
      <x:c r="G44" s="40" t="str">
        <x:f>IFERROR(D44/C44,"")</x:f>
      </x:c>
      <x:c r="H44" s="39"/>
      <x:c r="I44" s="46" t="str">
        <x:f>IF(OR(E44&lt;=0,H44&lt;=0),"",EDATE(TODAY(),ROUNDUP(E44/H44,0)))</x:f>
      </x:c>
    </x:row>
    <x:row r="45">
      <x:c r="A45" s="38" t="str"/>
      <x:c r="B45" s="38" t="str"/>
      <x:c r="C45" s="39"/>
      <x:c r="D45" s="39"/>
      <x:c r="E45" s="39" t="str">
        <x:f>IF(C45="","",C45-D45)</x:f>
      </x:c>
      <x:c r="F45" s="46"/>
      <x:c r="G45" s="40" t="str">
        <x:f>IFERROR(D45/C45,"")</x:f>
      </x:c>
      <x:c r="H45" s="39"/>
      <x:c r="I45" s="46" t="str">
        <x:f>IF(OR(E45&lt;=0,H45&lt;=0),"",EDATE(TODAY(),ROUNDUP(E45/H45,0)))</x:f>
      </x:c>
    </x:row>
    <x:row r="46">
      <x:c r="A46" s="38" t="str"/>
      <x:c r="B46" s="38" t="str"/>
      <x:c r="C46" s="39"/>
      <x:c r="D46" s="39"/>
      <x:c r="E46" s="39" t="str">
        <x:f>IF(C46="","",C46-D46)</x:f>
      </x:c>
      <x:c r="F46" s="46"/>
      <x:c r="G46" s="40" t="str">
        <x:f>IFERROR(D46/C46,"")</x:f>
      </x:c>
      <x:c r="H46" s="39"/>
      <x:c r="I46" s="46" t="str">
        <x:f>IF(OR(E46&lt;=0,H46&lt;=0),"",EDATE(TODAY(),ROUNDUP(E46/H46,0)))</x:f>
      </x:c>
    </x:row>
    <x:row r="47">
      <x:c r="A47" s="38" t="str"/>
      <x:c r="B47" s="38" t="str"/>
      <x:c r="C47" s="39"/>
      <x:c r="D47" s="39"/>
      <x:c r="E47" s="39" t="str">
        <x:f>IF(C47="","",C47-D47)</x:f>
      </x:c>
      <x:c r="F47" s="46"/>
      <x:c r="G47" s="40" t="str">
        <x:f>IFERROR(D47/C47,"")</x:f>
      </x:c>
      <x:c r="H47" s="39"/>
      <x:c r="I47" s="46" t="str">
        <x:f>IF(OR(E47&lt;=0,H47&lt;=0),"",EDATE(TODAY(),ROUNDUP(E47/H47,0)))</x:f>
      </x:c>
    </x:row>
    <x:row r="48">
      <x:c r="A48" s="38" t="str"/>
      <x:c r="B48" s="38" t="str"/>
      <x:c r="C48" s="39"/>
      <x:c r="D48" s="39"/>
      <x:c r="E48" s="39" t="str">
        <x:f>IF(C48="","",C48-D48)</x:f>
      </x:c>
      <x:c r="F48" s="46"/>
      <x:c r="G48" s="40" t="str">
        <x:f>IFERROR(D48/C48,"")</x:f>
      </x:c>
      <x:c r="H48" s="39"/>
      <x:c r="I48" s="46" t="str">
        <x:f>IF(OR(E48&lt;=0,H48&lt;=0),"",EDATE(TODAY(),ROUNDUP(E48/H48,0)))</x:f>
      </x:c>
    </x:row>
    <x:row r="49">
      <x:c r="A49" s="38" t="str"/>
      <x:c r="B49" s="38" t="str"/>
      <x:c r="C49" s="39"/>
      <x:c r="D49" s="39"/>
      <x:c r="E49" s="39" t="str">
        <x:f>IF(C49="","",C49-D49)</x:f>
      </x:c>
      <x:c r="F49" s="46"/>
      <x:c r="G49" s="40" t="str">
        <x:f>IFERROR(D49/C49,"")</x:f>
      </x:c>
      <x:c r="H49" s="39"/>
      <x:c r="I49" s="46" t="str">
        <x:f>IF(OR(E49&lt;=0,H49&lt;=0),"",EDATE(TODAY(),ROUNDUP(E49/H49,0)))</x:f>
      </x:c>
    </x:row>
    <x:row r="50">
      <x:c r="A50" s="38" t="str"/>
      <x:c r="B50" s="38" t="str"/>
      <x:c r="C50" s="39"/>
      <x:c r="D50" s="39"/>
      <x:c r="E50" s="39" t="str">
        <x:f>IF(C50="","",C50-D50)</x:f>
      </x:c>
      <x:c r="F50" s="46"/>
      <x:c r="G50" s="40" t="str">
        <x:f>IFERROR(D50/C50,"")</x:f>
      </x:c>
      <x:c r="H50" s="39"/>
      <x:c r="I50" s="46" t="str">
        <x:f>IF(OR(E50&lt;=0,H50&lt;=0),"",EDATE(TODAY(),ROUNDUP(E50/H50,0)))</x:f>
      </x:c>
    </x:row>
    <x:row r="51">
      <x:c r="A51" s="38" t="str"/>
      <x:c r="B51" s="38" t="str"/>
      <x:c r="C51" s="39"/>
      <x:c r="D51" s="39"/>
      <x:c r="E51" s="39" t="str">
        <x:f>IF(C51="","",C51-D51)</x:f>
      </x:c>
      <x:c r="F51" s="46"/>
      <x:c r="G51" s="40" t="str">
        <x:f>IFERROR(D51/C51,"")</x:f>
      </x:c>
      <x:c r="H51" s="39"/>
      <x:c r="I51" s="46" t="str">
        <x:f>IF(OR(E51&lt;=0,H51&lt;=0),"",EDATE(TODAY(),ROUNDUP(E51/H51,0)))</x:f>
      </x:c>
    </x:row>
    <x:row r="52">
      <x:c r="A52" s="38" t="str"/>
      <x:c r="B52" s="38" t="str"/>
      <x:c r="C52" s="39"/>
      <x:c r="D52" s="39"/>
      <x:c r="E52" s="39" t="str">
        <x:f>IF(C52="","",C52-D52)</x:f>
      </x:c>
      <x:c r="F52" s="46"/>
      <x:c r="G52" s="40" t="str">
        <x:f>IFERROR(D52/C52,"")</x:f>
      </x:c>
      <x:c r="H52" s="39"/>
      <x:c r="I52" s="46" t="str">
        <x:f>IF(OR(E52&lt;=0,H52&lt;=0),"",EDATE(TODAY(),ROUNDUP(E52/H52,0)))</x:f>
      </x:c>
    </x:row>
    <x:row r="53">
      <x:c r="A53" s="38" t="str"/>
      <x:c r="B53" s="38" t="str"/>
      <x:c r="C53" s="39"/>
      <x:c r="D53" s="39"/>
      <x:c r="E53" s="39" t="str">
        <x:f>IF(C53="","",C53-D53)</x:f>
      </x:c>
      <x:c r="F53" s="46"/>
      <x:c r="G53" s="40" t="str">
        <x:f>IFERROR(D53/C53,"")</x:f>
      </x:c>
      <x:c r="H53" s="39"/>
      <x:c r="I53" s="46" t="str">
        <x:f>IF(OR(E53&lt;=0,H53&lt;=0),"",EDATE(TODAY(),ROUNDUP(E53/H53,0)))</x:f>
      </x:c>
    </x:row>
    <x:row r="54">
      <x:c r="A54" s="38" t="str"/>
      <x:c r="B54" s="38" t="str"/>
      <x:c r="C54" s="39"/>
      <x:c r="D54" s="39"/>
      <x:c r="E54" s="39" t="str">
        <x:f>IF(C54="","",C54-D54)</x:f>
      </x:c>
      <x:c r="F54" s="46"/>
      <x:c r="G54" s="40" t="str">
        <x:f>IFERROR(D54/C54,"")</x:f>
      </x:c>
      <x:c r="H54" s="39"/>
      <x:c r="I54" s="46" t="str">
        <x:f>IF(OR(E54&lt;=0,H54&lt;=0),"",EDATE(TODAY(),ROUNDUP(E54/H54,0)))</x:f>
      </x:c>
    </x:row>
    <x:row r="55">
      <x:c r="A55" s="38" t="str"/>
      <x:c r="B55" s="38" t="str"/>
      <x:c r="C55" s="39"/>
      <x:c r="D55" s="39"/>
      <x:c r="E55" s="39" t="str">
        <x:f>IF(C55="","",C55-D55)</x:f>
      </x:c>
      <x:c r="F55" s="46"/>
      <x:c r="G55" s="40" t="str">
        <x:f>IFERROR(D55/C55,"")</x:f>
      </x:c>
      <x:c r="H55" s="39"/>
      <x:c r="I55" s="46" t="str">
        <x:f>IF(OR(E55&lt;=0,H55&lt;=0),"",EDATE(TODAY(),ROUNDUP(E55/H55,0)))</x:f>
      </x:c>
    </x:row>
    <x:row r="56">
      <x:c r="A56" s="38" t="str"/>
      <x:c r="B56" s="38" t="str"/>
      <x:c r="C56" s="39"/>
      <x:c r="D56" s="39"/>
      <x:c r="E56" s="39" t="str">
        <x:f>IF(C56="","",C56-D56)</x:f>
      </x:c>
      <x:c r="F56" s="46"/>
      <x:c r="G56" s="40" t="str">
        <x:f>IFERROR(D56/C56,"")</x:f>
      </x:c>
      <x:c r="H56" s="39"/>
      <x:c r="I56" s="46" t="str">
        <x:f>IF(OR(E56&lt;=0,H56&lt;=0),"",EDATE(TODAY(),ROUNDUP(E56/H56,0)))</x:f>
      </x:c>
    </x:row>
    <x:row r="57">
      <x:c r="A57" s="38" t="str"/>
      <x:c r="B57" s="38" t="str"/>
      <x:c r="C57" s="39"/>
      <x:c r="D57" s="39"/>
      <x:c r="E57" s="39" t="str">
        <x:f>IF(C57="","",C57-D57)</x:f>
      </x:c>
      <x:c r="F57" s="46"/>
      <x:c r="G57" s="40" t="str">
        <x:f>IFERROR(D57/C57,"")</x:f>
      </x:c>
      <x:c r="H57" s="39"/>
      <x:c r="I57" s="46" t="str">
        <x:f>IF(OR(E57&lt;=0,H57&lt;=0),"",EDATE(TODAY(),ROUNDUP(E57/H57,0)))</x:f>
      </x:c>
    </x:row>
    <x:row r="58">
      <x:c r="A58" s="38" t="str"/>
      <x:c r="B58" s="38" t="str"/>
      <x:c r="C58" s="39"/>
      <x:c r="D58" s="39"/>
      <x:c r="E58" s="39" t="str">
        <x:f>IF(C58="","",C58-D58)</x:f>
      </x:c>
      <x:c r="F58" s="46"/>
      <x:c r="G58" s="40" t="str">
        <x:f>IFERROR(D58/C58,"")</x:f>
      </x:c>
      <x:c r="H58" s="39"/>
      <x:c r="I58" s="46" t="str">
        <x:f>IF(OR(E58&lt;=0,H58&lt;=0),"",EDATE(TODAY(),ROUNDUP(E58/H58,0)))</x:f>
      </x:c>
    </x:row>
    <x:row r="59">
      <x:c r="A59" s="38" t="str"/>
      <x:c r="B59" s="38" t="str"/>
      <x:c r="C59" s="39"/>
      <x:c r="D59" s="39"/>
      <x:c r="E59" s="39" t="str">
        <x:f>IF(C59="","",C59-D59)</x:f>
      </x:c>
      <x:c r="F59" s="46"/>
      <x:c r="G59" s="40" t="str">
        <x:f>IFERROR(D59/C59,"")</x:f>
      </x:c>
      <x:c r="H59" s="39"/>
      <x:c r="I59" s="46" t="str">
        <x:f>IF(OR(E59&lt;=0,H59&lt;=0),"",EDATE(TODAY(),ROUNDUP(E59/H59,0)))</x:f>
      </x:c>
    </x:row>
    <x:row r="60">
      <x:c r="A60" s="38" t="str"/>
      <x:c r="B60" s="38" t="str"/>
      <x:c r="C60" s="39"/>
      <x:c r="D60" s="39"/>
      <x:c r="E60" s="39" t="str">
        <x:f>IF(C60="","",C60-D60)</x:f>
      </x:c>
      <x:c r="F60" s="46"/>
      <x:c r="G60" s="40" t="str">
        <x:f>IFERROR(D60/C60,"")</x:f>
      </x:c>
      <x:c r="H60" s="39"/>
      <x:c r="I60" s="46" t="str">
        <x:f>IF(OR(E60&lt;=0,H60&lt;=0),"",EDATE(TODAY(),ROUNDUP(E60/H60,0)))</x:f>
      </x:c>
    </x:row>
    <x:row r="61">
      <x:c r="A61" s="38" t="str"/>
      <x:c r="B61" s="38" t="str"/>
      <x:c r="C61" s="39"/>
      <x:c r="D61" s="39"/>
      <x:c r="E61" s="39" t="str">
        <x:f>IF(C61="","",C61-D61)</x:f>
      </x:c>
      <x:c r="F61" s="46"/>
      <x:c r="G61" s="40" t="str">
        <x:f>IFERROR(D61/C61,"")</x:f>
      </x:c>
      <x:c r="H61" s="39"/>
      <x:c r="I61" s="46" t="str">
        <x:f>IF(OR(E61&lt;=0,H61&lt;=0),"",EDATE(TODAY(),ROUNDUP(E61/H61,0)))</x:f>
      </x:c>
    </x:row>
    <x:row r="62">
      <x:c r="A62" s="38" t="str"/>
      <x:c r="B62" s="38" t="str"/>
      <x:c r="C62" s="39"/>
      <x:c r="D62" s="39"/>
      <x:c r="E62" s="39" t="str">
        <x:f>IF(C62="","",C62-D62)</x:f>
      </x:c>
      <x:c r="F62" s="46"/>
      <x:c r="G62" s="40" t="str">
        <x:f>IFERROR(D62/C62,"")</x:f>
      </x:c>
      <x:c r="H62" s="39"/>
      <x:c r="I62" s="46" t="str">
        <x:f>IF(OR(E62&lt;=0,H62&lt;=0),"",EDATE(TODAY(),ROUNDUP(E62/H62,0)))</x:f>
      </x:c>
    </x:row>
    <x:row r="63">
      <x:c r="A63" s="38" t="str"/>
      <x:c r="B63" s="38" t="str"/>
      <x:c r="C63" s="39"/>
      <x:c r="D63" s="39"/>
      <x:c r="E63" s="39" t="str">
        <x:f>IF(C63="","",C63-D63)</x:f>
      </x:c>
      <x:c r="F63" s="46"/>
      <x:c r="G63" s="40" t="str">
        <x:f>IFERROR(D63/C63,"")</x:f>
      </x:c>
      <x:c r="H63" s="39"/>
      <x:c r="I63" s="46" t="str">
        <x:f>IF(OR(E63&lt;=0,H63&lt;=0),"",EDATE(TODAY(),ROUNDUP(E63/H63,0)))</x:f>
      </x:c>
    </x:row>
    <x:row r="64">
      <x:c r="A64" s="38" t="str"/>
      <x:c r="B64" s="38" t="str"/>
      <x:c r="C64" s="39"/>
      <x:c r="D64" s="39"/>
      <x:c r="E64" s="39" t="str">
        <x:f>IF(C64="","",C64-D64)</x:f>
      </x:c>
      <x:c r="F64" s="46"/>
      <x:c r="G64" s="40" t="str">
        <x:f>IFERROR(D64/C64,"")</x:f>
      </x:c>
      <x:c r="H64" s="39"/>
      <x:c r="I64" s="46" t="str">
        <x:f>IF(OR(E64&lt;=0,H64&lt;=0),"",EDATE(TODAY(),ROUNDUP(E64/H64,0)))</x:f>
      </x:c>
    </x:row>
    <x:row r="65">
      <x:c r="A65" s="38" t="str"/>
      <x:c r="B65" s="38" t="str"/>
      <x:c r="C65" s="39"/>
      <x:c r="D65" s="39"/>
      <x:c r="E65" s="39" t="str">
        <x:f>IF(C65="","",C65-D65)</x:f>
      </x:c>
      <x:c r="F65" s="46"/>
      <x:c r="G65" s="40" t="str">
        <x:f>IFERROR(D65/C65,"")</x:f>
      </x:c>
      <x:c r="H65" s="39"/>
      <x:c r="I65" s="46" t="str">
        <x:f>IF(OR(E65&lt;=0,H65&lt;=0),"",EDATE(TODAY(),ROUNDUP(E65/H65,0)))</x:f>
      </x:c>
    </x:row>
    <x:row r="66">
      <x:c r="A66" s="38" t="str"/>
      <x:c r="B66" s="38" t="str"/>
      <x:c r="C66" s="39"/>
      <x:c r="D66" s="39"/>
      <x:c r="E66" s="39" t="str">
        <x:f>IF(C66="","",C66-D66)</x:f>
      </x:c>
      <x:c r="F66" s="46"/>
      <x:c r="G66" s="40" t="str">
        <x:f>IFERROR(D66/C66,"")</x:f>
      </x:c>
      <x:c r="H66" s="39"/>
      <x:c r="I66" s="46" t="str">
        <x:f>IF(OR(E66&lt;=0,H66&lt;=0),"",EDATE(TODAY(),ROUNDUP(E66/H66,0)))</x:f>
      </x:c>
    </x:row>
    <x:row r="67">
      <x:c r="A67" s="38" t="str"/>
      <x:c r="B67" s="38" t="str"/>
      <x:c r="C67" s="39"/>
      <x:c r="D67" s="39"/>
      <x:c r="E67" s="39" t="str">
        <x:f>IF(C67="","",C67-D67)</x:f>
      </x:c>
      <x:c r="F67" s="46"/>
      <x:c r="G67" s="40" t="str">
        <x:f>IFERROR(D67/C67,"")</x:f>
      </x:c>
      <x:c r="H67" s="39"/>
      <x:c r="I67" s="46" t="str">
        <x:f>IF(OR(E67&lt;=0,H67&lt;=0),"",EDATE(TODAY(),ROUNDUP(E67/H67,0)))</x:f>
      </x:c>
    </x:row>
    <x:row r="68">
      <x:c r="A68" s="38" t="str"/>
      <x:c r="B68" s="38" t="str"/>
      <x:c r="C68" s="39"/>
      <x:c r="D68" s="39"/>
      <x:c r="E68" s="39" t="str">
        <x:f>IF(C68="","",C68-D68)</x:f>
      </x:c>
      <x:c r="F68" s="46"/>
      <x:c r="G68" s="40" t="str">
        <x:f>IFERROR(D68/C68,"")</x:f>
      </x:c>
      <x:c r="H68" s="39"/>
      <x:c r="I68" s="46" t="str">
        <x:f>IF(OR(E68&lt;=0,H68&lt;=0),"",EDATE(TODAY(),ROUNDUP(E68/H68,0)))</x:f>
      </x:c>
    </x:row>
    <x:row r="69">
      <x:c r="A69" s="38" t="str"/>
      <x:c r="B69" s="38" t="str"/>
      <x:c r="C69" s="39"/>
      <x:c r="D69" s="39"/>
      <x:c r="E69" s="39" t="str">
        <x:f>IF(C69="","",C69-D69)</x:f>
      </x:c>
      <x:c r="F69" s="46"/>
      <x:c r="G69" s="40" t="str">
        <x:f>IFERROR(D69/C69,"")</x:f>
      </x:c>
      <x:c r="H69" s="39"/>
      <x:c r="I69" s="46" t="str">
        <x:f>IF(OR(E69&lt;=0,H69&lt;=0),"",EDATE(TODAY(),ROUNDUP(E69/H69,0)))</x:f>
      </x:c>
    </x:row>
    <x:row r="70">
      <x:c r="A70" s="38" t="str"/>
      <x:c r="B70" s="38" t="str"/>
      <x:c r="C70" s="39"/>
      <x:c r="D70" s="39"/>
      <x:c r="E70" s="39" t="str">
        <x:f>IF(C70="","",C70-D70)</x:f>
      </x:c>
      <x:c r="F70" s="46"/>
      <x:c r="G70" s="40" t="str">
        <x:f>IFERROR(D70/C70,"")</x:f>
      </x:c>
      <x:c r="H70" s="39"/>
      <x:c r="I70" s="46" t="str">
        <x:f>IF(OR(E70&lt;=0,H70&lt;=0),"",EDATE(TODAY(),ROUNDUP(E70/H70,0)))</x:f>
      </x:c>
    </x:row>
    <x:row r="71">
      <x:c r="A71" s="38" t="str"/>
      <x:c r="B71" s="38" t="str"/>
      <x:c r="C71" s="39"/>
      <x:c r="D71" s="39"/>
      <x:c r="E71" s="39" t="str">
        <x:f>IF(C71="","",C71-D71)</x:f>
      </x:c>
      <x:c r="F71" s="46"/>
      <x:c r="G71" s="40" t="str">
        <x:f>IFERROR(D71/C71,"")</x:f>
      </x:c>
      <x:c r="H71" s="39"/>
      <x:c r="I71" s="46" t="str">
        <x:f>IF(OR(E71&lt;=0,H71&lt;=0),"",EDATE(TODAY(),ROUNDUP(E71/H71,0)))</x:f>
      </x:c>
    </x:row>
    <x:row r="72">
      <x:c r="A72" s="38" t="str"/>
      <x:c r="B72" s="38" t="str"/>
      <x:c r="C72" s="39"/>
      <x:c r="D72" s="39"/>
      <x:c r="E72" s="39" t="str">
        <x:f>IF(C72="","",C72-D72)</x:f>
      </x:c>
      <x:c r="F72" s="46"/>
      <x:c r="G72" s="40" t="str">
        <x:f>IFERROR(D72/C72,"")</x:f>
      </x:c>
      <x:c r="H72" s="39"/>
      <x:c r="I72" s="46" t="str">
        <x:f>IF(OR(E72&lt;=0,H72&lt;=0),"",EDATE(TODAY(),ROUNDUP(E72/H72,0)))</x:f>
      </x:c>
    </x:row>
    <x:row r="73">
      <x:c r="A73" s="38" t="str"/>
      <x:c r="B73" s="38" t="str"/>
      <x:c r="C73" s="39"/>
      <x:c r="D73" s="39"/>
      <x:c r="E73" s="39" t="str">
        <x:f>IF(C73="","",C73-D73)</x:f>
      </x:c>
      <x:c r="F73" s="46"/>
      <x:c r="G73" s="40" t="str">
        <x:f>IFERROR(D73/C73,"")</x:f>
      </x:c>
      <x:c r="H73" s="39"/>
      <x:c r="I73" s="46" t="str">
        <x:f>IF(OR(E73&lt;=0,H73&lt;=0),"",EDATE(TODAY(),ROUNDUP(E73/H73,0)))</x:f>
      </x:c>
    </x:row>
    <x:row r="74">
      <x:c r="A74" s="38" t="str"/>
      <x:c r="B74" s="38" t="str"/>
      <x:c r="C74" s="39"/>
      <x:c r="D74" s="39"/>
      <x:c r="E74" s="39" t="str">
        <x:f>IF(C74="","",C74-D74)</x:f>
      </x:c>
      <x:c r="F74" s="46"/>
      <x:c r="G74" s="40" t="str">
        <x:f>IFERROR(D74/C74,"")</x:f>
      </x:c>
      <x:c r="H74" s="39"/>
      <x:c r="I74" s="46" t="str">
        <x:f>IF(OR(E74&lt;=0,H74&lt;=0),"",EDATE(TODAY(),ROUNDUP(E74/H74,0)))</x:f>
      </x:c>
    </x:row>
    <x:row r="75">
      <x:c r="A75" s="38" t="str"/>
      <x:c r="B75" s="38" t="str"/>
      <x:c r="C75" s="39"/>
      <x:c r="D75" s="39"/>
      <x:c r="E75" s="39" t="str">
        <x:f>IF(C75="","",C75-D75)</x:f>
      </x:c>
      <x:c r="F75" s="46"/>
      <x:c r="G75" s="40" t="str">
        <x:f>IFERROR(D75/C75,"")</x:f>
      </x:c>
      <x:c r="H75" s="39"/>
      <x:c r="I75" s="46" t="str">
        <x:f>IF(OR(E75&lt;=0,H75&lt;=0),"",EDATE(TODAY(),ROUNDUP(E75/H75,0)))</x:f>
      </x:c>
    </x:row>
    <x:row r="76">
      <x:c r="A76" s="38" t="str"/>
      <x:c r="B76" s="38" t="str"/>
      <x:c r="C76" s="39"/>
      <x:c r="D76" s="39"/>
      <x:c r="E76" s="39" t="str">
        <x:f>IF(C76="","",C76-D76)</x:f>
      </x:c>
      <x:c r="F76" s="46"/>
      <x:c r="G76" s="40" t="str">
        <x:f>IFERROR(D76/C76,"")</x:f>
      </x:c>
      <x:c r="H76" s="39"/>
      <x:c r="I76" s="46" t="str">
        <x:f>IF(OR(E76&lt;=0,H76&lt;=0),"",EDATE(TODAY(),ROUNDUP(E76/H76,0)))</x:f>
      </x:c>
    </x:row>
    <x:row r="77">
      <x:c r="A77" s="38" t="str"/>
      <x:c r="B77" s="38" t="str"/>
      <x:c r="C77" s="39"/>
      <x:c r="D77" s="39"/>
      <x:c r="E77" s="39" t="str">
        <x:f>IF(C77="","",C77-D77)</x:f>
      </x:c>
      <x:c r="F77" s="46"/>
      <x:c r="G77" s="40" t="str">
        <x:f>IFERROR(D77/C77,"")</x:f>
      </x:c>
      <x:c r="H77" s="39"/>
      <x:c r="I77" s="46" t="str">
        <x:f>IF(OR(E77&lt;=0,H77&lt;=0),"",EDATE(TODAY(),ROUNDUP(E77/H77,0)))</x:f>
      </x:c>
    </x:row>
    <x:row r="78">
      <x:c r="A78" s="38" t="str"/>
      <x:c r="B78" s="38" t="str"/>
      <x:c r="C78" s="39"/>
      <x:c r="D78" s="39"/>
      <x:c r="E78" s="39" t="str">
        <x:f>IF(C78="","",C78-D78)</x:f>
      </x:c>
      <x:c r="F78" s="46"/>
      <x:c r="G78" s="40" t="str">
        <x:f>IFERROR(D78/C78,"")</x:f>
      </x:c>
      <x:c r="H78" s="39"/>
      <x:c r="I78" s="46" t="str">
        <x:f>IF(OR(E78&lt;=0,H78&lt;=0),"",EDATE(TODAY(),ROUNDUP(E78/H78,0)))</x:f>
      </x:c>
    </x:row>
    <x:row r="79">
      <x:c r="A79" s="38" t="str"/>
      <x:c r="B79" s="38" t="str"/>
      <x:c r="C79" s="39"/>
      <x:c r="D79" s="39"/>
      <x:c r="E79" s="39" t="str">
        <x:f>IF(C79="","",C79-D79)</x:f>
      </x:c>
      <x:c r="F79" s="46"/>
      <x:c r="G79" s="40" t="str">
        <x:f>IFERROR(D79/C79,"")</x:f>
      </x:c>
      <x:c r="H79" s="39"/>
      <x:c r="I79" s="46" t="str">
        <x:f>IF(OR(E79&lt;=0,H79&lt;=0),"",EDATE(TODAY(),ROUNDUP(E79/H79,0)))</x:f>
      </x:c>
    </x:row>
    <x:row r="80">
      <x:c r="A80" s="38" t="str"/>
      <x:c r="B80" s="38" t="str"/>
      <x:c r="C80" s="39"/>
      <x:c r="D80" s="39"/>
      <x:c r="E80" s="39" t="str">
        <x:f>IF(C80="","",C80-D80)</x:f>
      </x:c>
      <x:c r="F80" s="46"/>
      <x:c r="G80" s="40" t="str">
        <x:f>IFERROR(D80/C80,"")</x:f>
      </x:c>
      <x:c r="H80" s="39"/>
      <x:c r="I80" s="46" t="str">
        <x:f>IF(OR(E80&lt;=0,H80&lt;=0),"",EDATE(TODAY(),ROUNDUP(E80/H80,0)))</x:f>
      </x:c>
    </x:row>
    <x:row r="81">
      <x:c r="A81" s="38" t="str"/>
      <x:c r="B81" s="38" t="str"/>
      <x:c r="C81" s="39"/>
      <x:c r="D81" s="39"/>
      <x:c r="E81" s="39" t="str">
        <x:f>IF(C81="","",C81-D81)</x:f>
      </x:c>
      <x:c r="F81" s="46"/>
      <x:c r="G81" s="40" t="str">
        <x:f>IFERROR(D81/C81,"")</x:f>
      </x:c>
      <x:c r="H81" s="39"/>
      <x:c r="I81" s="46" t="str">
        <x:f>IF(OR(E81&lt;=0,H81&lt;=0),"",EDATE(TODAY(),ROUNDUP(E81/H81,0)))</x:f>
      </x:c>
    </x:row>
    <x:row r="82">
      <x:c r="A82" s="38" t="str"/>
      <x:c r="B82" s="38" t="str"/>
      <x:c r="C82" s="39"/>
      <x:c r="D82" s="39"/>
      <x:c r="E82" s="39" t="str">
        <x:f>IF(C82="","",C82-D82)</x:f>
      </x:c>
      <x:c r="F82" s="46"/>
      <x:c r="G82" s="40" t="str">
        <x:f>IFERROR(D82/C82,"")</x:f>
      </x:c>
      <x:c r="H82" s="39"/>
      <x:c r="I82" s="46" t="str">
        <x:f>IF(OR(E82&lt;=0,H82&lt;=0),"",EDATE(TODAY(),ROUNDUP(E82/H82,0)))</x:f>
      </x:c>
    </x:row>
    <x:row r="83">
      <x:c r="A83" s="38" t="str"/>
      <x:c r="B83" s="38" t="str"/>
      <x:c r="C83" s="39"/>
      <x:c r="D83" s="39"/>
      <x:c r="E83" s="39" t="str">
        <x:f>IF(C83="","",C83-D83)</x:f>
      </x:c>
      <x:c r="F83" s="46"/>
      <x:c r="G83" s="40" t="str">
        <x:f>IFERROR(D83/C83,"")</x:f>
      </x:c>
      <x:c r="H83" s="39"/>
      <x:c r="I83" s="46" t="str">
        <x:f>IF(OR(E83&lt;=0,H83&lt;=0),"",EDATE(TODAY(),ROUNDUP(E83/H83,0)))</x:f>
      </x:c>
    </x:row>
    <x:row r="84">
      <x:c r="A84" s="38" t="str"/>
      <x:c r="B84" s="38" t="str"/>
      <x:c r="C84" s="39"/>
      <x:c r="D84" s="39"/>
      <x:c r="E84" s="39" t="str">
        <x:f>IF(C84="","",C84-D84)</x:f>
      </x:c>
      <x:c r="F84" s="46"/>
      <x:c r="G84" s="40" t="str">
        <x:f>IFERROR(D84/C84,"")</x:f>
      </x:c>
      <x:c r="H84" s="39"/>
      <x:c r="I84" s="46" t="str">
        <x:f>IF(OR(E84&lt;=0,H84&lt;=0),"",EDATE(TODAY(),ROUNDUP(E84/H84,0)))</x:f>
      </x:c>
    </x:row>
    <x:row r="85">
      <x:c r="A85" s="38" t="str"/>
      <x:c r="B85" s="38" t="str"/>
      <x:c r="C85" s="39"/>
      <x:c r="D85" s="39"/>
      <x:c r="E85" s="39" t="str">
        <x:f>IF(C85="","",C85-D85)</x:f>
      </x:c>
      <x:c r="F85" s="46"/>
      <x:c r="G85" s="40" t="str">
        <x:f>IFERROR(D85/C85,"")</x:f>
      </x:c>
      <x:c r="H85" s="39"/>
      <x:c r="I85" s="46" t="str">
        <x:f>IF(OR(E85&lt;=0,H85&lt;=0),"",EDATE(TODAY(),ROUNDUP(E85/H85,0)))</x:f>
      </x:c>
    </x:row>
    <x:row r="86">
      <x:c r="A86" s="38" t="str"/>
      <x:c r="B86" s="38" t="str"/>
      <x:c r="C86" s="39"/>
      <x:c r="D86" s="39"/>
      <x:c r="E86" s="39" t="str">
        <x:f>IF(C86="","",C86-D86)</x:f>
      </x:c>
      <x:c r="F86" s="46"/>
      <x:c r="G86" s="40" t="str">
        <x:f>IFERROR(D86/C86,"")</x:f>
      </x:c>
      <x:c r="H86" s="39"/>
      <x:c r="I86" s="46" t="str">
        <x:f>IF(OR(E86&lt;=0,H86&lt;=0),"",EDATE(TODAY(),ROUNDUP(E86/H86,0)))</x:f>
      </x:c>
    </x:row>
    <x:row r="87">
      <x:c r="A87" s="38" t="str"/>
      <x:c r="B87" s="38" t="str"/>
      <x:c r="C87" s="39"/>
      <x:c r="D87" s="39"/>
      <x:c r="E87" s="39" t="str">
        <x:f>IF(C87="","",C87-D87)</x:f>
      </x:c>
      <x:c r="F87" s="46"/>
      <x:c r="G87" s="40" t="str">
        <x:f>IFERROR(D87/C87,"")</x:f>
      </x:c>
      <x:c r="H87" s="39"/>
      <x:c r="I87" s="46" t="str">
        <x:f>IF(OR(E87&lt;=0,H87&lt;=0),"",EDATE(TODAY(),ROUNDUP(E87/H87,0)))</x:f>
      </x:c>
    </x:row>
    <x:row r="88">
      <x:c r="A88" s="38" t="str"/>
      <x:c r="B88" s="38" t="str"/>
      <x:c r="C88" s="39"/>
      <x:c r="D88" s="39"/>
      <x:c r="E88" s="39" t="str">
        <x:f>IF(C88="","",C88-D88)</x:f>
      </x:c>
      <x:c r="F88" s="46"/>
      <x:c r="G88" s="40" t="str">
        <x:f>IFERROR(D88/C88,"")</x:f>
      </x:c>
      <x:c r="H88" s="39"/>
      <x:c r="I88" s="46" t="str">
        <x:f>IF(OR(E88&lt;=0,H88&lt;=0),"",EDATE(TODAY(),ROUNDUP(E88/H88,0)))</x:f>
      </x:c>
    </x:row>
    <x:row r="89">
      <x:c r="A89" s="38" t="str"/>
      <x:c r="B89" s="38" t="str"/>
      <x:c r="C89" s="39"/>
      <x:c r="D89" s="39"/>
      <x:c r="E89" s="39" t="str">
        <x:f>IF(C89="","",C89-D89)</x:f>
      </x:c>
      <x:c r="F89" s="46"/>
      <x:c r="G89" s="40" t="str">
        <x:f>IFERROR(D89/C89,"")</x:f>
      </x:c>
      <x:c r="H89" s="39"/>
      <x:c r="I89" s="46" t="str">
        <x:f>IF(OR(E89&lt;=0,H89&lt;=0),"",EDATE(TODAY(),ROUNDUP(E89/H89,0)))</x:f>
      </x:c>
    </x:row>
    <x:row r="90">
      <x:c r="A90" s="38" t="str"/>
      <x:c r="B90" s="38" t="str"/>
      <x:c r="C90" s="39"/>
      <x:c r="D90" s="39"/>
      <x:c r="E90" s="39" t="str">
        <x:f>IF(C90="","",C90-D90)</x:f>
      </x:c>
      <x:c r="F90" s="46"/>
      <x:c r="G90" s="40" t="str">
        <x:f>IFERROR(D90/C90,"")</x:f>
      </x:c>
      <x:c r="H90" s="39"/>
      <x:c r="I90" s="46" t="str">
        <x:f>IF(OR(E90&lt;=0,H90&lt;=0),"",EDATE(TODAY(),ROUNDUP(E90/H90,0)))</x:f>
      </x:c>
    </x:row>
    <x:row r="91">
      <x:c r="A91" s="38" t="str"/>
      <x:c r="B91" s="38" t="str"/>
      <x:c r="C91" s="39"/>
      <x:c r="D91" s="39"/>
      <x:c r="E91" s="39" t="str">
        <x:f>IF(C91="","",C91-D91)</x:f>
      </x:c>
      <x:c r="F91" s="46"/>
      <x:c r="G91" s="40" t="str">
        <x:f>IFERROR(D91/C91,"")</x:f>
      </x:c>
      <x:c r="H91" s="39"/>
      <x:c r="I91" s="46" t="str">
        <x:f>IF(OR(E91&lt;=0,H91&lt;=0),"",EDATE(TODAY(),ROUNDUP(E91/H91,0)))</x:f>
      </x:c>
    </x:row>
    <x:row r="92">
      <x:c r="A92" s="38" t="str"/>
      <x:c r="B92" s="38" t="str"/>
      <x:c r="C92" s="39"/>
      <x:c r="D92" s="39"/>
      <x:c r="E92" s="39" t="str">
        <x:f>IF(C92="","",C92-D92)</x:f>
      </x:c>
      <x:c r="F92" s="46"/>
      <x:c r="G92" s="40" t="str">
        <x:f>IFERROR(D92/C92,"")</x:f>
      </x:c>
      <x:c r="H92" s="39"/>
      <x:c r="I92" s="46" t="str">
        <x:f>IF(OR(E92&lt;=0,H92&lt;=0),"",EDATE(TODAY(),ROUNDUP(E92/H92,0)))</x:f>
      </x:c>
    </x:row>
    <x:row r="93">
      <x:c r="A93" s="38" t="str"/>
      <x:c r="B93" s="38" t="str"/>
      <x:c r="C93" s="39"/>
      <x:c r="D93" s="39"/>
      <x:c r="E93" s="39" t="str">
        <x:f>IF(C93="","",C93-D93)</x:f>
      </x:c>
      <x:c r="F93" s="46"/>
      <x:c r="G93" s="40" t="str">
        <x:f>IFERROR(D93/C93,"")</x:f>
      </x:c>
      <x:c r="H93" s="39"/>
      <x:c r="I93" s="46" t="str">
        <x:f>IF(OR(E93&lt;=0,H93&lt;=0),"",EDATE(TODAY(),ROUNDUP(E93/H93,0)))</x:f>
      </x:c>
    </x:row>
    <x:row r="94">
      <x:c r="A94" s="38" t="str"/>
      <x:c r="B94" s="38" t="str"/>
      <x:c r="C94" s="39"/>
      <x:c r="D94" s="39"/>
      <x:c r="E94" s="39" t="str">
        <x:f>IF(C94="","",C94-D94)</x:f>
      </x:c>
      <x:c r="F94" s="46"/>
      <x:c r="G94" s="40" t="str">
        <x:f>IFERROR(D94/C94,"")</x:f>
      </x:c>
      <x:c r="H94" s="39"/>
      <x:c r="I94" s="46" t="str">
        <x:f>IF(OR(E94&lt;=0,H94&lt;=0),"",EDATE(TODAY(),ROUNDUP(E94/H94,0)))</x:f>
      </x:c>
    </x:row>
    <x:row r="95">
      <x:c r="A95" s="38" t="str"/>
      <x:c r="B95" s="38" t="str"/>
      <x:c r="C95" s="39"/>
      <x:c r="D95" s="39"/>
      <x:c r="E95" s="39" t="str">
        <x:f>IF(C95="","",C95-D95)</x:f>
      </x:c>
      <x:c r="F95" s="46"/>
      <x:c r="G95" s="40" t="str">
        <x:f>IFERROR(D95/C95,"")</x:f>
      </x:c>
      <x:c r="H95" s="39"/>
      <x:c r="I95" s="46" t="str">
        <x:f>IF(OR(E95&lt;=0,H95&lt;=0),"",EDATE(TODAY(),ROUNDUP(E95/H95,0)))</x:f>
      </x:c>
    </x:row>
    <x:row r="96">
      <x:c r="A96" s="38" t="str"/>
      <x:c r="B96" s="38" t="str"/>
      <x:c r="C96" s="39"/>
      <x:c r="D96" s="39"/>
      <x:c r="E96" s="39" t="str">
        <x:f>IF(C96="","",C96-D96)</x:f>
      </x:c>
      <x:c r="F96" s="46"/>
      <x:c r="G96" s="40" t="str">
        <x:f>IFERROR(D96/C96,"")</x:f>
      </x:c>
      <x:c r="H96" s="39"/>
      <x:c r="I96" s="46" t="str">
        <x:f>IF(OR(E96&lt;=0,H96&lt;=0),"",EDATE(TODAY(),ROUNDUP(E96/H96,0)))</x:f>
      </x:c>
    </x:row>
    <x:row r="97">
      <x:c r="A97" s="38" t="str"/>
      <x:c r="B97" s="38" t="str"/>
      <x:c r="C97" s="39"/>
      <x:c r="D97" s="39"/>
      <x:c r="E97" s="39" t="str">
        <x:f>IF(C97="","",C97-D97)</x:f>
      </x:c>
      <x:c r="F97" s="46"/>
      <x:c r="G97" s="40" t="str">
        <x:f>IFERROR(D97/C97,"")</x:f>
      </x:c>
      <x:c r="H97" s="39"/>
      <x:c r="I97" s="46" t="str">
        <x:f>IF(OR(E97&lt;=0,H97&lt;=0),"",EDATE(TODAY(),ROUNDUP(E97/H97,0)))</x:f>
      </x:c>
    </x:row>
    <x:row r="98">
      <x:c r="A98" s="38" t="str"/>
      <x:c r="B98" s="38" t="str"/>
      <x:c r="C98" s="39"/>
      <x:c r="D98" s="39"/>
      <x:c r="E98" s="39" t="str">
        <x:f>IF(C98="","",C98-D98)</x:f>
      </x:c>
      <x:c r="F98" s="46"/>
      <x:c r="G98" s="40" t="str">
        <x:f>IFERROR(D98/C98,"")</x:f>
      </x:c>
      <x:c r="H98" s="39"/>
      <x:c r="I98" s="46" t="str">
        <x:f>IF(OR(E98&lt;=0,H98&lt;=0),"",EDATE(TODAY(),ROUNDUP(E98/H98,0)))</x:f>
      </x:c>
    </x:row>
    <x:row r="99">
      <x:c r="A99" s="38" t="str"/>
      <x:c r="B99" s="38" t="str"/>
      <x:c r="C99" s="39"/>
      <x:c r="D99" s="39"/>
      <x:c r="E99" s="39" t="str">
        <x:f>IF(C99="","",C99-D99)</x:f>
      </x:c>
      <x:c r="F99" s="46"/>
      <x:c r="G99" s="40" t="str">
        <x:f>IFERROR(D99/C99,"")</x:f>
      </x:c>
      <x:c r="H99" s="39"/>
      <x:c r="I99" s="46" t="str">
        <x:f>IF(OR(E99&lt;=0,H99&lt;=0),"",EDATE(TODAY(),ROUNDUP(E99/H99,0)))</x:f>
      </x:c>
    </x:row>
    <x:row r="100">
      <x:c r="A100" s="38" t="str"/>
      <x:c r="B100" s="38" t="str"/>
      <x:c r="C100" s="39"/>
      <x:c r="D100" s="39"/>
      <x:c r="E100" s="39" t="str">
        <x:f>IF(C100="","",C100-D100)</x:f>
      </x:c>
      <x:c r="F100" s="46"/>
      <x:c r="G100" s="40" t="str">
        <x:f>IFERROR(D100/C100,"")</x:f>
      </x:c>
      <x:c r="H100" s="39"/>
      <x:c r="I100" s="46" t="str">
        <x:f>IF(OR(E100&lt;=0,H100&lt;=0),"",EDATE(TODAY(),ROUNDUP(E100/H100,0)))</x:f>
      </x:c>
    </x:row>
    <x:row r="101">
      <x:c r="A101" s="38" t="str"/>
      <x:c r="B101" s="38" t="str"/>
      <x:c r="C101" s="39"/>
      <x:c r="D101" s="39"/>
      <x:c r="E101" s="39" t="str">
        <x:f>IF(C101="","",C101-D101)</x:f>
      </x:c>
      <x:c r="F101" s="46"/>
      <x:c r="G101" s="40" t="str">
        <x:f>IFERROR(D101/C101,"")</x:f>
      </x:c>
      <x:c r="H101" s="39"/>
      <x:c r="I101" s="46" t="str">
        <x:f>IF(OR(E101&lt;=0,H101&lt;=0),"",EDATE(TODAY(),ROUNDUP(E101/H101,0)))</x:f>
      </x:c>
    </x:row>
    <x:row r="102">
      <x:c r="A102" s="38" t="str"/>
      <x:c r="B102" s="38" t="str"/>
      <x:c r="C102" s="39"/>
      <x:c r="D102" s="39"/>
      <x:c r="E102" s="39" t="str">
        <x:f>IF(C102="","",C102-D102)</x:f>
      </x:c>
      <x:c r="F102" s="46"/>
      <x:c r="G102" s="40" t="str">
        <x:f>IFERROR(D102/C102,"")</x:f>
      </x:c>
      <x:c r="H102" s="39"/>
      <x:c r="I102" s="46" t="str">
        <x:f>IF(OR(E102&lt;=0,H102&lt;=0),"",EDATE(TODAY(),ROUNDUP(E102/H102,0)))</x:f>
      </x:c>
    </x:row>
    <x:row r="103">
      <x:c r="A103" s="38" t="str"/>
      <x:c r="B103" s="38" t="str"/>
      <x:c r="C103" s="39"/>
      <x:c r="D103" s="39"/>
      <x:c r="E103" s="39" t="str">
        <x:f>IF(C103="","",C103-D103)</x:f>
      </x:c>
      <x:c r="F103" s="46"/>
      <x:c r="G103" s="40" t="str">
        <x:f>IFERROR(D103/C103,"")</x:f>
      </x:c>
      <x:c r="H103" s="39"/>
      <x:c r="I103" s="46" t="str">
        <x:f>IF(OR(E103&lt;=0,H103&lt;=0),"",EDATE(TODAY(),ROUNDUP(E103/H103,0)))</x:f>
      </x:c>
    </x:row>
    <x:row r="104">
      <x:c r="A104" s="38" t="str"/>
      <x:c r="B104" s="38" t="str"/>
      <x:c r="C104" s="39"/>
      <x:c r="D104" s="39"/>
      <x:c r="E104" s="39" t="str">
        <x:f>IF(C104="","",C104-D104)</x:f>
      </x:c>
      <x:c r="F104" s="46"/>
      <x:c r="G104" s="40" t="str">
        <x:f>IFERROR(D104/C104,"")</x:f>
      </x:c>
      <x:c r="H104" s="39"/>
      <x:c r="I104" s="46" t="str">
        <x:f>IF(OR(E104&lt;=0,H104&lt;=0),"",EDATE(TODAY(),ROUNDUP(E104/H104,0)))</x:f>
      </x:c>
    </x:row>
    <x:row r="105">
      <x:c r="A105" s="38" t="str"/>
      <x:c r="B105" s="38" t="str"/>
      <x:c r="C105" s="39"/>
      <x:c r="D105" s="39"/>
      <x:c r="E105" s="39" t="str">
        <x:f>IF(C105="","",C105-D105)</x:f>
      </x:c>
      <x:c r="F105" s="46"/>
      <x:c r="G105" s="40" t="str">
        <x:f>IFERROR(D105/C105,"")</x:f>
      </x:c>
      <x:c r="H105" s="39"/>
      <x:c r="I105" s="46" t="str">
        <x:f>IF(OR(E105&lt;=0,H105&lt;=0),"",EDATE(TODAY(),ROUNDUP(E105/H105,0)))</x:f>
      </x:c>
    </x:row>
    <x:row r="106">
      <x:c r="A106" s="38" t="str"/>
      <x:c r="B106" s="38" t="str"/>
      <x:c r="C106" s="39"/>
      <x:c r="D106" s="39"/>
      <x:c r="E106" s="39" t="str">
        <x:f>IF(C106="","",C106-D106)</x:f>
      </x:c>
      <x:c r="F106" s="46"/>
      <x:c r="G106" s="40" t="str">
        <x:f>IFERROR(D106/C106,"")</x:f>
      </x:c>
      <x:c r="H106" s="39"/>
      <x:c r="I106" s="46" t="str">
        <x:f>IF(OR(E106&lt;=0,H106&lt;=0),"",EDATE(TODAY(),ROUNDUP(E106/H106,0)))</x:f>
      </x:c>
    </x:row>
    <x:row r="107">
      <x:c r="A107" s="38" t="str"/>
      <x:c r="B107" s="38" t="str"/>
      <x:c r="C107" s="39"/>
      <x:c r="D107" s="39"/>
      <x:c r="E107" s="39" t="str">
        <x:f>IF(C107="","",C107-D107)</x:f>
      </x:c>
      <x:c r="F107" s="46"/>
      <x:c r="G107" s="40" t="str">
        <x:f>IFERROR(D107/C107,"")</x:f>
      </x:c>
      <x:c r="H107" s="39"/>
      <x:c r="I107" s="46" t="str">
        <x:f>IF(OR(E107&lt;=0,H107&lt;=0),"",EDATE(TODAY(),ROUNDUP(E107/H107,0)))</x:f>
      </x:c>
    </x:row>
    <x:row r="108">
      <x:c r="A108" s="38" t="str"/>
      <x:c r="B108" s="38" t="str"/>
      <x:c r="C108" s="39"/>
      <x:c r="D108" s="39"/>
      <x:c r="E108" s="39" t="str">
        <x:f>IF(C108="","",C108-D108)</x:f>
      </x:c>
      <x:c r="F108" s="46"/>
      <x:c r="G108" s="40" t="str">
        <x:f>IFERROR(D108/C108,"")</x:f>
      </x:c>
      <x:c r="H108" s="39"/>
      <x:c r="I108" s="46" t="str">
        <x:f>IF(OR(E108&lt;=0,H108&lt;=0),"",EDATE(TODAY(),ROUNDUP(E108/H108,0)))</x:f>
      </x:c>
    </x:row>
    <x:row r="109">
      <x:c r="A109" s="38" t="str"/>
      <x:c r="B109" s="38" t="str"/>
      <x:c r="C109" s="39"/>
      <x:c r="D109" s="39"/>
      <x:c r="E109" s="39" t="str">
        <x:f>IF(C109="","",C109-D109)</x:f>
      </x:c>
      <x:c r="F109" s="46"/>
      <x:c r="G109" s="40" t="str">
        <x:f>IFERROR(D109/C109,"")</x:f>
      </x:c>
      <x:c r="H109" s="39"/>
      <x:c r="I109" s="46" t="str">
        <x:f>IF(OR(E109&lt;=0,H109&lt;=0),"",EDATE(TODAY(),ROUNDUP(E109/H109,0)))</x:f>
      </x:c>
    </x:row>
    <x:row r="110">
      <x:c r="A110" s="38" t="str"/>
      <x:c r="B110" s="38" t="str"/>
      <x:c r="C110" s="39"/>
      <x:c r="D110" s="39"/>
      <x:c r="E110" s="39" t="str">
        <x:f>IF(C110="","",C110-D110)</x:f>
      </x:c>
      <x:c r="F110" s="46"/>
      <x:c r="G110" s="40" t="str">
        <x:f>IFERROR(D110/C110,"")</x:f>
      </x:c>
      <x:c r="H110" s="39"/>
      <x:c r="I110" s="46" t="str">
        <x:f>IF(OR(E110&lt;=0,H110&lt;=0),"",EDATE(TODAY(),ROUNDUP(E110/H110,0)))</x:f>
      </x:c>
    </x:row>
    <x:row r="111">
      <x:c r="A111" s="38" t="str"/>
      <x:c r="B111" s="38" t="str"/>
      <x:c r="C111" s="39"/>
      <x:c r="D111" s="39"/>
      <x:c r="E111" s="39" t="str">
        <x:f>IF(C111="","",C111-D111)</x:f>
      </x:c>
      <x:c r="F111" s="46"/>
      <x:c r="G111" s="40" t="str">
        <x:f>IFERROR(D111/C111,"")</x:f>
      </x:c>
      <x:c r="H111" s="39"/>
      <x:c r="I111" s="46" t="str">
        <x:f>IF(OR(E111&lt;=0,H111&lt;=0),"",EDATE(TODAY(),ROUNDUP(E111/H111,0)))</x:f>
      </x:c>
    </x:row>
    <x:row r="112">
      <x:c r="A112" s="38" t="str"/>
      <x:c r="B112" s="38" t="str"/>
      <x:c r="C112" s="39"/>
      <x:c r="D112" s="39"/>
      <x:c r="E112" s="39" t="str">
        <x:f>IF(C112="","",C112-D112)</x:f>
      </x:c>
      <x:c r="F112" s="46"/>
      <x:c r="G112" s="40" t="str">
        <x:f>IFERROR(D112/C112,"")</x:f>
      </x:c>
      <x:c r="H112" s="39"/>
      <x:c r="I112" s="46" t="str">
        <x:f>IF(OR(E112&lt;=0,H112&lt;=0),"",EDATE(TODAY(),ROUNDUP(E112/H112,0)))</x:f>
      </x:c>
    </x:row>
    <x:row r="113">
      <x:c r="A113" s="38" t="str"/>
      <x:c r="B113" s="38" t="str"/>
      <x:c r="C113" s="39"/>
      <x:c r="D113" s="39"/>
      <x:c r="E113" s="39" t="str">
        <x:f>IF(C113="","",C113-D113)</x:f>
      </x:c>
      <x:c r="F113" s="46"/>
      <x:c r="G113" s="40" t="str">
        <x:f>IFERROR(D113/C113,"")</x:f>
      </x:c>
      <x:c r="H113" s="39"/>
      <x:c r="I113" s="46" t="str">
        <x:f>IF(OR(E113&lt;=0,H113&lt;=0),"",EDATE(TODAY(),ROUNDUP(E113/H113,0)))</x:f>
      </x:c>
    </x:row>
    <x:row r="114">
      <x:c r="A114" s="38" t="str"/>
      <x:c r="B114" s="38" t="str"/>
      <x:c r="C114" s="39"/>
      <x:c r="D114" s="39"/>
      <x:c r="E114" s="39" t="str">
        <x:f>IF(C114="","",C114-D114)</x:f>
      </x:c>
      <x:c r="F114" s="46"/>
      <x:c r="G114" s="40" t="str">
        <x:f>IFERROR(D114/C114,"")</x:f>
      </x:c>
      <x:c r="H114" s="39"/>
      <x:c r="I114" s="46" t="str">
        <x:f>IF(OR(E114&lt;=0,H114&lt;=0),"",EDATE(TODAY(),ROUNDUP(E114/H114,0)))</x:f>
      </x:c>
    </x:row>
    <x:row r="115">
      <x:c r="A115" s="38" t="str"/>
      <x:c r="B115" s="38" t="str"/>
      <x:c r="C115" s="39"/>
      <x:c r="D115" s="39"/>
      <x:c r="E115" s="39" t="str">
        <x:f>IF(C115="","",C115-D115)</x:f>
      </x:c>
      <x:c r="F115" s="46"/>
      <x:c r="G115" s="40" t="str">
        <x:f>IFERROR(D115/C115,"")</x:f>
      </x:c>
      <x:c r="H115" s="39"/>
      <x:c r="I115" s="46" t="str">
        <x:f>IF(OR(E115&lt;=0,H115&lt;=0),"",EDATE(TODAY(),ROUNDUP(E115/H115,0)))</x:f>
      </x:c>
    </x:row>
    <x:row r="116">
      <x:c r="A116" s="38" t="str"/>
      <x:c r="B116" s="38" t="str"/>
      <x:c r="C116" s="39"/>
      <x:c r="D116" s="39"/>
      <x:c r="E116" s="39" t="str">
        <x:f>IF(C116="","",C116-D116)</x:f>
      </x:c>
      <x:c r="F116" s="46"/>
      <x:c r="G116" s="40" t="str">
        <x:f>IFERROR(D116/C116,"")</x:f>
      </x:c>
      <x:c r="H116" s="39"/>
      <x:c r="I116" s="46" t="str">
        <x:f>IF(OR(E116&lt;=0,H116&lt;=0),"",EDATE(TODAY(),ROUNDUP(E116/H116,0)))</x:f>
      </x:c>
    </x:row>
    <x:row r="117">
      <x:c r="A117" s="38" t="str"/>
      <x:c r="B117" s="38" t="str"/>
      <x:c r="C117" s="39"/>
      <x:c r="D117" s="39"/>
      <x:c r="E117" s="39" t="str">
        <x:f>IF(C117="","",C117-D117)</x:f>
      </x:c>
      <x:c r="F117" s="46"/>
      <x:c r="G117" s="40" t="str">
        <x:f>IFERROR(D117/C117,"")</x:f>
      </x:c>
      <x:c r="H117" s="39"/>
      <x:c r="I117" s="46" t="str">
        <x:f>IF(OR(E117&lt;=0,H117&lt;=0),"",EDATE(TODAY(),ROUNDUP(E117/H117,0)))</x:f>
      </x:c>
    </x:row>
    <x:row r="118">
      <x:c r="A118" s="38" t="str"/>
      <x:c r="B118" s="38" t="str"/>
      <x:c r="C118" s="39"/>
      <x:c r="D118" s="39"/>
      <x:c r="E118" s="39" t="str">
        <x:f>IF(C118="","",C118-D118)</x:f>
      </x:c>
      <x:c r="F118" s="46"/>
      <x:c r="G118" s="40" t="str">
        <x:f>IFERROR(D118/C118,"")</x:f>
      </x:c>
      <x:c r="H118" s="39"/>
      <x:c r="I118" s="46" t="str">
        <x:f>IF(OR(E118&lt;=0,H118&lt;=0),"",EDATE(TODAY(),ROUNDUP(E118/H118,0)))</x:f>
      </x:c>
    </x:row>
    <x:row r="119">
      <x:c r="A119" s="38" t="str"/>
      <x:c r="B119" s="38" t="str"/>
      <x:c r="C119" s="39"/>
      <x:c r="D119" s="39"/>
      <x:c r="E119" s="39" t="str">
        <x:f>IF(C119="","",C119-D119)</x:f>
      </x:c>
      <x:c r="F119" s="46"/>
      <x:c r="G119" s="40" t="str">
        <x:f>IFERROR(D119/C119,"")</x:f>
      </x:c>
      <x:c r="H119" s="39"/>
      <x:c r="I119" s="46" t="str">
        <x:f>IF(OR(E119&lt;=0,H119&lt;=0),"",EDATE(TODAY(),ROUNDUP(E119/H119,0)))</x:f>
      </x:c>
    </x:row>
    <x:row r="120">
      <x:c r="A120" s="38" t="str"/>
      <x:c r="B120" s="38" t="str"/>
      <x:c r="C120" s="39"/>
      <x:c r="D120" s="39"/>
      <x:c r="E120" s="39" t="str">
        <x:f>IF(C120="","",C120-D120)</x:f>
      </x:c>
      <x:c r="F120" s="46"/>
      <x:c r="G120" s="40" t="str">
        <x:f>IFERROR(D120/C120,"")</x:f>
      </x:c>
      <x:c r="H120" s="39"/>
      <x:c r="I120" s="46" t="str">
        <x:f>IF(OR(E120&lt;=0,H120&lt;=0),"",EDATE(TODAY(),ROUNDUP(E120/H120,0)))</x:f>
      </x:c>
    </x:row>
    <x:row r="121">
      <x:c r="A121" s="38" t="str"/>
      <x:c r="B121" s="38" t="str"/>
      <x:c r="C121" s="39"/>
      <x:c r="D121" s="39"/>
      <x:c r="E121" s="39" t="str">
        <x:f>IF(C121="","",C121-D121)</x:f>
      </x:c>
      <x:c r="F121" s="46"/>
      <x:c r="G121" s="40" t="str">
        <x:f>IFERROR(D121/C121,"")</x:f>
      </x:c>
      <x:c r="H121" s="39"/>
      <x:c r="I121" s="46" t="str">
        <x:f>IF(OR(E121&lt;=0,H121&lt;=0),"",EDATE(TODAY(),ROUNDUP(E121/H121,0)))</x:f>
      </x:c>
    </x:row>
    <x:row r="122">
      <x:c r="A122" s="38" t="str"/>
      <x:c r="B122" s="38" t="str"/>
      <x:c r="C122" s="39"/>
      <x:c r="D122" s="39"/>
      <x:c r="E122" s="39" t="str">
        <x:f>IF(C122="","",C122-D122)</x:f>
      </x:c>
      <x:c r="F122" s="46"/>
      <x:c r="G122" s="40" t="str">
        <x:f>IFERROR(D122/C122,"")</x:f>
      </x:c>
      <x:c r="H122" s="39"/>
      <x:c r="I122" s="46" t="str">
        <x:f>IF(OR(E122&lt;=0,H122&lt;=0),"",EDATE(TODAY(),ROUNDUP(E122/H122,0)))</x:f>
      </x:c>
    </x:row>
    <x:row r="123">
      <x:c r="A123" s="38" t="str"/>
      <x:c r="B123" s="38" t="str"/>
      <x:c r="C123" s="39"/>
      <x:c r="D123" s="39"/>
      <x:c r="E123" s="39" t="str">
        <x:f>IF(C123="","",C123-D123)</x:f>
      </x:c>
      <x:c r="F123" s="46"/>
      <x:c r="G123" s="40" t="str">
        <x:f>IFERROR(D123/C123,"")</x:f>
      </x:c>
      <x:c r="H123" s="39"/>
      <x:c r="I123" s="46" t="str">
        <x:f>IF(OR(E123&lt;=0,H123&lt;=0),"",EDATE(TODAY(),ROUNDUP(E123/H123,0)))</x:f>
      </x:c>
    </x:row>
    <x:row r="124">
      <x:c r="A124" s="38" t="str"/>
      <x:c r="B124" s="38" t="str"/>
      <x:c r="C124" s="39"/>
      <x:c r="D124" s="39"/>
      <x:c r="E124" s="39" t="str">
        <x:f>IF(C124="","",C124-D124)</x:f>
      </x:c>
      <x:c r="F124" s="46"/>
      <x:c r="G124" s="40" t="str">
        <x:f>IFERROR(D124/C124,"")</x:f>
      </x:c>
      <x:c r="H124" s="39"/>
      <x:c r="I124" s="46" t="str">
        <x:f>IF(OR(E124&lt;=0,H124&lt;=0),"",EDATE(TODAY(),ROUNDUP(E124/H124,0)))</x:f>
      </x:c>
    </x:row>
    <x:row r="125">
      <x:c r="A125" s="38" t="str"/>
      <x:c r="B125" s="38" t="str"/>
      <x:c r="C125" s="39"/>
      <x:c r="D125" s="39"/>
      <x:c r="E125" s="39" t="str">
        <x:f>IF(C125="","",C125-D125)</x:f>
      </x:c>
      <x:c r="F125" s="46"/>
      <x:c r="G125" s="40" t="str">
        <x:f>IFERROR(D125/C125,"")</x:f>
      </x:c>
      <x:c r="H125" s="39"/>
      <x:c r="I125" s="46" t="str">
        <x:f>IF(OR(E125&lt;=0,H125&lt;=0),"",EDATE(TODAY(),ROUNDUP(E125/H125,0)))</x:f>
      </x:c>
    </x:row>
    <x:row r="126">
      <x:c r="A126" s="38" t="str"/>
      <x:c r="B126" s="38" t="str"/>
      <x:c r="C126" s="39"/>
      <x:c r="D126" s="39"/>
      <x:c r="E126" s="39" t="str">
        <x:f>IF(C126="","",C126-D126)</x:f>
      </x:c>
      <x:c r="F126" s="46"/>
      <x:c r="G126" s="40" t="str">
        <x:f>IFERROR(D126/C126,"")</x:f>
      </x:c>
      <x:c r="H126" s="39"/>
      <x:c r="I126" s="46" t="str">
        <x:f>IF(OR(E126&lt;=0,H126&lt;=0),"",EDATE(TODAY(),ROUNDUP(E126/H126,0)))</x:f>
      </x:c>
    </x:row>
    <x:row r="127">
      <x:c r="A127" s="38" t="str"/>
      <x:c r="B127" s="38" t="str"/>
      <x:c r="C127" s="39"/>
      <x:c r="D127" s="39"/>
      <x:c r="E127" s="39" t="str">
        <x:f>IF(C127="","",C127-D127)</x:f>
      </x:c>
      <x:c r="F127" s="46"/>
      <x:c r="G127" s="40" t="str">
        <x:f>IFERROR(D127/C127,"")</x:f>
      </x:c>
      <x:c r="H127" s="39"/>
      <x:c r="I127" s="46" t="str">
        <x:f>IF(OR(E127&lt;=0,H127&lt;=0),"",EDATE(TODAY(),ROUNDUP(E127/H127,0)))</x:f>
      </x:c>
    </x:row>
    <x:row r="128">
      <x:c r="A128" s="38" t="str"/>
      <x:c r="B128" s="38" t="str"/>
      <x:c r="C128" s="39"/>
      <x:c r="D128" s="39"/>
      <x:c r="E128" s="39" t="str">
        <x:f>IF(C128="","",C128-D128)</x:f>
      </x:c>
      <x:c r="F128" s="46"/>
      <x:c r="G128" s="40" t="str">
        <x:f>IFERROR(D128/C128,"")</x:f>
      </x:c>
      <x:c r="H128" s="39"/>
      <x:c r="I128" s="46" t="str">
        <x:f>IF(OR(E128&lt;=0,H128&lt;=0),"",EDATE(TODAY(),ROUNDUP(E128/H128,0)))</x:f>
      </x:c>
    </x:row>
    <x:row r="129">
      <x:c r="A129" s="38" t="str"/>
      <x:c r="B129" s="38" t="str"/>
      <x:c r="C129" s="39"/>
      <x:c r="D129" s="39"/>
      <x:c r="E129" s="39" t="str">
        <x:f>IF(C129="","",C129-D129)</x:f>
      </x:c>
      <x:c r="F129" s="46"/>
      <x:c r="G129" s="40" t="str">
        <x:f>IFERROR(D129/C129,"")</x:f>
      </x:c>
      <x:c r="H129" s="39"/>
      <x:c r="I129" s="46" t="str">
        <x:f>IF(OR(E129&lt;=0,H129&lt;=0),"",EDATE(TODAY(),ROUNDUP(E129/H129,0)))</x:f>
      </x:c>
    </x:row>
    <x:row r="130">
      <x:c r="A130" s="38" t="str"/>
      <x:c r="B130" s="38" t="str"/>
      <x:c r="C130" s="39"/>
      <x:c r="D130" s="39"/>
      <x:c r="E130" s="39" t="str">
        <x:f>IF(C130="","",C130-D130)</x:f>
      </x:c>
      <x:c r="F130" s="46"/>
      <x:c r="G130" s="40" t="str">
        <x:f>IFERROR(D130/C130,"")</x:f>
      </x:c>
      <x:c r="H130" s="39"/>
      <x:c r="I130" s="46" t="str">
        <x:f>IF(OR(E130&lt;=0,H130&lt;=0),"",EDATE(TODAY(),ROUNDUP(E130/H130,0)))</x:f>
      </x:c>
    </x:row>
    <x:row r="131">
      <x:c r="A131" s="38" t="str"/>
      <x:c r="B131" s="38" t="str"/>
      <x:c r="C131" s="39"/>
      <x:c r="D131" s="39"/>
      <x:c r="E131" s="39" t="str">
        <x:f>IF(C131="","",C131-D131)</x:f>
      </x:c>
      <x:c r="F131" s="46"/>
      <x:c r="G131" s="40" t="str">
        <x:f>IFERROR(D131/C131,"")</x:f>
      </x:c>
      <x:c r="H131" s="39"/>
      <x:c r="I131" s="46" t="str">
        <x:f>IF(OR(E131&lt;=0,H131&lt;=0),"",EDATE(TODAY(),ROUNDUP(E131/H131,0)))</x:f>
      </x:c>
    </x:row>
    <x:row r="132">
      <x:c r="A132" s="38" t="str"/>
      <x:c r="B132" s="38" t="str"/>
      <x:c r="C132" s="39"/>
      <x:c r="D132" s="39"/>
      <x:c r="E132" s="39" t="str">
        <x:f>IF(C132="","",C132-D132)</x:f>
      </x:c>
      <x:c r="F132" s="46"/>
      <x:c r="G132" s="40" t="str">
        <x:f>IFERROR(D132/C132,"")</x:f>
      </x:c>
      <x:c r="H132" s="39"/>
      <x:c r="I132" s="46" t="str">
        <x:f>IF(OR(E132&lt;=0,H132&lt;=0),"",EDATE(TODAY(),ROUNDUP(E132/H132,0)))</x:f>
      </x:c>
    </x:row>
    <x:row r="133">
      <x:c r="A133" s="38" t="str"/>
      <x:c r="B133" s="38" t="str"/>
      <x:c r="C133" s="39"/>
      <x:c r="D133" s="39"/>
      <x:c r="E133" s="39" t="str">
        <x:f>IF(C133="","",C133-D133)</x:f>
      </x:c>
      <x:c r="F133" s="46"/>
      <x:c r="G133" s="40" t="str">
        <x:f>IFERROR(D133/C133,"")</x:f>
      </x:c>
      <x:c r="H133" s="39"/>
      <x:c r="I133" s="46" t="str">
        <x:f>IF(OR(E133&lt;=0,H133&lt;=0),"",EDATE(TODAY(),ROUNDUP(E133/H133,0)))</x:f>
      </x:c>
    </x:row>
    <x:row r="134">
      <x:c r="A134" s="38" t="str"/>
      <x:c r="B134" s="38" t="str"/>
      <x:c r="C134" s="39"/>
      <x:c r="D134" s="39"/>
      <x:c r="E134" s="39" t="str">
        <x:f>IF(C134="","",C134-D134)</x:f>
      </x:c>
      <x:c r="F134" s="46"/>
      <x:c r="G134" s="40" t="str">
        <x:f>IFERROR(D134/C134,"")</x:f>
      </x:c>
      <x:c r="H134" s="39"/>
      <x:c r="I134" s="46" t="str">
        <x:f>IF(OR(E134&lt;=0,H134&lt;=0),"",EDATE(TODAY(),ROUNDUP(E134/H134,0)))</x:f>
      </x:c>
    </x:row>
    <x:row r="135">
      <x:c r="A135" s="38" t="str"/>
      <x:c r="B135" s="38" t="str"/>
      <x:c r="C135" s="39"/>
      <x:c r="D135" s="39"/>
      <x:c r="E135" s="39" t="str">
        <x:f>IF(C135="","",C135-D135)</x:f>
      </x:c>
      <x:c r="F135" s="46"/>
      <x:c r="G135" s="40" t="str">
        <x:f>IFERROR(D135/C135,"")</x:f>
      </x:c>
      <x:c r="H135" s="39"/>
      <x:c r="I135" s="46" t="str">
        <x:f>IF(OR(E135&lt;=0,H135&lt;=0),"",EDATE(TODAY(),ROUNDUP(E135/H135,0)))</x:f>
      </x:c>
    </x:row>
    <x:row r="136">
      <x:c r="A136" s="38" t="str"/>
      <x:c r="B136" s="38" t="str"/>
      <x:c r="C136" s="39"/>
      <x:c r="D136" s="39"/>
      <x:c r="E136" s="39" t="str">
        <x:f>IF(C136="","",C136-D136)</x:f>
      </x:c>
      <x:c r="F136" s="46"/>
      <x:c r="G136" s="40" t="str">
        <x:f>IFERROR(D136/C136,"")</x:f>
      </x:c>
      <x:c r="H136" s="39"/>
      <x:c r="I136" s="46" t="str">
        <x:f>IF(OR(E136&lt;=0,H136&lt;=0),"",EDATE(TODAY(),ROUNDUP(E136/H136,0)))</x:f>
      </x:c>
    </x:row>
    <x:row r="137">
      <x:c r="A137" s="38" t="str"/>
      <x:c r="B137" s="38" t="str"/>
      <x:c r="C137" s="39"/>
      <x:c r="D137" s="39"/>
      <x:c r="E137" s="39" t="str">
        <x:f>IF(C137="","",C137-D137)</x:f>
      </x:c>
      <x:c r="F137" s="46"/>
      <x:c r="G137" s="40" t="str">
        <x:f>IFERROR(D137/C137,"")</x:f>
      </x:c>
      <x:c r="H137" s="39"/>
      <x:c r="I137" s="46" t="str">
        <x:f>IF(OR(E137&lt;=0,H137&lt;=0),"",EDATE(TODAY(),ROUNDUP(E137/H137,0)))</x:f>
      </x:c>
    </x:row>
    <x:row r="138">
      <x:c r="A138" s="38" t="str"/>
      <x:c r="B138" s="38" t="str"/>
      <x:c r="C138" s="39"/>
      <x:c r="D138" s="39"/>
      <x:c r="E138" s="39" t="str">
        <x:f>IF(C138="","",C138-D138)</x:f>
      </x:c>
      <x:c r="F138" s="46"/>
      <x:c r="G138" s="40" t="str">
        <x:f>IFERROR(D138/C138,"")</x:f>
      </x:c>
      <x:c r="H138" s="39"/>
      <x:c r="I138" s="46" t="str">
        <x:f>IF(OR(E138&lt;=0,H138&lt;=0),"",EDATE(TODAY(),ROUNDUP(E138/H138,0)))</x:f>
      </x:c>
    </x:row>
    <x:row r="139">
      <x:c r="A139" s="38" t="str"/>
      <x:c r="B139" s="38" t="str"/>
      <x:c r="C139" s="39"/>
      <x:c r="D139" s="39"/>
      <x:c r="E139" s="39" t="str">
        <x:f>IF(C139="","",C139-D139)</x:f>
      </x:c>
      <x:c r="F139" s="46"/>
      <x:c r="G139" s="40" t="str">
        <x:f>IFERROR(D139/C139,"")</x:f>
      </x:c>
      <x:c r="H139" s="39"/>
      <x:c r="I139" s="46" t="str">
        <x:f>IF(OR(E139&lt;=0,H139&lt;=0),"",EDATE(TODAY(),ROUNDUP(E139/H139,0)))</x:f>
      </x:c>
    </x:row>
    <x:row r="140">
      <x:c r="A140" s="38" t="str"/>
      <x:c r="B140" s="38" t="str"/>
      <x:c r="C140" s="39"/>
      <x:c r="D140" s="39"/>
      <x:c r="E140" s="39" t="str">
        <x:f>IF(C140="","",C140-D140)</x:f>
      </x:c>
      <x:c r="F140" s="46"/>
      <x:c r="G140" s="40" t="str">
        <x:f>IFERROR(D140/C140,"")</x:f>
      </x:c>
      <x:c r="H140" s="39"/>
      <x:c r="I140" s="46" t="str">
        <x:f>IF(OR(E140&lt;=0,H140&lt;=0),"",EDATE(TODAY(),ROUNDUP(E140/H140,0)))</x:f>
      </x:c>
    </x:row>
    <x:row r="141">
      <x:c r="A141" s="38" t="str"/>
      <x:c r="B141" s="38" t="str"/>
      <x:c r="C141" s="39"/>
      <x:c r="D141" s="39"/>
      <x:c r="E141" s="39" t="str">
        <x:f>IF(C141="","",C141-D141)</x:f>
      </x:c>
      <x:c r="F141" s="46"/>
      <x:c r="G141" s="40" t="str">
        <x:f>IFERROR(D141/C141,"")</x:f>
      </x:c>
      <x:c r="H141" s="39"/>
      <x:c r="I141" s="46" t="str">
        <x:f>IF(OR(E141&lt;=0,H141&lt;=0),"",EDATE(TODAY(),ROUNDUP(E141/H141,0)))</x:f>
      </x:c>
    </x:row>
    <x:row r="142">
      <x:c r="A142" s="38" t="str"/>
      <x:c r="B142" s="38" t="str"/>
      <x:c r="C142" s="39"/>
      <x:c r="D142" s="39"/>
      <x:c r="E142" s="39" t="str">
        <x:f>IF(C142="","",C142-D142)</x:f>
      </x:c>
      <x:c r="F142" s="46"/>
      <x:c r="G142" s="40" t="str">
        <x:f>IFERROR(D142/C142,"")</x:f>
      </x:c>
      <x:c r="H142" s="39"/>
      <x:c r="I142" s="46" t="str">
        <x:f>IF(OR(E142&lt;=0,H142&lt;=0),"",EDATE(TODAY(),ROUNDUP(E142/H142,0)))</x:f>
      </x:c>
    </x:row>
    <x:row r="143">
      <x:c r="A143" s="38" t="str"/>
      <x:c r="B143" s="38" t="str"/>
      <x:c r="C143" s="39"/>
      <x:c r="D143" s="39"/>
      <x:c r="E143" s="39" t="str">
        <x:f>IF(C143="","",C143-D143)</x:f>
      </x:c>
      <x:c r="F143" s="46"/>
      <x:c r="G143" s="40" t="str">
        <x:f>IFERROR(D143/C143,"")</x:f>
      </x:c>
      <x:c r="H143" s="39"/>
      <x:c r="I143" s="46" t="str">
        <x:f>IF(OR(E143&lt;=0,H143&lt;=0),"",EDATE(TODAY(),ROUNDUP(E143/H143,0)))</x:f>
      </x:c>
    </x:row>
    <x:row r="144">
      <x:c r="A144" s="38" t="str"/>
      <x:c r="B144" s="38" t="str"/>
      <x:c r="C144" s="39"/>
      <x:c r="D144" s="39"/>
      <x:c r="E144" s="39" t="str">
        <x:f>IF(C144="","",C144-D144)</x:f>
      </x:c>
      <x:c r="F144" s="46"/>
      <x:c r="G144" s="40" t="str">
        <x:f>IFERROR(D144/C144,"")</x:f>
      </x:c>
      <x:c r="H144" s="39"/>
      <x:c r="I144" s="46" t="str">
        <x:f>IF(OR(E144&lt;=0,H144&lt;=0),"",EDATE(TODAY(),ROUNDUP(E144/H144,0)))</x:f>
      </x:c>
    </x:row>
    <x:row r="145">
      <x:c r="A145" s="38" t="str"/>
      <x:c r="B145" s="38" t="str"/>
      <x:c r="C145" s="39"/>
      <x:c r="D145" s="39"/>
      <x:c r="E145" s="39" t="str">
        <x:f>IF(C145="","",C145-D145)</x:f>
      </x:c>
      <x:c r="F145" s="46"/>
      <x:c r="G145" s="40" t="str">
        <x:f>IFERROR(D145/C145,"")</x:f>
      </x:c>
      <x:c r="H145" s="39"/>
      <x:c r="I145" s="46" t="str">
        <x:f>IF(OR(E145&lt;=0,H145&lt;=0),"",EDATE(TODAY(),ROUNDUP(E145/H145,0)))</x:f>
      </x:c>
    </x:row>
    <x:row r="146">
      <x:c r="A146" s="38" t="str"/>
      <x:c r="B146" s="38" t="str"/>
      <x:c r="C146" s="39"/>
      <x:c r="D146" s="39"/>
      <x:c r="E146" s="39" t="str">
        <x:f>IF(C146="","",C146-D146)</x:f>
      </x:c>
      <x:c r="F146" s="46"/>
      <x:c r="G146" s="40" t="str">
        <x:f>IFERROR(D146/C146,"")</x:f>
      </x:c>
      <x:c r="H146" s="39"/>
      <x:c r="I146" s="46" t="str">
        <x:f>IF(OR(E146&lt;=0,H146&lt;=0),"",EDATE(TODAY(),ROUNDUP(E146/H146,0)))</x:f>
      </x:c>
    </x:row>
    <x:row r="147">
      <x:c r="A147" s="38" t="str"/>
      <x:c r="B147" s="38" t="str"/>
      <x:c r="C147" s="39"/>
      <x:c r="D147" s="39"/>
      <x:c r="E147" s="39" t="str">
        <x:f>IF(C147="","",C147-D147)</x:f>
      </x:c>
      <x:c r="F147" s="46"/>
      <x:c r="G147" s="40" t="str">
        <x:f>IFERROR(D147/C147,"")</x:f>
      </x:c>
      <x:c r="H147" s="39"/>
      <x:c r="I147" s="46" t="str">
        <x:f>IF(OR(E147&lt;=0,H147&lt;=0),"",EDATE(TODAY(),ROUNDUP(E147/H147,0)))</x:f>
      </x:c>
    </x:row>
    <x:row r="148">
      <x:c r="A148" s="38" t="str"/>
      <x:c r="B148" s="38" t="str"/>
      <x:c r="C148" s="39"/>
      <x:c r="D148" s="39"/>
      <x:c r="E148" s="39" t="str">
        <x:f>IF(C148="","",C148-D148)</x:f>
      </x:c>
      <x:c r="F148" s="46"/>
      <x:c r="G148" s="40" t="str">
        <x:f>IFERROR(D148/C148,"")</x:f>
      </x:c>
      <x:c r="H148" s="39"/>
      <x:c r="I148" s="46" t="str">
        <x:f>IF(OR(E148&lt;=0,H148&lt;=0),"",EDATE(TODAY(),ROUNDUP(E148/H148,0)))</x:f>
      </x:c>
    </x:row>
    <x:row r="149">
      <x:c r="A149" s="38" t="str"/>
      <x:c r="B149" s="38" t="str"/>
      <x:c r="C149" s="39"/>
      <x:c r="D149" s="39"/>
      <x:c r="E149" s="39" t="str">
        <x:f>IF(C149="","",C149-D149)</x:f>
      </x:c>
      <x:c r="F149" s="46"/>
      <x:c r="G149" s="40" t="str">
        <x:f>IFERROR(D149/C149,"")</x:f>
      </x:c>
      <x:c r="H149" s="39"/>
      <x:c r="I149" s="46" t="str">
        <x:f>IF(OR(E149&lt;=0,H149&lt;=0),"",EDATE(TODAY(),ROUNDUP(E149/H149,0)))</x:f>
      </x:c>
    </x:row>
    <x:row r="150">
      <x:c r="A150" s="38" t="str"/>
      <x:c r="B150" s="38" t="str"/>
      <x:c r="C150" s="39"/>
      <x:c r="D150" s="39"/>
      <x:c r="E150" s="39" t="str">
        <x:f>IF(C150="","",C150-D150)</x:f>
      </x:c>
      <x:c r="F150" s="46"/>
      <x:c r="G150" s="40" t="str">
        <x:f>IFERROR(D150/C150,"")</x:f>
      </x:c>
      <x:c r="H150" s="39"/>
      <x:c r="I150" s="46" t="str">
        <x:f>IF(OR(E150&lt;=0,H150&lt;=0),"",EDATE(TODAY(),ROUNDUP(E150/H150,0)))</x:f>
      </x:c>
    </x:row>
    <x:row r="151">
      <x:c r="A151" s="38" t="str"/>
      <x:c r="B151" s="38" t="str"/>
      <x:c r="C151" s="39"/>
      <x:c r="D151" s="39"/>
      <x:c r="E151" s="39" t="str">
        <x:f>IF(C151="","",C151-D151)</x:f>
      </x:c>
      <x:c r="F151" s="46"/>
      <x:c r="G151" s="40" t="str">
        <x:f>IFERROR(D151/C151,"")</x:f>
      </x:c>
      <x:c r="H151" s="39"/>
      <x:c r="I151" s="46" t="str">
        <x:f>IF(OR(E151&lt;=0,H151&lt;=0),"",EDATE(TODAY(),ROUNDUP(E151/H151,0)))</x:f>
      </x:c>
    </x:row>
    <x:row r="152">
      <x:c r="A152" s="38" t="str"/>
      <x:c r="B152" s="38" t="str"/>
      <x:c r="C152" s="39"/>
      <x:c r="D152" s="39"/>
      <x:c r="E152" s="39" t="str">
        <x:f>IF(C152="","",C152-D152)</x:f>
      </x:c>
      <x:c r="F152" s="46"/>
      <x:c r="G152" s="40" t="str">
        <x:f>IFERROR(D152/C152,"")</x:f>
      </x:c>
      <x:c r="H152" s="39"/>
      <x:c r="I152" s="46" t="str">
        <x:f>IF(OR(E152&lt;=0,H152&lt;=0),"",EDATE(TODAY(),ROUNDUP(E152/H152,0)))</x:f>
      </x:c>
    </x:row>
    <x:row r="153">
      <x:c r="A153" s="38" t="str"/>
      <x:c r="B153" s="38" t="str"/>
      <x:c r="C153" s="39"/>
      <x:c r="D153" s="39"/>
      <x:c r="E153" s="39" t="str">
        <x:f>IF(C153="","",C153-D153)</x:f>
      </x:c>
      <x:c r="F153" s="46"/>
      <x:c r="G153" s="40" t="str">
        <x:f>IFERROR(D153/C153,"")</x:f>
      </x:c>
      <x:c r="H153" s="39"/>
      <x:c r="I153" s="46" t="str">
        <x:f>IF(OR(E153&lt;=0,H153&lt;=0),"",EDATE(TODAY(),ROUNDUP(E153/H153,0)))</x:f>
      </x:c>
    </x:row>
    <x:row r="154">
      <x:c r="A154" s="38" t="str"/>
      <x:c r="B154" s="38" t="str"/>
      <x:c r="C154" s="39"/>
      <x:c r="D154" s="39"/>
      <x:c r="E154" s="39" t="str">
        <x:f>IF(C154="","",C154-D154)</x:f>
      </x:c>
      <x:c r="F154" s="46"/>
      <x:c r="G154" s="40" t="str">
        <x:f>IFERROR(D154/C154,"")</x:f>
      </x:c>
      <x:c r="H154" s="39"/>
      <x:c r="I154" s="46" t="str">
        <x:f>IF(OR(E154&lt;=0,H154&lt;=0),"",EDATE(TODAY(),ROUNDUP(E154/H154,0)))</x:f>
      </x:c>
    </x:row>
    <x:row r="155">
      <x:c r="A155" s="38" t="str"/>
      <x:c r="B155" s="38" t="str"/>
      <x:c r="C155" s="39"/>
      <x:c r="D155" s="39"/>
      <x:c r="E155" s="39" t="str">
        <x:f>IF(C155="","",C155-D155)</x:f>
      </x:c>
      <x:c r="F155" s="46"/>
      <x:c r="G155" s="40" t="str">
        <x:f>IFERROR(D155/C155,"")</x:f>
      </x:c>
      <x:c r="H155" s="39"/>
      <x:c r="I155" s="46" t="str">
        <x:f>IF(OR(E155&lt;=0,H155&lt;=0),"",EDATE(TODAY(),ROUNDUP(E155/H155,0)))</x:f>
      </x:c>
    </x:row>
    <x:row r="156">
      <x:c r="A156" s="38" t="str"/>
      <x:c r="B156" s="38" t="str"/>
      <x:c r="C156" s="39"/>
      <x:c r="D156" s="39"/>
      <x:c r="E156" s="39" t="str">
        <x:f>IF(C156="","",C156-D156)</x:f>
      </x:c>
      <x:c r="F156" s="46"/>
      <x:c r="G156" s="40" t="str">
        <x:f>IFERROR(D156/C156,"")</x:f>
      </x:c>
      <x:c r="H156" s="39"/>
      <x:c r="I156" s="46" t="str">
        <x:f>IF(OR(E156&lt;=0,H156&lt;=0),"",EDATE(TODAY(),ROUNDUP(E156/H156,0)))</x:f>
      </x:c>
    </x:row>
    <x:row r="157">
      <x:c r="A157" s="38" t="str"/>
      <x:c r="B157" s="38" t="str"/>
      <x:c r="C157" s="39"/>
      <x:c r="D157" s="39"/>
      <x:c r="E157" s="39" t="str">
        <x:f>IF(C157="","",C157-D157)</x:f>
      </x:c>
      <x:c r="F157" s="46"/>
      <x:c r="G157" s="40" t="str">
        <x:f>IFERROR(D157/C157,"")</x:f>
      </x:c>
      <x:c r="H157" s="39"/>
      <x:c r="I157" s="46" t="str">
        <x:f>IF(OR(E157&lt;=0,H157&lt;=0),"",EDATE(TODAY(),ROUNDUP(E157/H157,0)))</x:f>
      </x:c>
    </x:row>
    <x:row r="158">
      <x:c r="A158" s="38" t="str"/>
      <x:c r="B158" s="38" t="str"/>
      <x:c r="C158" s="39"/>
      <x:c r="D158" s="39"/>
      <x:c r="E158" s="39" t="str">
        <x:f>IF(C158="","",C158-D158)</x:f>
      </x:c>
      <x:c r="F158" s="46"/>
      <x:c r="G158" s="40" t="str">
        <x:f>IFERROR(D158/C158,"")</x:f>
      </x:c>
      <x:c r="H158" s="39"/>
      <x:c r="I158" s="46" t="str">
        <x:f>IF(OR(E158&lt;=0,H158&lt;=0),"",EDATE(TODAY(),ROUNDUP(E158/H158,0)))</x:f>
      </x:c>
    </x:row>
    <x:row r="159">
      <x:c r="A159" s="38" t="str"/>
      <x:c r="B159" s="38" t="str"/>
      <x:c r="C159" s="39"/>
      <x:c r="D159" s="39"/>
      <x:c r="E159" s="39" t="str">
        <x:f>IF(C159="","",C159-D159)</x:f>
      </x:c>
      <x:c r="F159" s="46"/>
      <x:c r="G159" s="40" t="str">
        <x:f>IFERROR(D159/C159,"")</x:f>
      </x:c>
      <x:c r="H159" s="39"/>
      <x:c r="I159" s="46" t="str">
        <x:f>IF(OR(E159&lt;=0,H159&lt;=0),"",EDATE(TODAY(),ROUNDUP(E159/H159,0)))</x:f>
      </x:c>
    </x:row>
    <x:row r="160">
      <x:c r="A160" s="38" t="str"/>
      <x:c r="B160" s="38" t="str"/>
      <x:c r="C160" s="39"/>
      <x:c r="D160" s="39"/>
      <x:c r="E160" s="39" t="str">
        <x:f>IF(C160="","",C160-D160)</x:f>
      </x:c>
      <x:c r="F160" s="46"/>
      <x:c r="G160" s="40" t="str">
        <x:f>IFERROR(D160/C160,"")</x:f>
      </x:c>
      <x:c r="H160" s="39"/>
      <x:c r="I160" s="46" t="str">
        <x:f>IF(OR(E160&lt;=0,H160&lt;=0),"",EDATE(TODAY(),ROUNDUP(E160/H160,0)))</x:f>
      </x:c>
    </x:row>
    <x:row r="161">
      <x:c r="A161" s="38" t="str"/>
      <x:c r="B161" s="38" t="str"/>
      <x:c r="C161" s="39"/>
      <x:c r="D161" s="39"/>
      <x:c r="E161" s="39" t="str">
        <x:f>IF(C161="","",C161-D161)</x:f>
      </x:c>
      <x:c r="F161" s="46"/>
      <x:c r="G161" s="40" t="str">
        <x:f>IFERROR(D161/C161,"")</x:f>
      </x:c>
      <x:c r="H161" s="39"/>
      <x:c r="I161" s="46" t="str">
        <x:f>IF(OR(E161&lt;=0,H161&lt;=0),"",EDATE(TODAY(),ROUNDUP(E161/H161,0)))</x:f>
      </x:c>
    </x:row>
    <x:row r="162">
      <x:c r="A162" s="38" t="str"/>
      <x:c r="B162" s="38" t="str"/>
      <x:c r="C162" s="39"/>
      <x:c r="D162" s="39"/>
      <x:c r="E162" s="39" t="str">
        <x:f>IF(C162="","",C162-D162)</x:f>
      </x:c>
      <x:c r="F162" s="46"/>
      <x:c r="G162" s="40" t="str">
        <x:f>IFERROR(D162/C162,"")</x:f>
      </x:c>
      <x:c r="H162" s="39"/>
      <x:c r="I162" s="46" t="str">
        <x:f>IF(OR(E162&lt;=0,H162&lt;=0),"",EDATE(TODAY(),ROUNDUP(E162/H162,0)))</x:f>
      </x:c>
    </x:row>
    <x:row r="163">
      <x:c r="A163" s="38" t="str"/>
      <x:c r="B163" s="38" t="str"/>
      <x:c r="C163" s="39"/>
      <x:c r="D163" s="39"/>
      <x:c r="E163" s="39" t="str">
        <x:f>IF(C163="","",C163-D163)</x:f>
      </x:c>
      <x:c r="F163" s="46"/>
      <x:c r="G163" s="40" t="str">
        <x:f>IFERROR(D163/C163,"")</x:f>
      </x:c>
      <x:c r="H163" s="39"/>
      <x:c r="I163" s="46" t="str">
        <x:f>IF(OR(E163&lt;=0,H163&lt;=0),"",EDATE(TODAY(),ROUNDUP(E163/H163,0)))</x:f>
      </x:c>
    </x:row>
    <x:row r="164">
      <x:c r="A164" s="38" t="str"/>
      <x:c r="B164" s="38" t="str"/>
      <x:c r="C164" s="39"/>
      <x:c r="D164" s="39"/>
      <x:c r="E164" s="39" t="str">
        <x:f>IF(C164="","",C164-D164)</x:f>
      </x:c>
      <x:c r="F164" s="46"/>
      <x:c r="G164" s="40" t="str">
        <x:f>IFERROR(D164/C164,"")</x:f>
      </x:c>
      <x:c r="H164" s="39"/>
      <x:c r="I164" s="46" t="str">
        <x:f>IF(OR(E164&lt;=0,H164&lt;=0),"",EDATE(TODAY(),ROUNDUP(E164/H164,0)))</x:f>
      </x:c>
    </x:row>
    <x:row r="165">
      <x:c r="A165" s="38" t="str"/>
      <x:c r="B165" s="38" t="str"/>
      <x:c r="C165" s="39"/>
      <x:c r="D165" s="39"/>
      <x:c r="E165" s="39" t="str">
        <x:f>IF(C165="","",C165-D165)</x:f>
      </x:c>
      <x:c r="F165" s="46"/>
      <x:c r="G165" s="40" t="str">
        <x:f>IFERROR(D165/C165,"")</x:f>
      </x:c>
      <x:c r="H165" s="39"/>
      <x:c r="I165" s="46" t="str">
        <x:f>IF(OR(E165&lt;=0,H165&lt;=0),"",EDATE(TODAY(),ROUNDUP(E165/H165,0)))</x:f>
      </x:c>
    </x:row>
    <x:row r="166">
      <x:c r="A166" s="38" t="str"/>
      <x:c r="B166" s="38" t="str"/>
      <x:c r="C166" s="39"/>
      <x:c r="D166" s="39"/>
      <x:c r="E166" s="39" t="str">
        <x:f>IF(C166="","",C166-D166)</x:f>
      </x:c>
      <x:c r="F166" s="46"/>
      <x:c r="G166" s="40" t="str">
        <x:f>IFERROR(D166/C166,"")</x:f>
      </x:c>
      <x:c r="H166" s="39"/>
      <x:c r="I166" s="46" t="str">
        <x:f>IF(OR(E166&lt;=0,H166&lt;=0),"",EDATE(TODAY(),ROUNDUP(E166/H166,0)))</x:f>
      </x:c>
    </x:row>
    <x:row r="167">
      <x:c r="A167" s="38" t="str"/>
      <x:c r="B167" s="38" t="str"/>
      <x:c r="C167" s="39"/>
      <x:c r="D167" s="39"/>
      <x:c r="E167" s="39" t="str">
        <x:f>IF(C167="","",C167-D167)</x:f>
      </x:c>
      <x:c r="F167" s="46"/>
      <x:c r="G167" s="40" t="str">
        <x:f>IFERROR(D167/C167,"")</x:f>
      </x:c>
      <x:c r="H167" s="39"/>
      <x:c r="I167" s="46" t="str">
        <x:f>IF(OR(E167&lt;=0,H167&lt;=0),"",EDATE(TODAY(),ROUNDUP(E167/H167,0)))</x:f>
      </x:c>
    </x:row>
    <x:row r="168">
      <x:c r="A168" s="38" t="str"/>
      <x:c r="B168" s="38" t="str"/>
      <x:c r="C168" s="39"/>
      <x:c r="D168" s="39"/>
      <x:c r="E168" s="39" t="str">
        <x:f>IF(C168="","",C168-D168)</x:f>
      </x:c>
      <x:c r="F168" s="46"/>
      <x:c r="G168" s="40" t="str">
        <x:f>IFERROR(D168/C168,"")</x:f>
      </x:c>
      <x:c r="H168" s="39"/>
      <x:c r="I168" s="46" t="str">
        <x:f>IF(OR(E168&lt;=0,H168&lt;=0),"",EDATE(TODAY(),ROUNDUP(E168/H168,0)))</x:f>
      </x:c>
    </x:row>
    <x:row r="169">
      <x:c r="A169" s="38" t="str"/>
      <x:c r="B169" s="38" t="str"/>
      <x:c r="C169" s="39"/>
      <x:c r="D169" s="39"/>
      <x:c r="E169" s="39" t="str">
        <x:f>IF(C169="","",C169-D169)</x:f>
      </x:c>
      <x:c r="F169" s="46"/>
      <x:c r="G169" s="40" t="str">
        <x:f>IFERROR(D169/C169,"")</x:f>
      </x:c>
      <x:c r="H169" s="39"/>
      <x:c r="I169" s="46" t="str">
        <x:f>IF(OR(E169&lt;=0,H169&lt;=0),"",EDATE(TODAY(),ROUNDUP(E169/H169,0)))</x:f>
      </x:c>
    </x:row>
    <x:row r="170">
      <x:c r="A170" s="38" t="str"/>
      <x:c r="B170" s="38" t="str"/>
      <x:c r="C170" s="39"/>
      <x:c r="D170" s="39"/>
      <x:c r="E170" s="39" t="str">
        <x:f>IF(C170="","",C170-D170)</x:f>
      </x:c>
      <x:c r="F170" s="46"/>
      <x:c r="G170" s="40" t="str">
        <x:f>IFERROR(D170/C170,"")</x:f>
      </x:c>
      <x:c r="H170" s="39"/>
      <x:c r="I170" s="46" t="str">
        <x:f>IF(OR(E170&lt;=0,H170&lt;=0),"",EDATE(TODAY(),ROUNDUP(E170/H170,0)))</x:f>
      </x:c>
    </x:row>
    <x:row r="171">
      <x:c r="A171" s="38" t="str"/>
      <x:c r="B171" s="38" t="str"/>
      <x:c r="C171" s="39"/>
      <x:c r="D171" s="39"/>
      <x:c r="E171" s="39" t="str">
        <x:f>IF(C171="","",C171-D171)</x:f>
      </x:c>
      <x:c r="F171" s="46"/>
      <x:c r="G171" s="40" t="str">
        <x:f>IFERROR(D171/C171,"")</x:f>
      </x:c>
      <x:c r="H171" s="39"/>
      <x:c r="I171" s="46" t="str">
        <x:f>IF(OR(E171&lt;=0,H171&lt;=0),"",EDATE(TODAY(),ROUNDUP(E171/H171,0)))</x:f>
      </x:c>
    </x:row>
    <x:row r="172">
      <x:c r="A172" s="38" t="str"/>
      <x:c r="B172" s="38" t="str"/>
      <x:c r="C172" s="39"/>
      <x:c r="D172" s="39"/>
      <x:c r="E172" s="39" t="str">
        <x:f>IF(C172="","",C172-D172)</x:f>
      </x:c>
      <x:c r="F172" s="46"/>
      <x:c r="G172" s="40" t="str">
        <x:f>IFERROR(D172/C172,"")</x:f>
      </x:c>
      <x:c r="H172" s="39"/>
      <x:c r="I172" s="46" t="str">
        <x:f>IF(OR(E172&lt;=0,H172&lt;=0),"",EDATE(TODAY(),ROUNDUP(E172/H172,0)))</x:f>
      </x:c>
    </x:row>
    <x:row r="173">
      <x:c r="A173" s="38" t="str"/>
      <x:c r="B173" s="38" t="str"/>
      <x:c r="C173" s="39"/>
      <x:c r="D173" s="39"/>
      <x:c r="E173" s="39" t="str">
        <x:f>IF(C173="","",C173-D173)</x:f>
      </x:c>
      <x:c r="F173" s="46"/>
      <x:c r="G173" s="40" t="str">
        <x:f>IFERROR(D173/C173,"")</x:f>
      </x:c>
      <x:c r="H173" s="39"/>
      <x:c r="I173" s="46" t="str">
        <x:f>IF(OR(E173&lt;=0,H173&lt;=0),"",EDATE(TODAY(),ROUNDUP(E173/H173,0)))</x:f>
      </x:c>
    </x:row>
    <x:row r="174">
      <x:c r="A174" s="38" t="str"/>
      <x:c r="B174" s="38" t="str"/>
      <x:c r="C174" s="39"/>
      <x:c r="D174" s="39"/>
      <x:c r="E174" s="39" t="str">
        <x:f>IF(C174="","",C174-D174)</x:f>
      </x:c>
      <x:c r="F174" s="46"/>
      <x:c r="G174" s="40" t="str">
        <x:f>IFERROR(D174/C174,"")</x:f>
      </x:c>
      <x:c r="H174" s="39"/>
      <x:c r="I174" s="46" t="str">
        <x:f>IF(OR(E174&lt;=0,H174&lt;=0),"",EDATE(TODAY(),ROUNDUP(E174/H174,0)))</x:f>
      </x:c>
    </x:row>
    <x:row r="175">
      <x:c r="A175" s="38" t="str"/>
      <x:c r="B175" s="38" t="str"/>
      <x:c r="C175" s="39"/>
      <x:c r="D175" s="39"/>
      <x:c r="E175" s="39" t="str">
        <x:f>IF(C175="","",C175-D175)</x:f>
      </x:c>
      <x:c r="F175" s="46"/>
      <x:c r="G175" s="40" t="str">
        <x:f>IFERROR(D175/C175,"")</x:f>
      </x:c>
      <x:c r="H175" s="39"/>
      <x:c r="I175" s="46" t="str">
        <x:f>IF(OR(E175&lt;=0,H175&lt;=0),"",EDATE(TODAY(),ROUNDUP(E175/H175,0)))</x:f>
      </x:c>
    </x:row>
    <x:row r="176">
      <x:c r="A176" s="38" t="str"/>
      <x:c r="B176" s="38" t="str"/>
      <x:c r="C176" s="39"/>
      <x:c r="D176" s="39"/>
      <x:c r="E176" s="39" t="str">
        <x:f>IF(C176="","",C176-D176)</x:f>
      </x:c>
      <x:c r="F176" s="46"/>
      <x:c r="G176" s="40" t="str">
        <x:f>IFERROR(D176/C176,"")</x:f>
      </x:c>
      <x:c r="H176" s="39"/>
      <x:c r="I176" s="46" t="str">
        <x:f>IF(OR(E176&lt;=0,H176&lt;=0),"",EDATE(TODAY(),ROUNDUP(E176/H176,0)))</x:f>
      </x:c>
    </x:row>
    <x:row r="177">
      <x:c r="A177" s="38" t="str"/>
      <x:c r="B177" s="38" t="str"/>
      <x:c r="C177" s="39"/>
      <x:c r="D177" s="39"/>
      <x:c r="E177" s="39" t="str">
        <x:f>IF(C177="","",C177-D177)</x:f>
      </x:c>
      <x:c r="F177" s="46"/>
      <x:c r="G177" s="40" t="str">
        <x:f>IFERROR(D177/C177,"")</x:f>
      </x:c>
      <x:c r="H177" s="39"/>
      <x:c r="I177" s="46" t="str">
        <x:f>IF(OR(E177&lt;=0,H177&lt;=0),"",EDATE(TODAY(),ROUNDUP(E177/H177,0)))</x:f>
      </x:c>
    </x:row>
    <x:row r="178">
      <x:c r="A178" s="38" t="str"/>
      <x:c r="B178" s="38" t="str"/>
      <x:c r="C178" s="39"/>
      <x:c r="D178" s="39"/>
      <x:c r="E178" s="39" t="str">
        <x:f>IF(C178="","",C178-D178)</x:f>
      </x:c>
      <x:c r="F178" s="46"/>
      <x:c r="G178" s="40" t="str">
        <x:f>IFERROR(D178/C178,"")</x:f>
      </x:c>
      <x:c r="H178" s="39"/>
      <x:c r="I178" s="46" t="str">
        <x:f>IF(OR(E178&lt;=0,H178&lt;=0),"",EDATE(TODAY(),ROUNDUP(E178/H178,0)))</x:f>
      </x:c>
    </x:row>
    <x:row r="179">
      <x:c r="A179" s="38" t="str"/>
      <x:c r="B179" s="38" t="str"/>
      <x:c r="C179" s="39"/>
      <x:c r="D179" s="39"/>
      <x:c r="E179" s="39" t="str">
        <x:f>IF(C179="","",C179-D179)</x:f>
      </x:c>
      <x:c r="F179" s="46"/>
      <x:c r="G179" s="40" t="str">
        <x:f>IFERROR(D179/C179,"")</x:f>
      </x:c>
      <x:c r="H179" s="39"/>
      <x:c r="I179" s="46" t="str">
        <x:f>IF(OR(E179&lt;=0,H179&lt;=0),"",EDATE(TODAY(),ROUNDUP(E179/H179,0)))</x:f>
      </x:c>
    </x:row>
    <x:row r="180">
      <x:c r="A180" s="38" t="str"/>
      <x:c r="B180" s="38" t="str"/>
      <x:c r="C180" s="39"/>
      <x:c r="D180" s="39"/>
      <x:c r="E180" s="39" t="str">
        <x:f>IF(C180="","",C180-D180)</x:f>
      </x:c>
      <x:c r="F180" s="46"/>
      <x:c r="G180" s="40" t="str">
        <x:f>IFERROR(D180/C180,"")</x:f>
      </x:c>
      <x:c r="H180" s="39"/>
      <x:c r="I180" s="46" t="str">
        <x:f>IF(OR(E180&lt;=0,H180&lt;=0),"",EDATE(TODAY(),ROUNDUP(E180/H180,0)))</x:f>
      </x:c>
    </x:row>
    <x:row r="181">
      <x:c r="A181" s="38" t="str"/>
      <x:c r="B181" s="38" t="str"/>
      <x:c r="C181" s="39"/>
      <x:c r="D181" s="39"/>
      <x:c r="E181" s="39" t="str">
        <x:f>IF(C181="","",C181-D181)</x:f>
      </x:c>
      <x:c r="F181" s="46"/>
      <x:c r="G181" s="40" t="str">
        <x:f>IFERROR(D181/C181,"")</x:f>
      </x:c>
      <x:c r="H181" s="39"/>
      <x:c r="I181" s="46" t="str">
        <x:f>IF(OR(E181&lt;=0,H181&lt;=0),"",EDATE(TODAY(),ROUNDUP(E181/H181,0)))</x:f>
      </x:c>
    </x:row>
    <x:row r="182">
      <x:c r="A182" s="38" t="str"/>
      <x:c r="B182" s="38" t="str"/>
      <x:c r="C182" s="39"/>
      <x:c r="D182" s="39"/>
      <x:c r="E182" s="39" t="str">
        <x:f>IF(C182="","",C182-D182)</x:f>
      </x:c>
      <x:c r="F182" s="46"/>
      <x:c r="G182" s="40" t="str">
        <x:f>IFERROR(D182/C182,"")</x:f>
      </x:c>
      <x:c r="H182" s="39"/>
      <x:c r="I182" s="46" t="str">
        <x:f>IF(OR(E182&lt;=0,H182&lt;=0),"",EDATE(TODAY(),ROUNDUP(E182/H182,0)))</x:f>
      </x:c>
    </x:row>
    <x:row r="183">
      <x:c r="A183" s="38" t="str"/>
      <x:c r="B183" s="38" t="str"/>
      <x:c r="C183" s="39"/>
      <x:c r="D183" s="39"/>
      <x:c r="E183" s="39" t="str">
        <x:f>IF(C183="","",C183-D183)</x:f>
      </x:c>
      <x:c r="F183" s="46"/>
      <x:c r="G183" s="40" t="str">
        <x:f>IFERROR(D183/C183,"")</x:f>
      </x:c>
      <x:c r="H183" s="39"/>
      <x:c r="I183" s="46" t="str">
        <x:f>IF(OR(E183&lt;=0,H183&lt;=0),"",EDATE(TODAY(),ROUNDUP(E183/H183,0)))</x:f>
      </x:c>
    </x:row>
    <x:row r="184">
      <x:c r="A184" s="38" t="str"/>
      <x:c r="B184" s="38" t="str"/>
      <x:c r="C184" s="39"/>
      <x:c r="D184" s="39"/>
      <x:c r="E184" s="39" t="str">
        <x:f>IF(C184="","",C184-D184)</x:f>
      </x:c>
      <x:c r="F184" s="46"/>
      <x:c r="G184" s="40" t="str">
        <x:f>IFERROR(D184/C184,"")</x:f>
      </x:c>
      <x:c r="H184" s="39"/>
      <x:c r="I184" s="46" t="str">
        <x:f>IF(OR(E184&lt;=0,H184&lt;=0),"",EDATE(TODAY(),ROUNDUP(E184/H184,0)))</x:f>
      </x:c>
    </x:row>
    <x:row r="185">
      <x:c r="A185" s="38" t="str"/>
      <x:c r="B185" s="38" t="str"/>
      <x:c r="C185" s="39"/>
      <x:c r="D185" s="39"/>
      <x:c r="E185" s="39" t="str">
        <x:f>IF(C185="","",C185-D185)</x:f>
      </x:c>
      <x:c r="F185" s="46"/>
      <x:c r="G185" s="40" t="str">
        <x:f>IFERROR(D185/C185,"")</x:f>
      </x:c>
      <x:c r="H185" s="39"/>
      <x:c r="I185" s="46" t="str">
        <x:f>IF(OR(E185&lt;=0,H185&lt;=0),"",EDATE(TODAY(),ROUNDUP(E185/H185,0)))</x:f>
      </x:c>
    </x:row>
    <x:row r="186">
      <x:c r="A186" s="38" t="str"/>
      <x:c r="B186" s="38" t="str"/>
      <x:c r="C186" s="39"/>
      <x:c r="D186" s="39"/>
      <x:c r="E186" s="39" t="str">
        <x:f>IF(C186="","",C186-D186)</x:f>
      </x:c>
      <x:c r="F186" s="46"/>
      <x:c r="G186" s="40" t="str">
        <x:f>IFERROR(D186/C186,"")</x:f>
      </x:c>
      <x:c r="H186" s="39"/>
      <x:c r="I186" s="46" t="str">
        <x:f>IF(OR(E186&lt;=0,H186&lt;=0),"",EDATE(TODAY(),ROUNDUP(E186/H186,0)))</x:f>
      </x:c>
    </x:row>
    <x:row r="187">
      <x:c r="A187" s="38" t="str"/>
      <x:c r="B187" s="38" t="str"/>
      <x:c r="C187" s="39"/>
      <x:c r="D187" s="39"/>
      <x:c r="E187" s="39" t="str">
        <x:f>IF(C187="","",C187-D187)</x:f>
      </x:c>
      <x:c r="F187" s="46"/>
      <x:c r="G187" s="40" t="str">
        <x:f>IFERROR(D187/C187,"")</x:f>
      </x:c>
      <x:c r="H187" s="39"/>
      <x:c r="I187" s="46" t="str">
        <x:f>IF(OR(E187&lt;=0,H187&lt;=0),"",EDATE(TODAY(),ROUNDUP(E187/H187,0)))</x:f>
      </x:c>
    </x:row>
    <x:row r="188">
      <x:c r="A188" s="38" t="str"/>
      <x:c r="B188" s="38" t="str"/>
      <x:c r="C188" s="39"/>
      <x:c r="D188" s="39"/>
      <x:c r="E188" s="39" t="str">
        <x:f>IF(C188="","",C188-D188)</x:f>
      </x:c>
      <x:c r="F188" s="46"/>
      <x:c r="G188" s="40" t="str">
        <x:f>IFERROR(D188/C188,"")</x:f>
      </x:c>
      <x:c r="H188" s="39"/>
      <x:c r="I188" s="46" t="str">
        <x:f>IF(OR(E188&lt;=0,H188&lt;=0),"",EDATE(TODAY(),ROUNDUP(E188/H188,0)))</x:f>
      </x:c>
    </x:row>
    <x:row r="189">
      <x:c r="A189" s="38" t="str"/>
      <x:c r="B189" s="38" t="str"/>
      <x:c r="C189" s="39"/>
      <x:c r="D189" s="39"/>
      <x:c r="E189" s="39" t="str">
        <x:f>IF(C189="","",C189-D189)</x:f>
      </x:c>
      <x:c r="F189" s="46"/>
      <x:c r="G189" s="40" t="str">
        <x:f>IFERROR(D189/C189,"")</x:f>
      </x:c>
      <x:c r="H189" s="39"/>
      <x:c r="I189" s="46" t="str">
        <x:f>IF(OR(E189&lt;=0,H189&lt;=0),"",EDATE(TODAY(),ROUNDUP(E189/H189,0)))</x:f>
      </x:c>
    </x:row>
    <x:row r="190">
      <x:c r="A190" s="38" t="str"/>
      <x:c r="B190" s="38" t="str"/>
      <x:c r="C190" s="39"/>
      <x:c r="D190" s="39"/>
      <x:c r="E190" s="39" t="str">
        <x:f>IF(C190="","",C190-D190)</x:f>
      </x:c>
      <x:c r="F190" s="46"/>
      <x:c r="G190" s="40" t="str">
        <x:f>IFERROR(D190/C190,"")</x:f>
      </x:c>
      <x:c r="H190" s="39"/>
      <x:c r="I190" s="46" t="str">
        <x:f>IF(OR(E190&lt;=0,H190&lt;=0),"",EDATE(TODAY(),ROUNDUP(E190/H190,0)))</x:f>
      </x:c>
    </x:row>
    <x:row r="191">
      <x:c r="A191" s="38" t="str"/>
      <x:c r="B191" s="38" t="str"/>
      <x:c r="C191" s="39"/>
      <x:c r="D191" s="39"/>
      <x:c r="E191" s="39" t="str">
        <x:f>IF(C191="","",C191-D191)</x:f>
      </x:c>
      <x:c r="F191" s="46"/>
      <x:c r="G191" s="40" t="str">
        <x:f>IFERROR(D191/C191,"")</x:f>
      </x:c>
      <x:c r="H191" s="39"/>
      <x:c r="I191" s="46" t="str">
        <x:f>IF(OR(E191&lt;=0,H191&lt;=0),"",EDATE(TODAY(),ROUNDUP(E191/H191,0)))</x:f>
      </x:c>
    </x:row>
    <x:row r="192">
      <x:c r="A192" s="38" t="str"/>
      <x:c r="B192" s="38" t="str"/>
      <x:c r="C192" s="39"/>
      <x:c r="D192" s="39"/>
      <x:c r="E192" s="39" t="str">
        <x:f>IF(C192="","",C192-D192)</x:f>
      </x:c>
      <x:c r="F192" s="46"/>
      <x:c r="G192" s="40" t="str">
        <x:f>IFERROR(D192/C192,"")</x:f>
      </x:c>
      <x:c r="H192" s="39"/>
      <x:c r="I192" s="46" t="str">
        <x:f>IF(OR(E192&lt;=0,H192&lt;=0),"",EDATE(TODAY(),ROUNDUP(E192/H192,0)))</x:f>
      </x:c>
    </x:row>
    <x:row r="193">
      <x:c r="A193" s="38" t="str"/>
      <x:c r="B193" s="38" t="str"/>
      <x:c r="C193" s="39"/>
      <x:c r="D193" s="39"/>
      <x:c r="E193" s="39" t="str">
        <x:f>IF(C193="","",C193-D193)</x:f>
      </x:c>
      <x:c r="F193" s="46"/>
      <x:c r="G193" s="40" t="str">
        <x:f>IFERROR(D193/C193,"")</x:f>
      </x:c>
      <x:c r="H193" s="39"/>
      <x:c r="I193" s="46" t="str">
        <x:f>IF(OR(E193&lt;=0,H193&lt;=0),"",EDATE(TODAY(),ROUNDUP(E193/H193,0)))</x:f>
      </x:c>
    </x:row>
    <x:row r="194">
      <x:c r="A194" s="38" t="str"/>
      <x:c r="B194" s="38" t="str"/>
      <x:c r="C194" s="39"/>
      <x:c r="D194" s="39"/>
      <x:c r="E194" s="39" t="str">
        <x:f>IF(C194="","",C194-D194)</x:f>
      </x:c>
      <x:c r="F194" s="46"/>
      <x:c r="G194" s="40" t="str">
        <x:f>IFERROR(D194/C194,"")</x:f>
      </x:c>
      <x:c r="H194" s="39"/>
      <x:c r="I194" s="46" t="str">
        <x:f>IF(OR(E194&lt;=0,H194&lt;=0),"",EDATE(TODAY(),ROUNDUP(E194/H194,0)))</x:f>
      </x:c>
    </x:row>
    <x:row r="195">
      <x:c r="A195" s="38" t="str"/>
      <x:c r="B195" s="38" t="str"/>
      <x:c r="C195" s="39"/>
      <x:c r="D195" s="39"/>
      <x:c r="E195" s="39" t="str">
        <x:f>IF(C195="","",C195-D195)</x:f>
      </x:c>
      <x:c r="F195" s="46"/>
      <x:c r="G195" s="40" t="str">
        <x:f>IFERROR(D195/C195,"")</x:f>
      </x:c>
      <x:c r="H195" s="39"/>
      <x:c r="I195" s="46" t="str">
        <x:f>IF(OR(E195&lt;=0,H195&lt;=0),"",EDATE(TODAY(),ROUNDUP(E195/H195,0)))</x:f>
      </x:c>
    </x:row>
    <x:row r="196">
      <x:c r="A196" s="38" t="str"/>
      <x:c r="B196" s="38" t="str"/>
      <x:c r="C196" s="39"/>
      <x:c r="D196" s="39"/>
      <x:c r="E196" s="39" t="str">
        <x:f>IF(C196="","",C196-D196)</x:f>
      </x:c>
      <x:c r="F196" s="46"/>
      <x:c r="G196" s="40" t="str">
        <x:f>IFERROR(D196/C196,"")</x:f>
      </x:c>
      <x:c r="H196" s="39"/>
      <x:c r="I196" s="46" t="str">
        <x:f>IF(OR(E196&lt;=0,H196&lt;=0),"",EDATE(TODAY(),ROUNDUP(E196/H196,0)))</x:f>
      </x:c>
    </x:row>
    <x:row r="197">
      <x:c r="A197" s="38" t="str"/>
      <x:c r="B197" s="38" t="str"/>
      <x:c r="C197" s="39"/>
      <x:c r="D197" s="39"/>
      <x:c r="E197" s="39" t="str">
        <x:f>IF(C197="","",C197-D197)</x:f>
      </x:c>
      <x:c r="F197" s="46"/>
      <x:c r="G197" s="40" t="str">
        <x:f>IFERROR(D197/C197,"")</x:f>
      </x:c>
      <x:c r="H197" s="39"/>
      <x:c r="I197" s="46" t="str">
        <x:f>IF(OR(E197&lt;=0,H197&lt;=0),"",EDATE(TODAY(),ROUNDUP(E197/H197,0)))</x:f>
      </x:c>
    </x:row>
    <x:row r="198">
      <x:c r="A198" s="38" t="str"/>
      <x:c r="B198" s="38" t="str"/>
      <x:c r="C198" s="39"/>
      <x:c r="D198" s="39"/>
      <x:c r="E198" s="39" t="str">
        <x:f>IF(C198="","",C198-D198)</x:f>
      </x:c>
      <x:c r="F198" s="46"/>
      <x:c r="G198" s="40" t="str">
        <x:f>IFERROR(D198/C198,"")</x:f>
      </x:c>
      <x:c r="H198" s="39"/>
      <x:c r="I198" s="46" t="str">
        <x:f>IF(OR(E198&lt;=0,H198&lt;=0),"",EDATE(TODAY(),ROUNDUP(E198/H198,0)))</x:f>
      </x:c>
    </x:row>
    <x:row r="199">
      <x:c r="A199" s="38" t="str"/>
      <x:c r="B199" s="38" t="str"/>
      <x:c r="C199" s="39"/>
      <x:c r="D199" s="39"/>
      <x:c r="E199" s="39" t="str">
        <x:f>IF(C199="","",C199-D199)</x:f>
      </x:c>
      <x:c r="F199" s="46"/>
      <x:c r="G199" s="40" t="str">
        <x:f>IFERROR(D199/C199,"")</x:f>
      </x:c>
      <x:c r="H199" s="39"/>
      <x:c r="I199" s="46" t="str">
        <x:f>IF(OR(E199&lt;=0,H199&lt;=0),"",EDATE(TODAY(),ROUNDUP(E199/H199,0)))</x:f>
      </x:c>
    </x:row>
    <x:row r="200">
      <x:c r="A200" s="38" t="str"/>
      <x:c r="B200" s="38" t="str"/>
      <x:c r="C200" s="39"/>
      <x:c r="D200" s="39"/>
      <x:c r="E200" s="39" t="str">
        <x:f>IF(C200="","",C200-D200)</x:f>
      </x:c>
      <x:c r="F200" s="46"/>
      <x:c r="G200" s="40" t="str">
        <x:f>IFERROR(D200/C200,"")</x:f>
      </x:c>
      <x:c r="H200" s="39"/>
      <x:c r="I200" s="46" t="str">
        <x:f>IF(OR(E200&lt;=0,H200&lt;=0),"",EDATE(TODAY(),ROUNDUP(E200/H200,0)))</x:f>
      </x:c>
    </x:row>
    <x:row r="201">
      <x:c r="A201" s="38" t="str"/>
      <x:c r="B201" s="38" t="str"/>
      <x:c r="C201" s="39"/>
      <x:c r="D201" s="39"/>
      <x:c r="E201" s="39" t="str">
        <x:f>IF(C201="","",C201-D201)</x:f>
      </x:c>
      <x:c r="F201" s="46"/>
      <x:c r="G201" s="40" t="str">
        <x:f>IFERROR(D201/C201,"")</x:f>
      </x:c>
      <x:c r="H201" s="39"/>
      <x:c r="I201" s="46" t="str">
        <x:f>IF(OR(E201&lt;=0,H201&lt;=0),"",EDATE(TODAY(),ROUNDUP(E201/H201,0)))</x:f>
      </x:c>
    </x:row>
    <x:row r="202">
      <x:c r="A202" s="38" t="str"/>
      <x:c r="B202" s="38" t="str"/>
      <x:c r="C202" s="39"/>
      <x:c r="D202" s="39"/>
      <x:c r="E202" s="39" t="str">
        <x:f>IF(C202="","",C202-D202)</x:f>
      </x:c>
      <x:c r="F202" s="46"/>
      <x:c r="G202" s="40" t="str">
        <x:f>IFERROR(D202/C202,"")</x:f>
      </x:c>
      <x:c r="H202" s="39"/>
      <x:c r="I202" s="46" t="str">
        <x:f>IF(OR(E202&lt;=0,H202&lt;=0),"",EDATE(TODAY(),ROUNDUP(E202/H202,0)))</x:f>
      </x:c>
    </x:row>
    <x:row r="203">
      <x:c r="A203" s="38" t="str"/>
      <x:c r="B203" s="38" t="str"/>
      <x:c r="C203" s="39"/>
      <x:c r="D203" s="39"/>
      <x:c r="E203" s="39" t="str">
        <x:f>IF(C203="","",C203-D203)</x:f>
      </x:c>
      <x:c r="F203" s="46"/>
      <x:c r="G203" s="40" t="str">
        <x:f>IFERROR(D203/C203,"")</x:f>
      </x:c>
      <x:c r="H203" s="39"/>
      <x:c r="I203" s="46" t="str">
        <x:f>IF(OR(E203&lt;=0,H203&lt;=0),"",EDATE(TODAY(),ROUNDUP(E203/H203,0)))</x:f>
      </x:c>
    </x:row>
    <x:row r="204">
      <x:c r="A204" s="38" t="str"/>
      <x:c r="B204" s="38" t="str"/>
      <x:c r="C204" s="39"/>
      <x:c r="D204" s="39"/>
      <x:c r="E204" s="39" t="str">
        <x:f>IF(C204="","",C204-D204)</x:f>
      </x:c>
      <x:c r="F204" s="46"/>
      <x:c r="G204" s="40" t="str">
        <x:f>IFERROR(D204/C204,"")</x:f>
      </x:c>
      <x:c r="H204" s="39"/>
      <x:c r="I204" s="46" t="str">
        <x:f>IF(OR(E204&lt;=0,H204&lt;=0),"",EDATE(TODAY(),ROUNDUP(E204/H204,0)))</x:f>
      </x:c>
    </x:row>
    <x:row r="205">
      <x:c r="A205" s="38" t="str"/>
      <x:c r="B205" s="38" t="str"/>
      <x:c r="C205" s="39"/>
      <x:c r="D205" s="39"/>
      <x:c r="E205" s="39" t="str">
        <x:f>IF(C205="","",C205-D205)</x:f>
      </x:c>
      <x:c r="F205" s="46"/>
      <x:c r="G205" s="40" t="str">
        <x:f>IFERROR(D205/C205,"")</x:f>
      </x:c>
      <x:c r="H205" s="39"/>
      <x:c r="I205" s="46" t="str">
        <x:f>IF(OR(E205&lt;=0,H205&lt;=0),"",EDATE(TODAY(),ROUNDUP(E205/H205,0)))</x:f>
      </x:c>
    </x:row>
    <x:row r="206">
      <x:c r="A206" s="38" t="str"/>
      <x:c r="B206" s="38" t="str"/>
      <x:c r="C206" s="39"/>
      <x:c r="D206" s="39"/>
      <x:c r="E206" s="39" t="str">
        <x:f>IF(C206="","",C206-D206)</x:f>
      </x:c>
      <x:c r="F206" s="46"/>
      <x:c r="G206" s="40" t="str">
        <x:f>IFERROR(D206/C206,"")</x:f>
      </x:c>
      <x:c r="H206" s="39"/>
      <x:c r="I206" s="46" t="str">
        <x:f>IF(OR(E206&lt;=0,H206&lt;=0),"",EDATE(TODAY(),ROUNDUP(E206/H206,0)))</x:f>
      </x:c>
    </x:row>
    <x:row r="207">
      <x:c r="A207" s="38" t="str"/>
      <x:c r="B207" s="38" t="str"/>
      <x:c r="C207" s="39"/>
      <x:c r="D207" s="39"/>
      <x:c r="E207" s="39" t="str">
        <x:f>IF(C207="","",C207-D207)</x:f>
      </x:c>
      <x:c r="F207" s="46"/>
      <x:c r="G207" s="40" t="str">
        <x:f>IFERROR(D207/C207,"")</x:f>
      </x:c>
      <x:c r="H207" s="39"/>
      <x:c r="I207" s="46" t="str">
        <x:f>IF(OR(E207&lt;=0,H207&lt;=0),"",EDATE(TODAY(),ROUNDUP(E207/H207,0)))</x:f>
      </x:c>
    </x:row>
    <x:row r="208">
      <x:c r="A208" s="38" t="str"/>
      <x:c r="B208" s="38" t="str"/>
      <x:c r="C208" s="39"/>
      <x:c r="D208" s="39"/>
      <x:c r="E208" s="39" t="str">
        <x:f>IF(C208="","",C208-D208)</x:f>
      </x:c>
      <x:c r="F208" s="46"/>
      <x:c r="G208" s="40" t="str">
        <x:f>IFERROR(D208/C208,"")</x:f>
      </x:c>
      <x:c r="H208" s="39"/>
      <x:c r="I208" s="46" t="str">
        <x:f>IF(OR(E208&lt;=0,H208&lt;=0),"",EDATE(TODAY(),ROUNDUP(E208/H208,0)))</x:f>
      </x:c>
    </x:row>
    <x:row r="209">
      <x:c r="A209" s="38" t="str"/>
      <x:c r="B209" s="38" t="str"/>
      <x:c r="C209" s="39"/>
      <x:c r="D209" s="39"/>
      <x:c r="E209" s="39" t="str">
        <x:f>IF(C209="","",C209-D209)</x:f>
      </x:c>
      <x:c r="F209" s="46"/>
      <x:c r="G209" s="40" t="str">
        <x:f>IFERROR(D209/C209,"")</x:f>
      </x:c>
      <x:c r="H209" s="39"/>
      <x:c r="I209" s="46" t="str">
        <x:f>IF(OR(E209&lt;=0,H209&lt;=0),"",EDATE(TODAY(),ROUNDUP(E209/H209,0)))</x:f>
      </x:c>
    </x:row>
    <x:row r="210">
      <x:c r="A210" s="38" t="str"/>
      <x:c r="B210" s="38" t="str"/>
      <x:c r="C210" s="39"/>
      <x:c r="D210" s="39"/>
      <x:c r="E210" s="39" t="str">
        <x:f>IF(C210="","",C210-D210)</x:f>
      </x:c>
      <x:c r="F210" s="46"/>
      <x:c r="G210" s="40" t="str">
        <x:f>IFERROR(D210/C210,"")</x:f>
      </x:c>
      <x:c r="H210" s="39"/>
      <x:c r="I210" s="46" t="str">
        <x:f>IF(OR(E210&lt;=0,H210&lt;=0),"",EDATE(TODAY(),ROUNDUP(E210/H210,0)))</x:f>
      </x:c>
    </x:row>
    <x:row r="211">
      <x:c r="A211" s="38" t="str"/>
      <x:c r="B211" s="38" t="str"/>
      <x:c r="C211" s="39"/>
      <x:c r="D211" s="39"/>
      <x:c r="E211" s="39" t="str">
        <x:f>IF(C211="","",C211-D211)</x:f>
      </x:c>
      <x:c r="F211" s="46"/>
      <x:c r="G211" s="40" t="str">
        <x:f>IFERROR(D211/C211,"")</x:f>
      </x:c>
      <x:c r="H211" s="39"/>
      <x:c r="I211" s="46" t="str">
        <x:f>IF(OR(E211&lt;=0,H211&lt;=0),"",EDATE(TODAY(),ROUNDUP(E211/H211,0)))</x:f>
      </x:c>
    </x:row>
    <x:row r="212">
      <x:c r="A212" s="38" t="str"/>
      <x:c r="B212" s="38" t="str"/>
      <x:c r="C212" s="39"/>
      <x:c r="D212" s="39"/>
      <x:c r="E212" s="39" t="str">
        <x:f>IF(C212="","",C212-D212)</x:f>
      </x:c>
      <x:c r="F212" s="46"/>
      <x:c r="G212" s="40" t="str">
        <x:f>IFERROR(D212/C212,"")</x:f>
      </x:c>
      <x:c r="H212" s="39"/>
      <x:c r="I212" s="46" t="str">
        <x:f>IF(OR(E212&lt;=0,H212&lt;=0),"",EDATE(TODAY(),ROUNDUP(E212/H212,0)))</x:f>
      </x:c>
    </x:row>
    <x:row r="213">
      <x:c r="A213" s="38" t="str"/>
      <x:c r="B213" s="38" t="str"/>
      <x:c r="C213" s="39"/>
      <x:c r="D213" s="39"/>
      <x:c r="E213" s="39" t="str">
        <x:f>IF(C213="","",C213-D213)</x:f>
      </x:c>
      <x:c r="F213" s="46"/>
      <x:c r="G213" s="40" t="str">
        <x:f>IFERROR(D213/C213,"")</x:f>
      </x:c>
      <x:c r="H213" s="39"/>
      <x:c r="I213" s="46" t="str">
        <x:f>IF(OR(E213&lt;=0,H213&lt;=0),"",EDATE(TODAY(),ROUNDUP(E213/H213,0)))</x:f>
      </x:c>
    </x:row>
    <x:row r="214">
      <x:c r="A214" s="38" t="str"/>
      <x:c r="B214" s="38" t="str"/>
      <x:c r="C214" s="39"/>
      <x:c r="D214" s="39"/>
      <x:c r="E214" s="39" t="str">
        <x:f>IF(C214="","",C214-D214)</x:f>
      </x:c>
      <x:c r="F214" s="46"/>
      <x:c r="G214" s="40" t="str">
        <x:f>IFERROR(D214/C214,"")</x:f>
      </x:c>
      <x:c r="H214" s="39"/>
      <x:c r="I214" s="46" t="str">
        <x:f>IF(OR(E214&lt;=0,H214&lt;=0),"",EDATE(TODAY(),ROUNDUP(E214/H214,0)))</x:f>
      </x:c>
    </x:row>
    <x:row r="215">
      <x:c r="A215" s="38" t="str"/>
      <x:c r="B215" s="38" t="str"/>
      <x:c r="C215" s="39"/>
      <x:c r="D215" s="39"/>
      <x:c r="E215" s="39" t="str">
        <x:f>IF(C215="","",C215-D215)</x:f>
      </x:c>
      <x:c r="F215" s="46"/>
      <x:c r="G215" s="40" t="str">
        <x:f>IFERROR(D215/C215,"")</x:f>
      </x:c>
      <x:c r="H215" s="39"/>
      <x:c r="I215" s="46" t="str">
        <x:f>IF(OR(E215&lt;=0,H215&lt;=0),"",EDATE(TODAY(),ROUNDUP(E215/H215,0)))</x:f>
      </x:c>
    </x:row>
    <x:row r="216">
      <x:c r="A216" s="38" t="str"/>
      <x:c r="B216" s="38" t="str"/>
      <x:c r="C216" s="39"/>
      <x:c r="D216" s="39"/>
      <x:c r="E216" s="39" t="str">
        <x:f>IF(C216="","",C216-D216)</x:f>
      </x:c>
      <x:c r="F216" s="46"/>
      <x:c r="G216" s="40" t="str">
        <x:f>IFERROR(D216/C216,"")</x:f>
      </x:c>
      <x:c r="H216" s="39"/>
      <x:c r="I216" s="46" t="str">
        <x:f>IF(OR(E216&lt;=0,H216&lt;=0),"",EDATE(TODAY(),ROUNDUP(E216/H216,0)))</x:f>
      </x:c>
    </x:row>
    <x:row r="217">
      <x:c r="A217" s="38" t="str"/>
      <x:c r="B217" s="38" t="str"/>
      <x:c r="C217" s="39"/>
      <x:c r="D217" s="39"/>
      <x:c r="E217" s="39" t="str">
        <x:f>IF(C217="","",C217-D217)</x:f>
      </x:c>
      <x:c r="F217" s="46"/>
      <x:c r="G217" s="40" t="str">
        <x:f>IFERROR(D217/C217,"")</x:f>
      </x:c>
      <x:c r="H217" s="39"/>
      <x:c r="I217" s="46" t="str">
        <x:f>IF(OR(E217&lt;=0,H217&lt;=0),"",EDATE(TODAY(),ROUNDUP(E217/H217,0)))</x:f>
      </x:c>
    </x:row>
    <x:row r="218">
      <x:c r="A218" s="38" t="str"/>
      <x:c r="B218" s="38" t="str"/>
      <x:c r="C218" s="39"/>
      <x:c r="D218" s="39"/>
      <x:c r="E218" s="39" t="str">
        <x:f>IF(C218="","",C218-D218)</x:f>
      </x:c>
      <x:c r="F218" s="46"/>
      <x:c r="G218" s="40" t="str">
        <x:f>IFERROR(D218/C218,"")</x:f>
      </x:c>
      <x:c r="H218" s="39"/>
      <x:c r="I218" s="46" t="str">
        <x:f>IF(OR(E218&lt;=0,H218&lt;=0),"",EDATE(TODAY(),ROUNDUP(E218/H218,0)))</x:f>
      </x:c>
    </x:row>
    <x:row r="219">
      <x:c r="A219" s="38" t="str"/>
      <x:c r="B219" s="38" t="str"/>
      <x:c r="C219" s="39"/>
      <x:c r="D219" s="39"/>
      <x:c r="E219" s="39" t="str">
        <x:f>IF(C219="","",C219-D219)</x:f>
      </x:c>
      <x:c r="F219" s="46"/>
      <x:c r="G219" s="40" t="str">
        <x:f>IFERROR(D219/C219,"")</x:f>
      </x:c>
      <x:c r="H219" s="39"/>
      <x:c r="I219" s="46" t="str">
        <x:f>IF(OR(E219&lt;=0,H219&lt;=0),"",EDATE(TODAY(),ROUNDUP(E219/H219,0)))</x:f>
      </x:c>
    </x:row>
    <x:row r="220">
      <x:c r="A220" s="38" t="str"/>
      <x:c r="B220" s="38" t="str"/>
      <x:c r="C220" s="39"/>
      <x:c r="D220" s="39"/>
      <x:c r="E220" s="39" t="str">
        <x:f>IF(C220="","",C220-D220)</x:f>
      </x:c>
      <x:c r="F220" s="46"/>
      <x:c r="G220" s="40" t="str">
        <x:f>IFERROR(D220/C220,"")</x:f>
      </x:c>
      <x:c r="H220" s="39"/>
      <x:c r="I220" s="46" t="str">
        <x:f>IF(OR(E220&lt;=0,H220&lt;=0),"",EDATE(TODAY(),ROUNDUP(E220/H220,0)))</x:f>
      </x:c>
    </x:row>
    <x:row r="221">
      <x:c r="A221" s="38" t="str"/>
      <x:c r="B221" s="38" t="str"/>
      <x:c r="C221" s="39"/>
      <x:c r="D221" s="39"/>
      <x:c r="E221" s="39" t="str">
        <x:f>IF(C221="","",C221-D221)</x:f>
      </x:c>
      <x:c r="F221" s="46"/>
      <x:c r="G221" s="40" t="str">
        <x:f>IFERROR(D221/C221,"")</x:f>
      </x:c>
      <x:c r="H221" s="39"/>
      <x:c r="I221" s="46" t="str">
        <x:f>IF(OR(E221&lt;=0,H221&lt;=0),"",EDATE(TODAY(),ROUNDUP(E221/H221,0)))</x:f>
      </x:c>
    </x:row>
    <x:row r="222">
      <x:c r="A222" s="38" t="str"/>
      <x:c r="B222" s="38" t="str"/>
      <x:c r="C222" s="39"/>
      <x:c r="D222" s="39"/>
      <x:c r="E222" s="39" t="str">
        <x:f>IF(C222="","",C222-D222)</x:f>
      </x:c>
      <x:c r="F222" s="46"/>
      <x:c r="G222" s="40" t="str">
        <x:f>IFERROR(D222/C222,"")</x:f>
      </x:c>
      <x:c r="H222" s="39"/>
      <x:c r="I222" s="46" t="str">
        <x:f>IF(OR(E222&lt;=0,H222&lt;=0),"",EDATE(TODAY(),ROUNDUP(E222/H222,0)))</x:f>
      </x:c>
    </x:row>
    <x:row r="223">
      <x:c r="A223" s="38" t="str"/>
      <x:c r="B223" s="38" t="str"/>
      <x:c r="C223" s="39"/>
      <x:c r="D223" s="39"/>
      <x:c r="E223" s="39" t="str">
        <x:f>IF(C223="","",C223-D223)</x:f>
      </x:c>
      <x:c r="F223" s="46"/>
      <x:c r="G223" s="40" t="str">
        <x:f>IFERROR(D223/C223,"")</x:f>
      </x:c>
      <x:c r="H223" s="39"/>
      <x:c r="I223" s="46" t="str">
        <x:f>IF(OR(E223&lt;=0,H223&lt;=0),"",EDATE(TODAY(),ROUNDUP(E223/H223,0)))</x:f>
      </x:c>
    </x:row>
    <x:row r="224">
      <x:c r="A224" s="38" t="str"/>
      <x:c r="B224" s="38" t="str"/>
      <x:c r="C224" s="39"/>
      <x:c r="D224" s="39"/>
      <x:c r="E224" s="39" t="str">
        <x:f>IF(C224="","",C224-D224)</x:f>
      </x:c>
      <x:c r="F224" s="46"/>
      <x:c r="G224" s="40" t="str">
        <x:f>IFERROR(D224/C224,"")</x:f>
      </x:c>
      <x:c r="H224" s="39"/>
      <x:c r="I224" s="46" t="str">
        <x:f>IF(OR(E224&lt;=0,H224&lt;=0),"",EDATE(TODAY(),ROUNDUP(E224/H224,0)))</x:f>
      </x:c>
    </x:row>
    <x:row r="225">
      <x:c r="A225" s="38" t="str"/>
      <x:c r="B225" s="38" t="str"/>
      <x:c r="C225" s="39"/>
      <x:c r="D225" s="39"/>
      <x:c r="E225" s="39" t="str">
        <x:f>IF(C225="","",C225-D225)</x:f>
      </x:c>
      <x:c r="F225" s="46"/>
      <x:c r="G225" s="40" t="str">
        <x:f>IFERROR(D225/C225,"")</x:f>
      </x:c>
      <x:c r="H225" s="39"/>
      <x:c r="I225" s="46" t="str">
        <x:f>IF(OR(E225&lt;=0,H225&lt;=0),"",EDATE(TODAY(),ROUNDUP(E225/H225,0)))</x:f>
      </x:c>
    </x:row>
    <x:row r="226">
      <x:c r="A226" s="38" t="str"/>
      <x:c r="B226" s="38" t="str"/>
      <x:c r="C226" s="39"/>
      <x:c r="D226" s="39"/>
      <x:c r="E226" s="39" t="str">
        <x:f>IF(C226="","",C226-D226)</x:f>
      </x:c>
      <x:c r="F226" s="46"/>
      <x:c r="G226" s="40" t="str">
        <x:f>IFERROR(D226/C226,"")</x:f>
      </x:c>
      <x:c r="H226" s="39"/>
      <x:c r="I226" s="46" t="str">
        <x:f>IF(OR(E226&lt;=0,H226&lt;=0),"",EDATE(TODAY(),ROUNDUP(E226/H226,0)))</x:f>
      </x:c>
    </x:row>
    <x:row r="227">
      <x:c r="A227" s="38" t="str"/>
      <x:c r="B227" s="38" t="str"/>
      <x:c r="C227" s="39"/>
      <x:c r="D227" s="39"/>
      <x:c r="E227" s="39" t="str">
        <x:f>IF(C227="","",C227-D227)</x:f>
      </x:c>
      <x:c r="F227" s="46"/>
      <x:c r="G227" s="40" t="str">
        <x:f>IFERROR(D227/C227,"")</x:f>
      </x:c>
      <x:c r="H227" s="39"/>
      <x:c r="I227" s="46" t="str">
        <x:f>IF(OR(E227&lt;=0,H227&lt;=0),"",EDATE(TODAY(),ROUNDUP(E227/H227,0)))</x:f>
      </x:c>
    </x:row>
    <x:row r="228">
      <x:c r="A228" s="38" t="str"/>
      <x:c r="B228" s="38" t="str"/>
      <x:c r="C228" s="39"/>
      <x:c r="D228" s="39"/>
      <x:c r="E228" s="39" t="str">
        <x:f>IF(C228="","",C228-D228)</x:f>
      </x:c>
      <x:c r="F228" s="46"/>
      <x:c r="G228" s="40" t="str">
        <x:f>IFERROR(D228/C228,"")</x:f>
      </x:c>
      <x:c r="H228" s="39"/>
      <x:c r="I228" s="46" t="str">
        <x:f>IF(OR(E228&lt;=0,H228&lt;=0),"",EDATE(TODAY(),ROUNDUP(E228/H228,0)))</x:f>
      </x:c>
    </x:row>
    <x:row r="229">
      <x:c r="A229" s="38" t="str"/>
      <x:c r="B229" s="38" t="str"/>
      <x:c r="C229" s="39"/>
      <x:c r="D229" s="39"/>
      <x:c r="E229" s="39" t="str">
        <x:f>IF(C229="","",C229-D229)</x:f>
      </x:c>
      <x:c r="F229" s="46"/>
      <x:c r="G229" s="40" t="str">
        <x:f>IFERROR(D229/C229,"")</x:f>
      </x:c>
      <x:c r="H229" s="39"/>
      <x:c r="I229" s="46" t="str">
        <x:f>IF(OR(E229&lt;=0,H229&lt;=0),"",EDATE(TODAY(),ROUNDUP(E229/H229,0)))</x:f>
      </x:c>
    </x:row>
    <x:row r="230">
      <x:c r="A230" s="38" t="str"/>
      <x:c r="B230" s="38" t="str"/>
      <x:c r="C230" s="39"/>
      <x:c r="D230" s="39"/>
      <x:c r="E230" s="39" t="str">
        <x:f>IF(C230="","",C230-D230)</x:f>
      </x:c>
      <x:c r="F230" s="46"/>
      <x:c r="G230" s="40" t="str">
        <x:f>IFERROR(D230/C230,"")</x:f>
      </x:c>
      <x:c r="H230" s="39"/>
      <x:c r="I230" s="46" t="str">
        <x:f>IF(OR(E230&lt;=0,H230&lt;=0),"",EDATE(TODAY(),ROUNDUP(E230/H230,0)))</x:f>
      </x:c>
    </x:row>
    <x:row r="231">
      <x:c r="A231" s="38" t="str"/>
      <x:c r="B231" s="38" t="str"/>
      <x:c r="C231" s="39"/>
      <x:c r="D231" s="39"/>
      <x:c r="E231" s="39" t="str">
        <x:f>IF(C231="","",C231-D231)</x:f>
      </x:c>
      <x:c r="F231" s="46"/>
      <x:c r="G231" s="40" t="str">
        <x:f>IFERROR(D231/C231,"")</x:f>
      </x:c>
      <x:c r="H231" s="39"/>
      <x:c r="I231" s="46" t="str">
        <x:f>IF(OR(E231&lt;=0,H231&lt;=0),"",EDATE(TODAY(),ROUNDUP(E231/H231,0)))</x:f>
      </x:c>
    </x:row>
    <x:row r="232">
      <x:c r="A232" s="38" t="str"/>
      <x:c r="B232" s="38" t="str"/>
      <x:c r="C232" s="39"/>
      <x:c r="D232" s="39"/>
      <x:c r="E232" s="39" t="str">
        <x:f>IF(C232="","",C232-D232)</x:f>
      </x:c>
      <x:c r="F232" s="46"/>
      <x:c r="G232" s="40" t="str">
        <x:f>IFERROR(D232/C232,"")</x:f>
      </x:c>
      <x:c r="H232" s="39"/>
      <x:c r="I232" s="46" t="str">
        <x:f>IF(OR(E232&lt;=0,H232&lt;=0),"",EDATE(TODAY(),ROUNDUP(E232/H232,0)))</x:f>
      </x:c>
    </x:row>
    <x:row r="233">
      <x:c r="A233" s="38" t="str"/>
      <x:c r="B233" s="38" t="str"/>
      <x:c r="C233" s="39"/>
      <x:c r="D233" s="39"/>
      <x:c r="E233" s="39" t="str">
        <x:f>IF(C233="","",C233-D233)</x:f>
      </x:c>
      <x:c r="F233" s="46"/>
      <x:c r="G233" s="40" t="str">
        <x:f>IFERROR(D233/C233,"")</x:f>
      </x:c>
      <x:c r="H233" s="39"/>
      <x:c r="I233" s="46" t="str">
        <x:f>IF(OR(E233&lt;=0,H233&lt;=0),"",EDATE(TODAY(),ROUNDUP(E233/H233,0)))</x:f>
      </x:c>
    </x:row>
    <x:row r="234">
      <x:c r="A234" s="38" t="str"/>
      <x:c r="B234" s="38" t="str"/>
      <x:c r="C234" s="39"/>
      <x:c r="D234" s="39"/>
      <x:c r="E234" s="39" t="str">
        <x:f>IF(C234="","",C234-D234)</x:f>
      </x:c>
      <x:c r="F234" s="46"/>
      <x:c r="G234" s="40" t="str">
        <x:f>IFERROR(D234/C234,"")</x:f>
      </x:c>
      <x:c r="H234" s="39"/>
      <x:c r="I234" s="46" t="str">
        <x:f>IF(OR(E234&lt;=0,H234&lt;=0),"",EDATE(TODAY(),ROUNDUP(E234/H234,0)))</x:f>
      </x:c>
    </x:row>
    <x:row r="235">
      <x:c r="A235" s="38" t="str"/>
      <x:c r="B235" s="38" t="str"/>
      <x:c r="C235" s="39"/>
      <x:c r="D235" s="39"/>
      <x:c r="E235" s="39" t="str">
        <x:f>IF(C235="","",C235-D235)</x:f>
      </x:c>
      <x:c r="F235" s="46"/>
      <x:c r="G235" s="40" t="str">
        <x:f>IFERROR(D235/C235,"")</x:f>
      </x:c>
      <x:c r="H235" s="39"/>
      <x:c r="I235" s="46" t="str">
        <x:f>IF(OR(E235&lt;=0,H235&lt;=0),"",EDATE(TODAY(),ROUNDUP(E235/H235,0)))</x:f>
      </x:c>
    </x:row>
    <x:row r="236">
      <x:c r="A236" s="38" t="str"/>
      <x:c r="B236" s="38" t="str"/>
      <x:c r="C236" s="39"/>
      <x:c r="D236" s="39"/>
      <x:c r="E236" s="39" t="str">
        <x:f>IF(C236="","",C236-D236)</x:f>
      </x:c>
      <x:c r="F236" s="46"/>
      <x:c r="G236" s="40" t="str">
        <x:f>IFERROR(D236/C236,"")</x:f>
      </x:c>
      <x:c r="H236" s="39"/>
      <x:c r="I236" s="46" t="str">
        <x:f>IF(OR(E236&lt;=0,H236&lt;=0),"",EDATE(TODAY(),ROUNDUP(E236/H236,0)))</x:f>
      </x:c>
    </x:row>
    <x:row r="237">
      <x:c r="A237" s="38" t="str"/>
      <x:c r="B237" s="38" t="str"/>
      <x:c r="C237" s="39"/>
      <x:c r="D237" s="39"/>
      <x:c r="E237" s="39" t="str">
        <x:f>IF(C237="","",C237-D237)</x:f>
      </x:c>
      <x:c r="F237" s="46"/>
      <x:c r="G237" s="40" t="str">
        <x:f>IFERROR(D237/C237,"")</x:f>
      </x:c>
      <x:c r="H237" s="39"/>
      <x:c r="I237" s="46" t="str">
        <x:f>IF(OR(E237&lt;=0,H237&lt;=0),"",EDATE(TODAY(),ROUNDUP(E237/H237,0)))</x:f>
      </x:c>
    </x:row>
    <x:row r="238">
      <x:c r="A238" s="38" t="str"/>
      <x:c r="B238" s="38" t="str"/>
      <x:c r="C238" s="39"/>
      <x:c r="D238" s="39"/>
      <x:c r="E238" s="39" t="str">
        <x:f>IF(C238="","",C238-D238)</x:f>
      </x:c>
      <x:c r="F238" s="46"/>
      <x:c r="G238" s="40" t="str">
        <x:f>IFERROR(D238/C238,"")</x:f>
      </x:c>
      <x:c r="H238" s="39"/>
      <x:c r="I238" s="46" t="str">
        <x:f>IF(OR(E238&lt;=0,H238&lt;=0),"",EDATE(TODAY(),ROUNDUP(E238/H238,0)))</x:f>
      </x:c>
    </x:row>
    <x:row r="239">
      <x:c r="A239" s="38" t="str"/>
      <x:c r="B239" s="38" t="str"/>
      <x:c r="C239" s="39"/>
      <x:c r="D239" s="39"/>
      <x:c r="E239" s="39" t="str">
        <x:f>IF(C239="","",C239-D239)</x:f>
      </x:c>
      <x:c r="F239" s="46"/>
      <x:c r="G239" s="40" t="str">
        <x:f>IFERROR(D239/C239,"")</x:f>
      </x:c>
      <x:c r="H239" s="39"/>
      <x:c r="I239" s="46" t="str">
        <x:f>IF(OR(E239&lt;=0,H239&lt;=0),"",EDATE(TODAY(),ROUNDUP(E239/H239,0)))</x:f>
      </x:c>
    </x:row>
    <x:row r="240">
      <x:c r="A240" s="38" t="str"/>
      <x:c r="B240" s="38" t="str"/>
      <x:c r="C240" s="39"/>
      <x:c r="D240" s="39"/>
      <x:c r="E240" s="39" t="str">
        <x:f>IF(C240="","",C240-D240)</x:f>
      </x:c>
      <x:c r="F240" s="46"/>
      <x:c r="G240" s="40" t="str">
        <x:f>IFERROR(D240/C240,"")</x:f>
      </x:c>
      <x:c r="H240" s="39"/>
      <x:c r="I240" s="46" t="str">
        <x:f>IF(OR(E240&lt;=0,H240&lt;=0),"",EDATE(TODAY(),ROUNDUP(E240/H240,0)))</x:f>
      </x:c>
    </x:row>
    <x:row r="241">
      <x:c r="A241" s="38" t="str"/>
      <x:c r="B241" s="38" t="str"/>
      <x:c r="C241" s="39"/>
      <x:c r="D241" s="39"/>
      <x:c r="E241" s="39" t="str">
        <x:f>IF(C241="","",C241-D241)</x:f>
      </x:c>
      <x:c r="F241" s="46"/>
      <x:c r="G241" s="40" t="str">
        <x:f>IFERROR(D241/C241,"")</x:f>
      </x:c>
      <x:c r="H241" s="39"/>
      <x:c r="I241" s="46" t="str">
        <x:f>IF(OR(E241&lt;=0,H241&lt;=0),"",EDATE(TODAY(),ROUNDUP(E241/H241,0)))</x:f>
      </x:c>
    </x:row>
    <x:row r="242">
      <x:c r="A242" s="38" t="str"/>
      <x:c r="B242" s="38" t="str"/>
      <x:c r="C242" s="39"/>
      <x:c r="D242" s="39"/>
      <x:c r="E242" s="39" t="str">
        <x:f>IF(C242="","",C242-D242)</x:f>
      </x:c>
      <x:c r="F242" s="46"/>
      <x:c r="G242" s="40" t="str">
        <x:f>IFERROR(D242/C242,"")</x:f>
      </x:c>
      <x:c r="H242" s="39"/>
      <x:c r="I242" s="46" t="str">
        <x:f>IF(OR(E242&lt;=0,H242&lt;=0),"",EDATE(TODAY(),ROUNDUP(E242/H242,0)))</x:f>
      </x:c>
    </x:row>
    <x:row r="243">
      <x:c r="A243" s="38" t="str"/>
      <x:c r="B243" s="38" t="str"/>
      <x:c r="C243" s="39"/>
      <x:c r="D243" s="39"/>
      <x:c r="E243" s="39" t="str">
        <x:f>IF(C243="","",C243-D243)</x:f>
      </x:c>
      <x:c r="F243" s="46"/>
      <x:c r="G243" s="40" t="str">
        <x:f>IFERROR(D243/C243,"")</x:f>
      </x:c>
      <x:c r="H243" s="39"/>
      <x:c r="I243" s="46" t="str">
        <x:f>IF(OR(E243&lt;=0,H243&lt;=0),"",EDATE(TODAY(),ROUNDUP(E243/H243,0)))</x:f>
      </x:c>
    </x:row>
    <x:row r="244">
      <x:c r="A244" s="38" t="str"/>
      <x:c r="B244" s="38" t="str"/>
      <x:c r="C244" s="39"/>
      <x:c r="D244" s="39"/>
      <x:c r="E244" s="39" t="str">
        <x:f>IF(C244="","",C244-D244)</x:f>
      </x:c>
      <x:c r="F244" s="46"/>
      <x:c r="G244" s="40" t="str">
        <x:f>IFERROR(D244/C244,"")</x:f>
      </x:c>
      <x:c r="H244" s="39"/>
      <x:c r="I244" s="46" t="str">
        <x:f>IF(OR(E244&lt;=0,H244&lt;=0),"",EDATE(TODAY(),ROUNDUP(E244/H244,0)))</x:f>
      </x:c>
    </x:row>
    <x:row r="245">
      <x:c r="A245" s="38" t="str"/>
      <x:c r="B245" s="38" t="str"/>
      <x:c r="C245" s="39"/>
      <x:c r="D245" s="39"/>
      <x:c r="E245" s="39" t="str">
        <x:f>IF(C245="","",C245-D245)</x:f>
      </x:c>
      <x:c r="F245" s="46"/>
      <x:c r="G245" s="40" t="str">
        <x:f>IFERROR(D245/C245,"")</x:f>
      </x:c>
      <x:c r="H245" s="39"/>
      <x:c r="I245" s="46" t="str">
        <x:f>IF(OR(E245&lt;=0,H245&lt;=0),"",EDATE(TODAY(),ROUNDUP(E245/H245,0)))</x:f>
      </x:c>
    </x:row>
    <x:row r="246">
      <x:c r="A246" s="38" t="str"/>
      <x:c r="B246" s="38" t="str"/>
      <x:c r="C246" s="39"/>
      <x:c r="D246" s="39"/>
      <x:c r="E246" s="39" t="str">
        <x:f>IF(C246="","",C246-D246)</x:f>
      </x:c>
      <x:c r="F246" s="46"/>
      <x:c r="G246" s="40" t="str">
        <x:f>IFERROR(D246/C246,"")</x:f>
      </x:c>
      <x:c r="H246" s="39"/>
      <x:c r="I246" s="46" t="str">
        <x:f>IF(OR(E246&lt;=0,H246&lt;=0),"",EDATE(TODAY(),ROUNDUP(E246/H246,0)))</x:f>
      </x:c>
    </x:row>
    <x:row r="247">
      <x:c r="A247" s="38" t="str"/>
      <x:c r="B247" s="38" t="str"/>
      <x:c r="C247" s="39"/>
      <x:c r="D247" s="39"/>
      <x:c r="E247" s="39" t="str">
        <x:f>IF(C247="","",C247-D247)</x:f>
      </x:c>
      <x:c r="F247" s="46"/>
      <x:c r="G247" s="40" t="str">
        <x:f>IFERROR(D247/C247,"")</x:f>
      </x:c>
      <x:c r="H247" s="39"/>
      <x:c r="I247" s="46" t="str">
        <x:f>IF(OR(E247&lt;=0,H247&lt;=0),"",EDATE(TODAY(),ROUNDUP(E247/H247,0)))</x:f>
      </x:c>
    </x:row>
    <x:row r="248">
      <x:c r="A248" s="38" t="str"/>
      <x:c r="B248" s="38" t="str"/>
      <x:c r="C248" s="39"/>
      <x:c r="D248" s="39"/>
      <x:c r="E248" s="39" t="str">
        <x:f>IF(C248="","",C248-D248)</x:f>
      </x:c>
      <x:c r="F248" s="46"/>
      <x:c r="G248" s="40" t="str">
        <x:f>IFERROR(D248/C248,"")</x:f>
      </x:c>
      <x:c r="H248" s="39"/>
      <x:c r="I248" s="46" t="str">
        <x:f>IF(OR(E248&lt;=0,H248&lt;=0),"",EDATE(TODAY(),ROUNDUP(E248/H248,0)))</x:f>
      </x:c>
    </x:row>
    <x:row r="249">
      <x:c r="A249" s="38" t="str"/>
      <x:c r="B249" s="38" t="str"/>
      <x:c r="C249" s="39"/>
      <x:c r="D249" s="39"/>
      <x:c r="E249" s="39" t="str">
        <x:f>IF(C249="","",C249-D249)</x:f>
      </x:c>
      <x:c r="F249" s="46"/>
      <x:c r="G249" s="40" t="str">
        <x:f>IFERROR(D249/C249,"")</x:f>
      </x:c>
      <x:c r="H249" s="39"/>
      <x:c r="I249" s="46" t="str">
        <x:f>IF(OR(E249&lt;=0,H249&lt;=0),"",EDATE(TODAY(),ROUNDUP(E249/H249,0)))</x:f>
      </x:c>
    </x:row>
    <x:row r="250">
      <x:c r="A250" s="38" t="str"/>
      <x:c r="B250" s="38" t="str"/>
      <x:c r="C250" s="39"/>
      <x:c r="D250" s="39"/>
      <x:c r="E250" s="39" t="str">
        <x:f>IF(C250="","",C250-D250)</x:f>
      </x:c>
      <x:c r="F250" s="46"/>
      <x:c r="G250" s="40" t="str">
        <x:f>IFERROR(D250/C250,"")</x:f>
      </x:c>
      <x:c r="H250" s="39"/>
      <x:c r="I250" s="46" t="str">
        <x:f>IF(OR(E250&lt;=0,H250&lt;=0),"",EDATE(TODAY(),ROUNDUP(E250/H250,0)))</x:f>
      </x:c>
    </x:row>
    <x:row r="251">
      <x:c r="A251" s="38" t="str"/>
      <x:c r="B251" s="38" t="str"/>
      <x:c r="C251" s="39"/>
      <x:c r="D251" s="39"/>
      <x:c r="E251" s="39" t="str">
        <x:f>IF(C251="","",C251-D251)</x:f>
      </x:c>
      <x:c r="F251" s="46"/>
      <x:c r="G251" s="40" t="str">
        <x:f>IFERROR(D251/C251,"")</x:f>
      </x:c>
      <x:c r="H251" s="39"/>
      <x:c r="I251" s="46" t="str">
        <x:f>IF(OR(E251&lt;=0,H251&lt;=0),"",EDATE(TODAY(),ROUNDUP(E251/H251,0)))</x:f>
      </x:c>
    </x:row>
    <x:row r="252">
      <x:c r="A252" s="38" t="str"/>
      <x:c r="B252" s="38" t="str"/>
      <x:c r="C252" s="39"/>
      <x:c r="D252" s="39"/>
      <x:c r="E252" s="39" t="str">
        <x:f>IF(C252="","",C252-D252)</x:f>
      </x:c>
      <x:c r="F252" s="46"/>
      <x:c r="G252" s="40" t="str">
        <x:f>IFERROR(D252/C252,"")</x:f>
      </x:c>
      <x:c r="H252" s="39"/>
      <x:c r="I252" s="46" t="str">
        <x:f>IF(OR(E252&lt;=0,H252&lt;=0),"",EDATE(TODAY(),ROUNDUP(E252/H252,0)))</x:f>
      </x:c>
    </x:row>
    <x:row r="253">
      <x:c r="A253" s="38" t="str"/>
      <x:c r="B253" s="38" t="str"/>
      <x:c r="C253" s="39"/>
      <x:c r="D253" s="39"/>
      <x:c r="E253" s="39" t="str">
        <x:f>IF(C253="","",C253-D253)</x:f>
      </x:c>
      <x:c r="F253" s="46"/>
      <x:c r="G253" s="40" t="str">
        <x:f>IFERROR(D253/C253,"")</x:f>
      </x:c>
      <x:c r="H253" s="39"/>
      <x:c r="I253" s="46" t="str">
        <x:f>IF(OR(E253&lt;=0,H253&lt;=0),"",EDATE(TODAY(),ROUNDUP(E253/H253,0)))</x:f>
      </x:c>
    </x:row>
    <x:row r="254">
      <x:c r="A254" s="38" t="str"/>
      <x:c r="B254" s="38" t="str"/>
      <x:c r="C254" s="39"/>
      <x:c r="D254" s="39"/>
      <x:c r="E254" s="39" t="str">
        <x:f>IF(C254="","",C254-D254)</x:f>
      </x:c>
      <x:c r="F254" s="46"/>
      <x:c r="G254" s="40" t="str">
        <x:f>IFERROR(D254/C254,"")</x:f>
      </x:c>
      <x:c r="H254" s="39"/>
      <x:c r="I254" s="46" t="str">
        <x:f>IF(OR(E254&lt;=0,H254&lt;=0),"",EDATE(TODAY(),ROUNDUP(E254/H254,0)))</x:f>
      </x:c>
    </x:row>
    <x:row r="255">
      <x:c r="A255" s="38" t="str"/>
      <x:c r="B255" s="38" t="str"/>
      <x:c r="C255" s="39"/>
      <x:c r="D255" s="39"/>
      <x:c r="E255" s="39" t="str">
        <x:f>IF(C255="","",C255-D255)</x:f>
      </x:c>
      <x:c r="F255" s="46"/>
      <x:c r="G255" s="40" t="str">
        <x:f>IFERROR(D255/C255,"")</x:f>
      </x:c>
      <x:c r="H255" s="39"/>
      <x:c r="I255" s="46" t="str">
        <x:f>IF(OR(E255&lt;=0,H255&lt;=0),"",EDATE(TODAY(),ROUNDUP(E255/H255,0)))</x:f>
      </x:c>
    </x:row>
    <x:row r="256">
      <x:c r="A256" s="38" t="str"/>
      <x:c r="B256" s="38" t="str"/>
      <x:c r="C256" s="39"/>
      <x:c r="D256" s="39"/>
      <x:c r="E256" s="39" t="str">
        <x:f>IF(C256="","",C256-D256)</x:f>
      </x:c>
      <x:c r="F256" s="46"/>
      <x:c r="G256" s="40" t="str">
        <x:f>IFERROR(D256/C256,"")</x:f>
      </x:c>
      <x:c r="H256" s="39"/>
      <x:c r="I256" s="46" t="str">
        <x:f>IF(OR(E256&lt;=0,H256&lt;=0),"",EDATE(TODAY(),ROUNDUP(E256/H256,0)))</x:f>
      </x:c>
    </x:row>
    <x:row r="257">
      <x:c r="A257" s="38" t="str"/>
      <x:c r="B257" s="38" t="str"/>
      <x:c r="C257" s="39"/>
      <x:c r="D257" s="39"/>
      <x:c r="E257" s="39" t="str">
        <x:f>IF(C257="","",C257-D257)</x:f>
      </x:c>
      <x:c r="F257" s="46"/>
      <x:c r="G257" s="40" t="str">
        <x:f>IFERROR(D257/C257,"")</x:f>
      </x:c>
      <x:c r="H257" s="39"/>
      <x:c r="I257" s="46" t="str">
        <x:f>IF(OR(E257&lt;=0,H257&lt;=0),"",EDATE(TODAY(),ROUNDUP(E257/H257,0)))</x:f>
      </x:c>
    </x:row>
    <x:row r="258">
      <x:c r="A258" s="38" t="str"/>
      <x:c r="B258" s="38" t="str"/>
      <x:c r="C258" s="39"/>
      <x:c r="D258" s="39"/>
      <x:c r="E258" s="39" t="str">
        <x:f>IF(C258="","",C258-D258)</x:f>
      </x:c>
      <x:c r="F258" s="46"/>
      <x:c r="G258" s="40" t="str">
        <x:f>IFERROR(D258/C258,"")</x:f>
      </x:c>
      <x:c r="H258" s="39"/>
      <x:c r="I258" s="46" t="str">
        <x:f>IF(OR(E258&lt;=0,H258&lt;=0),"",EDATE(TODAY(),ROUNDUP(E258/H258,0)))</x:f>
      </x:c>
    </x:row>
    <x:row r="259">
      <x:c r="A259" s="38" t="str"/>
      <x:c r="B259" s="38" t="str"/>
      <x:c r="C259" s="39"/>
      <x:c r="D259" s="39"/>
      <x:c r="E259" s="39" t="str">
        <x:f>IF(C259="","",C259-D259)</x:f>
      </x:c>
      <x:c r="F259" s="46"/>
      <x:c r="G259" s="40" t="str">
        <x:f>IFERROR(D259/C259,"")</x:f>
      </x:c>
      <x:c r="H259" s="39"/>
      <x:c r="I259" s="46" t="str">
        <x:f>IF(OR(E259&lt;=0,H259&lt;=0),"",EDATE(TODAY(),ROUNDUP(E259/H259,0)))</x:f>
      </x:c>
    </x:row>
    <x:row r="260">
      <x:c r="A260" s="38" t="str"/>
      <x:c r="B260" s="38" t="str"/>
      <x:c r="C260" s="39"/>
      <x:c r="D260" s="39"/>
      <x:c r="E260" s="39" t="str">
        <x:f>IF(C260="","",C260-D260)</x:f>
      </x:c>
      <x:c r="F260" s="46"/>
      <x:c r="G260" s="40" t="str">
        <x:f>IFERROR(D260/C260,"")</x:f>
      </x:c>
      <x:c r="H260" s="39"/>
      <x:c r="I260" s="46" t="str">
        <x:f>IF(OR(E260&lt;=0,H260&lt;=0),"",EDATE(TODAY(),ROUNDUP(E260/H260,0)))</x:f>
      </x:c>
    </x:row>
    <x:row r="261">
      <x:c r="A261" s="38" t="str"/>
      <x:c r="B261" s="38" t="str"/>
      <x:c r="C261" s="39"/>
      <x:c r="D261" s="39"/>
      <x:c r="E261" s="39" t="str">
        <x:f>IF(C261="","",C261-D261)</x:f>
      </x:c>
      <x:c r="F261" s="46"/>
      <x:c r="G261" s="40" t="str">
        <x:f>IFERROR(D261/C261,"")</x:f>
      </x:c>
      <x:c r="H261" s="39"/>
      <x:c r="I261" s="46" t="str">
        <x:f>IF(OR(E261&lt;=0,H261&lt;=0),"",EDATE(TODAY(),ROUNDUP(E261/H261,0)))</x:f>
      </x:c>
    </x:row>
    <x:row r="262">
      <x:c r="A262" s="38" t="str"/>
      <x:c r="B262" s="38" t="str"/>
      <x:c r="C262" s="39"/>
      <x:c r="D262" s="39"/>
      <x:c r="E262" s="39" t="str">
        <x:f>IF(C262="","",C262-D262)</x:f>
      </x:c>
      <x:c r="F262" s="46"/>
      <x:c r="G262" s="40" t="str">
        <x:f>IFERROR(D262/C262,"")</x:f>
      </x:c>
      <x:c r="H262" s="39"/>
      <x:c r="I262" s="46" t="str">
        <x:f>IF(OR(E262&lt;=0,H262&lt;=0),"",EDATE(TODAY(),ROUNDUP(E262/H262,0)))</x:f>
      </x:c>
    </x:row>
    <x:row r="263">
      <x:c r="A263" s="38" t="str"/>
      <x:c r="B263" s="38" t="str"/>
      <x:c r="C263" s="39"/>
      <x:c r="D263" s="39"/>
      <x:c r="E263" s="39" t="str">
        <x:f>IF(C263="","",C263-D263)</x:f>
      </x:c>
      <x:c r="F263" s="46"/>
      <x:c r="G263" s="40" t="str">
        <x:f>IFERROR(D263/C263,"")</x:f>
      </x:c>
      <x:c r="H263" s="39"/>
      <x:c r="I263" s="46" t="str">
        <x:f>IF(OR(E263&lt;=0,H263&lt;=0),"",EDATE(TODAY(),ROUNDUP(E263/H263,0)))</x:f>
      </x:c>
    </x:row>
    <x:row r="264">
      <x:c r="A264" s="38" t="str"/>
      <x:c r="B264" s="38" t="str"/>
      <x:c r="C264" s="39"/>
      <x:c r="D264" s="39"/>
      <x:c r="E264" s="39" t="str">
        <x:f>IF(C264="","",C264-D264)</x:f>
      </x:c>
      <x:c r="F264" s="46"/>
      <x:c r="G264" s="40" t="str">
        <x:f>IFERROR(D264/C264,"")</x:f>
      </x:c>
      <x:c r="H264" s="39"/>
      <x:c r="I264" s="46" t="str">
        <x:f>IF(OR(E264&lt;=0,H264&lt;=0),"",EDATE(TODAY(),ROUNDUP(E264/H264,0)))</x:f>
      </x:c>
    </x:row>
    <x:row r="265">
      <x:c r="A265" s="38" t="str"/>
      <x:c r="B265" s="38" t="str"/>
      <x:c r="C265" s="39"/>
      <x:c r="D265" s="39"/>
      <x:c r="E265" s="39" t="str">
        <x:f>IF(C265="","",C265-D265)</x:f>
      </x:c>
      <x:c r="F265" s="46"/>
      <x:c r="G265" s="40" t="str">
        <x:f>IFERROR(D265/C265,"")</x:f>
      </x:c>
      <x:c r="H265" s="39"/>
      <x:c r="I265" s="46" t="str">
        <x:f>IF(OR(E265&lt;=0,H265&lt;=0),"",EDATE(TODAY(),ROUNDUP(E265/H265,0)))</x:f>
      </x:c>
    </x:row>
    <x:row r="266">
      <x:c r="A266" s="38" t="str"/>
      <x:c r="B266" s="38" t="str"/>
      <x:c r="C266" s="39"/>
      <x:c r="D266" s="39"/>
      <x:c r="E266" s="39" t="str">
        <x:f>IF(C266="","",C266-D266)</x:f>
      </x:c>
      <x:c r="F266" s="46"/>
      <x:c r="G266" s="40" t="str">
        <x:f>IFERROR(D266/C266,"")</x:f>
      </x:c>
      <x:c r="H266" s="39"/>
      <x:c r="I266" s="46" t="str">
        <x:f>IF(OR(E266&lt;=0,H266&lt;=0),"",EDATE(TODAY(),ROUNDUP(E266/H266,0)))</x:f>
      </x:c>
    </x:row>
    <x:row r="267">
      <x:c r="A267" s="38" t="str"/>
      <x:c r="B267" s="38" t="str"/>
      <x:c r="C267" s="39"/>
      <x:c r="D267" s="39"/>
      <x:c r="E267" s="39" t="str">
        <x:f>IF(C267="","",C267-D267)</x:f>
      </x:c>
      <x:c r="F267" s="46"/>
      <x:c r="G267" s="40" t="str">
        <x:f>IFERROR(D267/C267,"")</x:f>
      </x:c>
      <x:c r="H267" s="39"/>
      <x:c r="I267" s="46" t="str">
        <x:f>IF(OR(E267&lt;=0,H267&lt;=0),"",EDATE(TODAY(),ROUNDUP(E267/H267,0)))</x:f>
      </x:c>
    </x:row>
    <x:row r="268">
      <x:c r="A268" s="38" t="str"/>
      <x:c r="B268" s="38" t="str"/>
      <x:c r="C268" s="39"/>
      <x:c r="D268" s="39"/>
      <x:c r="E268" s="39" t="str">
        <x:f>IF(C268="","",C268-D268)</x:f>
      </x:c>
      <x:c r="F268" s="46"/>
      <x:c r="G268" s="40" t="str">
        <x:f>IFERROR(D268/C268,"")</x:f>
      </x:c>
      <x:c r="H268" s="39"/>
      <x:c r="I268" s="46" t="str">
        <x:f>IF(OR(E268&lt;=0,H268&lt;=0),"",EDATE(TODAY(),ROUNDUP(E268/H268,0)))</x:f>
      </x:c>
    </x:row>
    <x:row r="269">
      <x:c r="A269" s="38" t="str"/>
      <x:c r="B269" s="38" t="str"/>
      <x:c r="C269" s="39"/>
      <x:c r="D269" s="39"/>
      <x:c r="E269" s="39" t="str">
        <x:f>IF(C269="","",C269-D269)</x:f>
      </x:c>
      <x:c r="F269" s="46"/>
      <x:c r="G269" s="40" t="str">
        <x:f>IFERROR(D269/C269,"")</x:f>
      </x:c>
      <x:c r="H269" s="39"/>
      <x:c r="I269" s="46" t="str">
        <x:f>IF(OR(E269&lt;=0,H269&lt;=0),"",EDATE(TODAY(),ROUNDUP(E269/H269,0)))</x:f>
      </x:c>
    </x:row>
    <x:row r="270">
      <x:c r="A270" s="38" t="str"/>
      <x:c r="B270" s="38" t="str"/>
      <x:c r="C270" s="39"/>
      <x:c r="D270" s="39"/>
      <x:c r="E270" s="39" t="str">
        <x:f>IF(C270="","",C270-D270)</x:f>
      </x:c>
      <x:c r="F270" s="46"/>
      <x:c r="G270" s="40" t="str">
        <x:f>IFERROR(D270/C270,"")</x:f>
      </x:c>
      <x:c r="H270" s="39"/>
      <x:c r="I270" s="46" t="str">
        <x:f>IF(OR(E270&lt;=0,H270&lt;=0),"",EDATE(TODAY(),ROUNDUP(E270/H270,0)))</x:f>
      </x:c>
    </x:row>
    <x:row r="271">
      <x:c r="A271" s="38" t="str"/>
      <x:c r="B271" s="38" t="str"/>
      <x:c r="C271" s="39"/>
      <x:c r="D271" s="39"/>
      <x:c r="E271" s="39" t="str">
        <x:f>IF(C271="","",C271-D271)</x:f>
      </x:c>
      <x:c r="F271" s="46"/>
      <x:c r="G271" s="40" t="str">
        <x:f>IFERROR(D271/C271,"")</x:f>
      </x:c>
      <x:c r="H271" s="39"/>
      <x:c r="I271" s="46" t="str">
        <x:f>IF(OR(E271&lt;=0,H271&lt;=0),"",EDATE(TODAY(),ROUNDUP(E271/H271,0)))</x:f>
      </x:c>
    </x:row>
    <x:row r="272">
      <x:c r="A272" s="38" t="str"/>
      <x:c r="B272" s="38" t="str"/>
      <x:c r="C272" s="39"/>
      <x:c r="D272" s="39"/>
      <x:c r="E272" s="39" t="str">
        <x:f>IF(C272="","",C272-D272)</x:f>
      </x:c>
      <x:c r="F272" s="46"/>
      <x:c r="G272" s="40" t="str">
        <x:f>IFERROR(D272/C272,"")</x:f>
      </x:c>
      <x:c r="H272" s="39"/>
      <x:c r="I272" s="46" t="str">
        <x:f>IF(OR(E272&lt;=0,H272&lt;=0),"",EDATE(TODAY(),ROUNDUP(E272/H272,0)))</x:f>
      </x:c>
    </x:row>
    <x:row r="273">
      <x:c r="A273" s="38" t="str"/>
      <x:c r="B273" s="38" t="str"/>
      <x:c r="C273" s="39"/>
      <x:c r="D273" s="39"/>
      <x:c r="E273" s="39" t="str">
        <x:f>IF(C273="","",C273-D273)</x:f>
      </x:c>
      <x:c r="F273" s="46"/>
      <x:c r="G273" s="40" t="str">
        <x:f>IFERROR(D273/C273,"")</x:f>
      </x:c>
      <x:c r="H273" s="39"/>
      <x:c r="I273" s="46" t="str">
        <x:f>IF(OR(E273&lt;=0,H273&lt;=0),"",EDATE(TODAY(),ROUNDUP(E273/H273,0)))</x:f>
      </x:c>
    </x:row>
    <x:row r="274">
      <x:c r="A274" s="38" t="str"/>
      <x:c r="B274" s="38" t="str"/>
      <x:c r="C274" s="39"/>
      <x:c r="D274" s="39"/>
      <x:c r="E274" s="39" t="str">
        <x:f>IF(C274="","",C274-D274)</x:f>
      </x:c>
      <x:c r="F274" s="46"/>
      <x:c r="G274" s="40" t="str">
        <x:f>IFERROR(D274/C274,"")</x:f>
      </x:c>
      <x:c r="H274" s="39"/>
      <x:c r="I274" s="46" t="str">
        <x:f>IF(OR(E274&lt;=0,H274&lt;=0),"",EDATE(TODAY(),ROUNDUP(E274/H274,0)))</x:f>
      </x:c>
    </x:row>
    <x:row r="275">
      <x:c r="A275" s="38" t="str"/>
      <x:c r="B275" s="38" t="str"/>
      <x:c r="C275" s="39"/>
      <x:c r="D275" s="39"/>
      <x:c r="E275" s="39" t="str">
        <x:f>IF(C275="","",C275-D275)</x:f>
      </x:c>
      <x:c r="F275" s="46"/>
      <x:c r="G275" s="40" t="str">
        <x:f>IFERROR(D275/C275,"")</x:f>
      </x:c>
      <x:c r="H275" s="39"/>
      <x:c r="I275" s="46" t="str">
        <x:f>IF(OR(E275&lt;=0,H275&lt;=0),"",EDATE(TODAY(),ROUNDUP(E275/H275,0)))</x:f>
      </x:c>
    </x:row>
    <x:row r="276">
      <x:c r="A276" s="38" t="str"/>
      <x:c r="B276" s="38" t="str"/>
      <x:c r="C276" s="39"/>
      <x:c r="D276" s="39"/>
      <x:c r="E276" s="39" t="str">
        <x:f>IF(C276="","",C276-D276)</x:f>
      </x:c>
      <x:c r="F276" s="46"/>
      <x:c r="G276" s="40" t="str">
        <x:f>IFERROR(D276/C276,"")</x:f>
      </x:c>
      <x:c r="H276" s="39"/>
      <x:c r="I276" s="46" t="str">
        <x:f>IF(OR(E276&lt;=0,H276&lt;=0),"",EDATE(TODAY(),ROUNDUP(E276/H276,0)))</x:f>
      </x:c>
    </x:row>
    <x:row r="277">
      <x:c r="A277" s="38" t="str"/>
      <x:c r="B277" s="38" t="str"/>
      <x:c r="C277" s="39"/>
      <x:c r="D277" s="39"/>
      <x:c r="E277" s="39" t="str">
        <x:f>IF(C277="","",C277-D277)</x:f>
      </x:c>
      <x:c r="F277" s="46"/>
      <x:c r="G277" s="40" t="str">
        <x:f>IFERROR(D277/C277,"")</x:f>
      </x:c>
      <x:c r="H277" s="39"/>
      <x:c r="I277" s="46" t="str">
        <x:f>IF(OR(E277&lt;=0,H277&lt;=0),"",EDATE(TODAY(),ROUNDUP(E277/H277,0)))</x:f>
      </x:c>
    </x:row>
    <x:row r="278">
      <x:c r="A278" s="38" t="str"/>
      <x:c r="B278" s="38" t="str"/>
      <x:c r="C278" s="39"/>
      <x:c r="D278" s="39"/>
      <x:c r="E278" s="39" t="str">
        <x:f>IF(C278="","",C278-D278)</x:f>
      </x:c>
      <x:c r="F278" s="46"/>
      <x:c r="G278" s="40" t="str">
        <x:f>IFERROR(D278/C278,"")</x:f>
      </x:c>
      <x:c r="H278" s="39"/>
      <x:c r="I278" s="46" t="str">
        <x:f>IF(OR(E278&lt;=0,H278&lt;=0),"",EDATE(TODAY(),ROUNDUP(E278/H278,0)))</x:f>
      </x:c>
    </x:row>
    <x:row r="279">
      <x:c r="A279" s="38" t="str"/>
      <x:c r="B279" s="38" t="str"/>
      <x:c r="C279" s="39"/>
      <x:c r="D279" s="39"/>
      <x:c r="E279" s="39" t="str">
        <x:f>IF(C279="","",C279-D279)</x:f>
      </x:c>
      <x:c r="F279" s="46"/>
      <x:c r="G279" s="40" t="str">
        <x:f>IFERROR(D279/C279,"")</x:f>
      </x:c>
      <x:c r="H279" s="39"/>
      <x:c r="I279" s="46" t="str">
        <x:f>IF(OR(E279&lt;=0,H279&lt;=0),"",EDATE(TODAY(),ROUNDUP(E279/H279,0)))</x:f>
      </x:c>
    </x:row>
    <x:row r="280">
      <x:c r="A280" s="38" t="str"/>
      <x:c r="B280" s="38" t="str"/>
      <x:c r="C280" s="39"/>
      <x:c r="D280" s="39"/>
      <x:c r="E280" s="39" t="str">
        <x:f>IF(C280="","",C280-D280)</x:f>
      </x:c>
      <x:c r="F280" s="46"/>
      <x:c r="G280" s="40" t="str">
        <x:f>IFERROR(D280/C280,"")</x:f>
      </x:c>
      <x:c r="H280" s="39"/>
      <x:c r="I280" s="46" t="str">
        <x:f>IF(OR(E280&lt;=0,H280&lt;=0),"",EDATE(TODAY(),ROUNDUP(E280/H280,0)))</x:f>
      </x:c>
    </x:row>
    <x:row r="281">
      <x:c r="A281" s="38" t="str"/>
      <x:c r="B281" s="38" t="str"/>
      <x:c r="C281" s="39"/>
      <x:c r="D281" s="39"/>
      <x:c r="E281" s="39" t="str">
        <x:f>IF(C281="","",C281-D281)</x:f>
      </x:c>
      <x:c r="F281" s="46"/>
      <x:c r="G281" s="40" t="str">
        <x:f>IFERROR(D281/C281,"")</x:f>
      </x:c>
      <x:c r="H281" s="39"/>
      <x:c r="I281" s="46" t="str">
        <x:f>IF(OR(E281&lt;=0,H281&lt;=0),"",EDATE(TODAY(),ROUNDUP(E281/H281,0)))</x:f>
      </x:c>
    </x:row>
    <x:row r="282">
      <x:c r="A282" s="38" t="str"/>
      <x:c r="B282" s="38" t="str"/>
      <x:c r="C282" s="39"/>
      <x:c r="D282" s="39"/>
      <x:c r="E282" s="39" t="str">
        <x:f>IF(C282="","",C282-D282)</x:f>
      </x:c>
      <x:c r="F282" s="46"/>
      <x:c r="G282" s="40" t="str">
        <x:f>IFERROR(D282/C282,"")</x:f>
      </x:c>
      <x:c r="H282" s="39"/>
      <x:c r="I282" s="46" t="str">
        <x:f>IF(OR(E282&lt;=0,H282&lt;=0),"",EDATE(TODAY(),ROUNDUP(E282/H282,0)))</x:f>
      </x:c>
    </x:row>
    <x:row r="283">
      <x:c r="A283" s="38" t="str"/>
      <x:c r="B283" s="38" t="str"/>
      <x:c r="C283" s="39"/>
      <x:c r="D283" s="39"/>
      <x:c r="E283" s="39" t="str">
        <x:f>IF(C283="","",C283-D283)</x:f>
      </x:c>
      <x:c r="F283" s="46"/>
      <x:c r="G283" s="40" t="str">
        <x:f>IFERROR(D283/C283,"")</x:f>
      </x:c>
      <x:c r="H283" s="39"/>
      <x:c r="I283" s="46" t="str">
        <x:f>IF(OR(E283&lt;=0,H283&lt;=0),"",EDATE(TODAY(),ROUNDUP(E283/H283,0)))</x:f>
      </x:c>
    </x:row>
    <x:row r="284">
      <x:c r="A284" s="38" t="str"/>
      <x:c r="B284" s="38" t="str"/>
      <x:c r="C284" s="39"/>
      <x:c r="D284" s="39"/>
      <x:c r="E284" s="39" t="str">
        <x:f>IF(C284="","",C284-D284)</x:f>
      </x:c>
      <x:c r="F284" s="46"/>
      <x:c r="G284" s="40" t="str">
        <x:f>IFERROR(D284/C284,"")</x:f>
      </x:c>
      <x:c r="H284" s="39"/>
      <x:c r="I284" s="46" t="str">
        <x:f>IF(OR(E284&lt;=0,H284&lt;=0),"",EDATE(TODAY(),ROUNDUP(E284/H284,0)))</x:f>
      </x:c>
    </x:row>
    <x:row r="285">
      <x:c r="A285" s="38" t="str"/>
      <x:c r="B285" s="38" t="str"/>
      <x:c r="C285" s="39"/>
      <x:c r="D285" s="39"/>
      <x:c r="E285" s="39" t="str">
        <x:f>IF(C285="","",C285-D285)</x:f>
      </x:c>
      <x:c r="F285" s="46"/>
      <x:c r="G285" s="40" t="str">
        <x:f>IFERROR(D285/C285,"")</x:f>
      </x:c>
      <x:c r="H285" s="39"/>
      <x:c r="I285" s="46" t="str">
        <x:f>IF(OR(E285&lt;=0,H285&lt;=0),"",EDATE(TODAY(),ROUNDUP(E285/H285,0)))</x:f>
      </x:c>
    </x:row>
    <x:row r="286">
      <x:c r="A286" s="38" t="str"/>
      <x:c r="B286" s="38" t="str"/>
      <x:c r="C286" s="39"/>
      <x:c r="D286" s="39"/>
      <x:c r="E286" s="39" t="str">
        <x:f>IF(C286="","",C286-D286)</x:f>
      </x:c>
      <x:c r="F286" s="46"/>
      <x:c r="G286" s="40" t="str">
        <x:f>IFERROR(D286/C286,"")</x:f>
      </x:c>
      <x:c r="H286" s="39"/>
      <x:c r="I286" s="46" t="str">
        <x:f>IF(OR(E286&lt;=0,H286&lt;=0),"",EDATE(TODAY(),ROUNDUP(E286/H286,0)))</x:f>
      </x:c>
    </x:row>
    <x:row r="287">
      <x:c r="A287" s="38" t="str"/>
      <x:c r="B287" s="38" t="str"/>
      <x:c r="C287" s="39"/>
      <x:c r="D287" s="39"/>
      <x:c r="E287" s="39" t="str">
        <x:f>IF(C287="","",C287-D287)</x:f>
      </x:c>
      <x:c r="F287" s="46"/>
      <x:c r="G287" s="40" t="str">
        <x:f>IFERROR(D287/C287,"")</x:f>
      </x:c>
      <x:c r="H287" s="39"/>
      <x:c r="I287" s="46" t="str">
        <x:f>IF(OR(E287&lt;=0,H287&lt;=0),"",EDATE(TODAY(),ROUNDUP(E287/H287,0)))</x:f>
      </x:c>
    </x:row>
    <x:row r="288">
      <x:c r="A288" s="38" t="str"/>
      <x:c r="B288" s="38" t="str"/>
      <x:c r="C288" s="39"/>
      <x:c r="D288" s="39"/>
      <x:c r="E288" s="39" t="str">
        <x:f>IF(C288="","",C288-D288)</x:f>
      </x:c>
      <x:c r="F288" s="46"/>
      <x:c r="G288" s="40" t="str">
        <x:f>IFERROR(D288/C288,"")</x:f>
      </x:c>
      <x:c r="H288" s="39"/>
      <x:c r="I288" s="46" t="str">
        <x:f>IF(OR(E288&lt;=0,H288&lt;=0),"",EDATE(TODAY(),ROUNDUP(E288/H288,0)))</x:f>
      </x:c>
    </x:row>
    <x:row r="289">
      <x:c r="A289" s="38" t="str"/>
      <x:c r="B289" s="38" t="str"/>
      <x:c r="C289" s="39"/>
      <x:c r="D289" s="39"/>
      <x:c r="E289" s="39" t="str">
        <x:f>IF(C289="","",C289-D289)</x:f>
      </x:c>
      <x:c r="F289" s="46"/>
      <x:c r="G289" s="40" t="str">
        <x:f>IFERROR(D289/C289,"")</x:f>
      </x:c>
      <x:c r="H289" s="39"/>
      <x:c r="I289" s="46" t="str">
        <x:f>IF(OR(E289&lt;=0,H289&lt;=0),"",EDATE(TODAY(),ROUNDUP(E289/H289,0)))</x:f>
      </x:c>
    </x:row>
    <x:row r="290">
      <x:c r="A290" s="38" t="str"/>
      <x:c r="B290" s="38" t="str"/>
      <x:c r="C290" s="39"/>
      <x:c r="D290" s="39"/>
      <x:c r="E290" s="39" t="str">
        <x:f>IF(C290="","",C290-D290)</x:f>
      </x:c>
      <x:c r="F290" s="46"/>
      <x:c r="G290" s="40" t="str">
        <x:f>IFERROR(D290/C290,"")</x:f>
      </x:c>
      <x:c r="H290" s="39"/>
      <x:c r="I290" s="46" t="str">
        <x:f>IF(OR(E290&lt;=0,H290&lt;=0),"",EDATE(TODAY(),ROUNDUP(E290/H290,0)))</x:f>
      </x:c>
    </x:row>
    <x:row r="291">
      <x:c r="A291" s="38" t="str"/>
      <x:c r="B291" s="38" t="str"/>
      <x:c r="C291" s="39"/>
      <x:c r="D291" s="39"/>
      <x:c r="E291" s="39" t="str">
        <x:f>IF(C291="","",C291-D291)</x:f>
      </x:c>
      <x:c r="F291" s="46"/>
      <x:c r="G291" s="40" t="str">
        <x:f>IFERROR(D291/C291,"")</x:f>
      </x:c>
      <x:c r="H291" s="39"/>
      <x:c r="I291" s="46" t="str">
        <x:f>IF(OR(E291&lt;=0,H291&lt;=0),"",EDATE(TODAY(),ROUNDUP(E291/H291,0)))</x:f>
      </x:c>
    </x:row>
    <x:row r="292">
      <x:c r="A292" s="38" t="str"/>
      <x:c r="B292" s="38" t="str"/>
      <x:c r="C292" s="39"/>
      <x:c r="D292" s="39"/>
      <x:c r="E292" s="39" t="str">
        <x:f>IF(C292="","",C292-D292)</x:f>
      </x:c>
      <x:c r="F292" s="46"/>
      <x:c r="G292" s="40" t="str">
        <x:f>IFERROR(D292/C292,"")</x:f>
      </x:c>
      <x:c r="H292" s="39"/>
      <x:c r="I292" s="46" t="str">
        <x:f>IF(OR(E292&lt;=0,H292&lt;=0),"",EDATE(TODAY(),ROUNDUP(E292/H292,0)))</x:f>
      </x:c>
    </x:row>
    <x:row r="293">
      <x:c r="A293" s="38" t="str"/>
      <x:c r="B293" s="38" t="str"/>
      <x:c r="C293" s="39"/>
      <x:c r="D293" s="39"/>
      <x:c r="E293" s="39" t="str">
        <x:f>IF(C293="","",C293-D293)</x:f>
      </x:c>
      <x:c r="F293" s="46"/>
      <x:c r="G293" s="40" t="str">
        <x:f>IFERROR(D293/C293,"")</x:f>
      </x:c>
      <x:c r="H293" s="39"/>
      <x:c r="I293" s="46" t="str">
        <x:f>IF(OR(E293&lt;=0,H293&lt;=0),"",EDATE(TODAY(),ROUNDUP(E293/H293,0)))</x:f>
      </x:c>
    </x:row>
    <x:row r="294">
      <x:c r="A294" s="38" t="str"/>
      <x:c r="B294" s="38" t="str"/>
      <x:c r="C294" s="39"/>
      <x:c r="D294" s="39"/>
      <x:c r="E294" s="39" t="str">
        <x:f>IF(C294="","",C294-D294)</x:f>
      </x:c>
      <x:c r="F294" s="46"/>
      <x:c r="G294" s="40" t="str">
        <x:f>IFERROR(D294/C294,"")</x:f>
      </x:c>
      <x:c r="H294" s="39"/>
      <x:c r="I294" s="46" t="str">
        <x:f>IF(OR(E294&lt;=0,H294&lt;=0),"",EDATE(TODAY(),ROUNDUP(E294/H294,0)))</x:f>
      </x:c>
    </x:row>
    <x:row r="295">
      <x:c r="A295" s="38" t="str"/>
      <x:c r="B295" s="38" t="str"/>
      <x:c r="C295" s="39"/>
      <x:c r="D295" s="39"/>
      <x:c r="E295" s="39" t="str">
        <x:f>IF(C295="","",C295-D295)</x:f>
      </x:c>
      <x:c r="F295" s="46"/>
      <x:c r="G295" s="40" t="str">
        <x:f>IFERROR(D295/C295,"")</x:f>
      </x:c>
      <x:c r="H295" s="39"/>
      <x:c r="I295" s="46" t="str">
        <x:f>IF(OR(E295&lt;=0,H295&lt;=0),"",EDATE(TODAY(),ROUNDUP(E295/H295,0)))</x:f>
      </x:c>
    </x:row>
    <x:row r="296">
      <x:c r="A296" s="38" t="str"/>
      <x:c r="B296" s="38" t="str"/>
      <x:c r="C296" s="39"/>
      <x:c r="D296" s="39"/>
      <x:c r="E296" s="39" t="str">
        <x:f>IF(C296="","",C296-D296)</x:f>
      </x:c>
      <x:c r="F296" s="46"/>
      <x:c r="G296" s="40" t="str">
        <x:f>IFERROR(D296/C296,"")</x:f>
      </x:c>
      <x:c r="H296" s="39"/>
      <x:c r="I296" s="46" t="str">
        <x:f>IF(OR(E296&lt;=0,H296&lt;=0),"",EDATE(TODAY(),ROUNDUP(E296/H296,0)))</x:f>
      </x:c>
    </x:row>
    <x:row r="297">
      <x:c r="A297" s="38" t="str"/>
      <x:c r="B297" s="38" t="str"/>
      <x:c r="C297" s="39"/>
      <x:c r="D297" s="39"/>
      <x:c r="E297" s="39" t="str">
        <x:f>IF(C297="","",C297-D297)</x:f>
      </x:c>
      <x:c r="F297" s="46"/>
      <x:c r="G297" s="40" t="str">
        <x:f>IFERROR(D297/C297,"")</x:f>
      </x:c>
      <x:c r="H297" s="39"/>
      <x:c r="I297" s="46" t="str">
        <x:f>IF(OR(E297&lt;=0,H297&lt;=0),"",EDATE(TODAY(),ROUNDUP(E297/H297,0)))</x:f>
      </x:c>
    </x:row>
    <x:row r="298">
      <x:c r="A298" s="38" t="str"/>
      <x:c r="B298" s="38" t="str"/>
      <x:c r="C298" s="39"/>
      <x:c r="D298" s="39"/>
      <x:c r="E298" s="39" t="str">
        <x:f>IF(C298="","",C298-D298)</x:f>
      </x:c>
      <x:c r="F298" s="46"/>
      <x:c r="G298" s="40" t="str">
        <x:f>IFERROR(D298/C298,"")</x:f>
      </x:c>
      <x:c r="H298" s="39"/>
      <x:c r="I298" s="46" t="str">
        <x:f>IF(OR(E298&lt;=0,H298&lt;=0),"",EDATE(TODAY(),ROUNDUP(E298/H298,0)))</x:f>
      </x:c>
    </x:row>
    <x:row r="299">
      <x:c r="A299" s="38" t="str"/>
      <x:c r="B299" s="38" t="str"/>
      <x:c r="C299" s="39"/>
      <x:c r="D299" s="39"/>
      <x:c r="E299" s="39" t="str">
        <x:f>IF(C299="","",C299-D299)</x:f>
      </x:c>
      <x:c r="F299" s="46"/>
      <x:c r="G299" s="40" t="str">
        <x:f>IFERROR(D299/C299,"")</x:f>
      </x:c>
      <x:c r="H299" s="39"/>
      <x:c r="I299" s="46" t="str">
        <x:f>IF(OR(E299&lt;=0,H299&lt;=0),"",EDATE(TODAY(),ROUNDUP(E299/H299,0)))</x:f>
      </x:c>
    </x:row>
    <x:row r="300">
      <x:c r="A300" s="38" t="str"/>
      <x:c r="B300" s="38" t="str"/>
      <x:c r="C300" s="39"/>
      <x:c r="D300" s="39"/>
      <x:c r="E300" s="39" t="str">
        <x:f>IF(C300="","",C300-D300)</x:f>
      </x:c>
      <x:c r="F300" s="46"/>
      <x:c r="G300" s="40" t="str">
        <x:f>IFERROR(D300/C300,"")</x:f>
      </x:c>
      <x:c r="H300" s="39"/>
      <x:c r="I300" s="46" t="str">
        <x:f>IF(OR(E300&lt;=0,H300&lt;=0),"",EDATE(TODAY(),ROUNDUP(E300/H300,0)))</x:f>
      </x:c>
    </x:row>
    <x:row r="301">
      <x:c r="A301" s="38" t="str"/>
      <x:c r="B301" s="38" t="str"/>
      <x:c r="C301" s="39"/>
      <x:c r="D301" s="39"/>
      <x:c r="E301" s="39" t="str">
        <x:f>IF(C301="","",C301-D301)</x:f>
      </x:c>
      <x:c r="F301" s="46"/>
      <x:c r="G301" s="40" t="str">
        <x:f>IFERROR(D301/C301,"")</x:f>
      </x:c>
      <x:c r="H301" s="39"/>
      <x:c r="I301" s="46" t="str">
        <x:f>IF(OR(E301&lt;=0,H301&lt;=0),"",EDATE(TODAY(),ROUNDUP(E301/H301,0)))</x:f>
      </x:c>
    </x:row>
    <x:row r="302">
      <x:c r="A302" s="38" t="str"/>
      <x:c r="B302" s="38" t="str"/>
      <x:c r="C302" s="39"/>
      <x:c r="D302" s="39"/>
      <x:c r="E302" s="39" t="str">
        <x:f>IF(C302="","",C302-D302)</x:f>
      </x:c>
      <x:c r="F302" s="46"/>
      <x:c r="G302" s="40" t="str">
        <x:f>IFERROR(D302/C302,"")</x:f>
      </x:c>
      <x:c r="H302" s="39"/>
      <x:c r="I302" s="46" t="str">
        <x:f>IF(OR(E302&lt;=0,H302&lt;=0),"",EDATE(TODAY(),ROUNDUP(E302/H302,0)))</x:f>
      </x:c>
    </x:row>
    <x:row r="303">
      <x:c r="A303" s="38" t="str"/>
      <x:c r="B303" s="38" t="str"/>
      <x:c r="C303" s="39"/>
      <x:c r="D303" s="39"/>
      <x:c r="E303" s="39" t="str">
        <x:f>IF(C303="","",C303-D303)</x:f>
      </x:c>
      <x:c r="F303" s="46"/>
      <x:c r="G303" s="40" t="str">
        <x:f>IFERROR(D303/C303,"")</x:f>
      </x:c>
      <x:c r="H303" s="39"/>
      <x:c r="I303" s="46" t="str">
        <x:f>IF(OR(E303&lt;=0,H303&lt;=0),"",EDATE(TODAY(),ROUNDUP(E303/H303,0)))</x:f>
      </x:c>
    </x:row>
    <x:row r="304">
      <x:c r="A304" s="38" t="str"/>
      <x:c r="B304" s="38" t="str"/>
      <x:c r="C304" s="39"/>
      <x:c r="D304" s="39"/>
      <x:c r="E304" s="39" t="str">
        <x:f>IF(C304="","",C304-D304)</x:f>
      </x:c>
      <x:c r="F304" s="46"/>
      <x:c r="G304" s="40" t="str">
        <x:f>IFERROR(D304/C304,"")</x:f>
      </x:c>
      <x:c r="H304" s="39"/>
      <x:c r="I304" s="46" t="str">
        <x:f>IF(OR(E304&lt;=0,H304&lt;=0),"",EDATE(TODAY(),ROUNDUP(E304/H304,0)))</x:f>
      </x:c>
    </x:row>
    <x:row r="305">
      <x:c r="A305" s="38" t="str"/>
      <x:c r="B305" s="38" t="str"/>
      <x:c r="C305" s="39"/>
      <x:c r="D305" s="39"/>
      <x:c r="E305" s="39" t="str">
        <x:f>IF(C305="","",C305-D305)</x:f>
      </x:c>
      <x:c r="F305" s="46"/>
      <x:c r="G305" s="40" t="str">
        <x:f>IFERROR(D305/C305,"")</x:f>
      </x:c>
      <x:c r="H305" s="39"/>
      <x:c r="I305" s="46" t="str">
        <x:f>IF(OR(E305&lt;=0,H305&lt;=0),"",EDATE(TODAY(),ROUNDUP(E305/H305,0)))</x:f>
      </x:c>
    </x:row>
    <x:row r="306">
      <x:c r="A306" s="38" t="str"/>
      <x:c r="B306" s="38" t="str"/>
      <x:c r="C306" s="39"/>
      <x:c r="D306" s="39"/>
      <x:c r="E306" s="39" t="str">
        <x:f>IF(C306="","",C306-D306)</x:f>
      </x:c>
      <x:c r="F306" s="46"/>
      <x:c r="G306" s="40" t="str">
        <x:f>IFERROR(D306/C306,"")</x:f>
      </x:c>
      <x:c r="H306" s="39"/>
      <x:c r="I306" s="46" t="str">
        <x:f>IF(OR(E306&lt;=0,H306&lt;=0),"",EDATE(TODAY(),ROUNDUP(E306/H306,0)))</x:f>
      </x:c>
    </x:row>
    <x:row r="307">
      <x:c r="A307" s="38" t="str"/>
      <x:c r="B307" s="38" t="str"/>
      <x:c r="C307" s="39"/>
      <x:c r="D307" s="39"/>
      <x:c r="E307" s="39" t="str">
        <x:f>IF(C307="","",C307-D307)</x:f>
      </x:c>
      <x:c r="F307" s="46"/>
      <x:c r="G307" s="40" t="str">
        <x:f>IFERROR(D307/C307,"")</x:f>
      </x:c>
      <x:c r="H307" s="39"/>
      <x:c r="I307" s="46" t="str">
        <x:f>IF(OR(E307&lt;=0,H307&lt;=0),"",EDATE(TODAY(),ROUNDUP(E307/H307,0)))</x:f>
      </x:c>
    </x:row>
    <x:row r="308">
      <x:c r="A308" s="38" t="str"/>
      <x:c r="B308" s="38" t="str"/>
      <x:c r="C308" s="39"/>
      <x:c r="D308" s="39"/>
      <x:c r="E308" s="39" t="str">
        <x:f>IF(C308="","",C308-D308)</x:f>
      </x:c>
      <x:c r="F308" s="46"/>
      <x:c r="G308" s="40" t="str">
        <x:f>IFERROR(D308/C308,"")</x:f>
      </x:c>
      <x:c r="H308" s="39"/>
      <x:c r="I308" s="46" t="str">
        <x:f>IF(OR(E308&lt;=0,H308&lt;=0),"",EDATE(TODAY(),ROUNDUP(E308/H308,0)))</x:f>
      </x:c>
    </x:row>
    <x:row r="309">
      <x:c r="A309" s="38" t="str"/>
      <x:c r="B309" s="38" t="str"/>
      <x:c r="C309" s="39"/>
      <x:c r="D309" s="39"/>
      <x:c r="E309" s="39" t="str">
        <x:f>IF(C309="","",C309-D309)</x:f>
      </x:c>
      <x:c r="F309" s="46"/>
      <x:c r="G309" s="40" t="str">
        <x:f>IFERROR(D309/C309,"")</x:f>
      </x:c>
      <x:c r="H309" s="39"/>
      <x:c r="I309" s="46" t="str">
        <x:f>IF(OR(E309&lt;=0,H309&lt;=0),"",EDATE(TODAY(),ROUNDUP(E309/H309,0)))</x:f>
      </x:c>
    </x:row>
    <x:row r="310">
      <x:c r="A310" s="38" t="str"/>
      <x:c r="B310" s="38" t="str"/>
      <x:c r="C310" s="39"/>
      <x:c r="D310" s="39"/>
      <x:c r="E310" s="39" t="str">
        <x:f>IF(C310="","",C310-D310)</x:f>
      </x:c>
      <x:c r="F310" s="46"/>
      <x:c r="G310" s="40" t="str">
        <x:f>IFERROR(D310/C310,"")</x:f>
      </x:c>
      <x:c r="H310" s="39"/>
      <x:c r="I310" s="46" t="str">
        <x:f>IF(OR(E310&lt;=0,H310&lt;=0),"",EDATE(TODAY(),ROUNDUP(E310/H310,0)))</x:f>
      </x:c>
    </x:row>
    <x:row r="311">
      <x:c r="A311" s="38" t="str"/>
      <x:c r="B311" s="38" t="str"/>
      <x:c r="C311" s="39"/>
      <x:c r="D311" s="39"/>
      <x:c r="E311" s="39" t="str">
        <x:f>IF(C311="","",C311-D311)</x:f>
      </x:c>
      <x:c r="F311" s="46"/>
      <x:c r="G311" s="40" t="str">
        <x:f>IFERROR(D311/C311,"")</x:f>
      </x:c>
      <x:c r="H311" s="39"/>
      <x:c r="I311" s="46" t="str">
        <x:f>IF(OR(E311&lt;=0,H311&lt;=0),"",EDATE(TODAY(),ROUNDUP(E311/H311,0)))</x:f>
      </x:c>
    </x:row>
    <x:row r="312">
      <x:c r="A312" s="38" t="str"/>
      <x:c r="B312" s="38" t="str"/>
      <x:c r="C312" s="39"/>
      <x:c r="D312" s="39"/>
      <x:c r="E312" s="39" t="str">
        <x:f>IF(C312="","",C312-D312)</x:f>
      </x:c>
      <x:c r="F312" s="46"/>
      <x:c r="G312" s="40" t="str">
        <x:f>IFERROR(D312/C312,"")</x:f>
      </x:c>
      <x:c r="H312" s="39"/>
      <x:c r="I312" s="46" t="str">
        <x:f>IF(OR(E312&lt;=0,H312&lt;=0),"",EDATE(TODAY(),ROUNDUP(E312/H312,0)))</x:f>
      </x:c>
    </x:row>
    <x:row r="313">
      <x:c r="A313" s="38" t="str"/>
      <x:c r="B313" s="38" t="str"/>
      <x:c r="C313" s="39"/>
      <x:c r="D313" s="39"/>
      <x:c r="E313" s="39" t="str">
        <x:f>IF(C313="","",C313-D313)</x:f>
      </x:c>
      <x:c r="F313" s="46"/>
      <x:c r="G313" s="40" t="str">
        <x:f>IFERROR(D313/C313,"")</x:f>
      </x:c>
      <x:c r="H313" s="39"/>
      <x:c r="I313" s="46" t="str">
        <x:f>IF(OR(E313&lt;=0,H313&lt;=0),"",EDATE(TODAY(),ROUNDUP(E313/H313,0)))</x:f>
      </x:c>
    </x:row>
    <x:row r="314">
      <x:c r="A314" s="38" t="str"/>
      <x:c r="B314" s="38" t="str"/>
      <x:c r="C314" s="39"/>
      <x:c r="D314" s="39"/>
      <x:c r="E314" s="39" t="str">
        <x:f>IF(C314="","",C314-D314)</x:f>
      </x:c>
      <x:c r="F314" s="46"/>
      <x:c r="G314" s="40" t="str">
        <x:f>IFERROR(D314/C314,"")</x:f>
      </x:c>
      <x:c r="H314" s="39"/>
      <x:c r="I314" s="46" t="str">
        <x:f>IF(OR(E314&lt;=0,H314&lt;=0),"",EDATE(TODAY(),ROUNDUP(E314/H314,0)))</x:f>
      </x:c>
    </x:row>
    <x:row r="315">
      <x:c r="A315" s="38" t="str"/>
      <x:c r="B315" s="38" t="str"/>
      <x:c r="C315" s="39"/>
      <x:c r="D315" s="39"/>
      <x:c r="E315" s="39" t="str">
        <x:f>IF(C315="","",C315-D315)</x:f>
      </x:c>
      <x:c r="F315" s="46"/>
      <x:c r="G315" s="40" t="str">
        <x:f>IFERROR(D315/C315,"")</x:f>
      </x:c>
      <x:c r="H315" s="39"/>
      <x:c r="I315" s="46" t="str">
        <x:f>IF(OR(E315&lt;=0,H315&lt;=0),"",EDATE(TODAY(),ROUNDUP(E315/H315,0)))</x:f>
      </x:c>
    </x:row>
    <x:row r="316">
      <x:c r="A316" s="38" t="str"/>
      <x:c r="B316" s="38" t="str"/>
      <x:c r="C316" s="39"/>
      <x:c r="D316" s="39"/>
      <x:c r="E316" s="39" t="str">
        <x:f>IF(C316="","",C316-D316)</x:f>
      </x:c>
      <x:c r="F316" s="46"/>
      <x:c r="G316" s="40" t="str">
        <x:f>IFERROR(D316/C316,"")</x:f>
      </x:c>
      <x:c r="H316" s="39"/>
      <x:c r="I316" s="46" t="str">
        <x:f>IF(OR(E316&lt;=0,H316&lt;=0),"",EDATE(TODAY(),ROUNDUP(E316/H316,0)))</x:f>
      </x:c>
    </x:row>
    <x:row r="317">
      <x:c r="A317" s="38" t="str"/>
      <x:c r="B317" s="38" t="str"/>
      <x:c r="C317" s="39"/>
      <x:c r="D317" s="39"/>
      <x:c r="E317" s="39" t="str">
        <x:f>IF(C317="","",C317-D317)</x:f>
      </x:c>
      <x:c r="F317" s="46"/>
      <x:c r="G317" s="40" t="str">
        <x:f>IFERROR(D317/C317,"")</x:f>
      </x:c>
      <x:c r="H317" s="39"/>
      <x:c r="I317" s="46" t="str">
        <x:f>IF(OR(E317&lt;=0,H317&lt;=0),"",EDATE(TODAY(),ROUNDUP(E317/H317,0)))</x:f>
      </x:c>
    </x:row>
    <x:row r="318">
      <x:c r="A318" s="38" t="str"/>
      <x:c r="B318" s="38" t="str"/>
      <x:c r="C318" s="39"/>
      <x:c r="D318" s="39"/>
      <x:c r="E318" s="39" t="str">
        <x:f>IF(C318="","",C318-D318)</x:f>
      </x:c>
      <x:c r="F318" s="46"/>
      <x:c r="G318" s="40" t="str">
        <x:f>IFERROR(D318/C318,"")</x:f>
      </x:c>
      <x:c r="H318" s="39"/>
      <x:c r="I318" s="46" t="str">
        <x:f>IF(OR(E318&lt;=0,H318&lt;=0),"",EDATE(TODAY(),ROUNDUP(E318/H318,0)))</x:f>
      </x:c>
    </x:row>
    <x:row r="319">
      <x:c r="A319" s="38" t="str"/>
      <x:c r="B319" s="38" t="str"/>
      <x:c r="C319" s="39"/>
      <x:c r="D319" s="39"/>
      <x:c r="E319" s="39" t="str">
        <x:f>IF(C319="","",C319-D319)</x:f>
      </x:c>
      <x:c r="F319" s="46"/>
      <x:c r="G319" s="40" t="str">
        <x:f>IFERROR(D319/C319,"")</x:f>
      </x:c>
      <x:c r="H319" s="39"/>
      <x:c r="I319" s="46" t="str">
        <x:f>IF(OR(E319&lt;=0,H319&lt;=0),"",EDATE(TODAY(),ROUNDUP(E319/H319,0)))</x:f>
      </x:c>
    </x:row>
    <x:row r="320">
      <x:c r="A320" s="38" t="str"/>
      <x:c r="B320" s="38" t="str"/>
      <x:c r="C320" s="39"/>
      <x:c r="D320" s="39"/>
      <x:c r="E320" s="39" t="str">
        <x:f>IF(C320="","",C320-D320)</x:f>
      </x:c>
      <x:c r="F320" s="46"/>
      <x:c r="G320" s="40" t="str">
        <x:f>IFERROR(D320/C320,"")</x:f>
      </x:c>
      <x:c r="H320" s="39"/>
      <x:c r="I320" s="46" t="str">
        <x:f>IF(OR(E320&lt;=0,H320&lt;=0),"",EDATE(TODAY(),ROUNDUP(E320/H320,0)))</x:f>
      </x:c>
    </x:row>
    <x:row r="321">
      <x:c r="A321" s="38" t="str"/>
      <x:c r="B321" s="38" t="str"/>
      <x:c r="C321" s="39"/>
      <x:c r="D321" s="39"/>
      <x:c r="E321" s="39" t="str">
        <x:f>IF(C321="","",C321-D321)</x:f>
      </x:c>
      <x:c r="F321" s="46"/>
      <x:c r="G321" s="40" t="str">
        <x:f>IFERROR(D321/C321,"")</x:f>
      </x:c>
      <x:c r="H321" s="39"/>
      <x:c r="I321" s="46" t="str">
        <x:f>IF(OR(E321&lt;=0,H321&lt;=0),"",EDATE(TODAY(),ROUNDUP(E321/H321,0)))</x:f>
      </x:c>
    </x:row>
    <x:row r="322">
      <x:c r="A322" s="38" t="str"/>
      <x:c r="B322" s="38" t="str"/>
      <x:c r="C322" s="39"/>
      <x:c r="D322" s="39"/>
      <x:c r="E322" s="39" t="str">
        <x:f>IF(C322="","",C322-D322)</x:f>
      </x:c>
      <x:c r="F322" s="46"/>
      <x:c r="G322" s="40" t="str">
        <x:f>IFERROR(D322/C322,"")</x:f>
      </x:c>
      <x:c r="H322" s="39"/>
      <x:c r="I322" s="46" t="str">
        <x:f>IF(OR(E322&lt;=0,H322&lt;=0),"",EDATE(TODAY(),ROUNDUP(E322/H322,0)))</x:f>
      </x:c>
    </x:row>
    <x:row r="323">
      <x:c r="A323" s="38" t="str"/>
      <x:c r="B323" s="38" t="str"/>
      <x:c r="C323" s="39"/>
      <x:c r="D323" s="39"/>
      <x:c r="E323" s="39" t="str">
        <x:f>IF(C323="","",C323-D323)</x:f>
      </x:c>
      <x:c r="F323" s="46"/>
      <x:c r="G323" s="40" t="str">
        <x:f>IFERROR(D323/C323,"")</x:f>
      </x:c>
      <x:c r="H323" s="39"/>
      <x:c r="I323" s="46" t="str">
        <x:f>IF(OR(E323&lt;=0,H323&lt;=0),"",EDATE(TODAY(),ROUNDUP(E323/H323,0)))</x:f>
      </x:c>
    </x:row>
    <x:row r="324">
      <x:c r="A324" s="38" t="str"/>
      <x:c r="B324" s="38" t="str"/>
      <x:c r="C324" s="39"/>
      <x:c r="D324" s="39"/>
      <x:c r="E324" s="39" t="str">
        <x:f>IF(C324="","",C324-D324)</x:f>
      </x:c>
      <x:c r="F324" s="46"/>
      <x:c r="G324" s="40" t="str">
        <x:f>IFERROR(D324/C324,"")</x:f>
      </x:c>
      <x:c r="H324" s="39"/>
      <x:c r="I324" s="46" t="str">
        <x:f>IF(OR(E324&lt;=0,H324&lt;=0),"",EDATE(TODAY(),ROUNDUP(E324/H324,0)))</x:f>
      </x:c>
    </x:row>
    <x:row r="325">
      <x:c r="A325" s="38" t="str"/>
      <x:c r="B325" s="38" t="str"/>
      <x:c r="C325" s="39"/>
      <x:c r="D325" s="39"/>
      <x:c r="E325" s="39" t="str">
        <x:f>IF(C325="","",C325-D325)</x:f>
      </x:c>
      <x:c r="F325" s="46"/>
      <x:c r="G325" s="40" t="str">
        <x:f>IFERROR(D325/C325,"")</x:f>
      </x:c>
      <x:c r="H325" s="39"/>
      <x:c r="I325" s="46" t="str">
        <x:f>IF(OR(E325&lt;=0,H325&lt;=0),"",EDATE(TODAY(),ROUNDUP(E325/H325,0)))</x:f>
      </x:c>
    </x:row>
    <x:row r="326">
      <x:c r="A326" s="38" t="str"/>
      <x:c r="B326" s="38" t="str"/>
      <x:c r="C326" s="39"/>
      <x:c r="D326" s="39"/>
      <x:c r="E326" s="39" t="str">
        <x:f>IF(C326="","",C326-D326)</x:f>
      </x:c>
      <x:c r="F326" s="46"/>
      <x:c r="G326" s="40" t="str">
        <x:f>IFERROR(D326/C326,"")</x:f>
      </x:c>
      <x:c r="H326" s="39"/>
      <x:c r="I326" s="46" t="str">
        <x:f>IF(OR(E326&lt;=0,H326&lt;=0),"",EDATE(TODAY(),ROUNDUP(E326/H326,0)))</x:f>
      </x:c>
    </x:row>
    <x:row r="327">
      <x:c r="A327" s="38" t="str"/>
      <x:c r="B327" s="38" t="str"/>
      <x:c r="C327" s="39"/>
      <x:c r="D327" s="39"/>
      <x:c r="E327" s="39" t="str">
        <x:f>IF(C327="","",C327-D327)</x:f>
      </x:c>
      <x:c r="F327" s="46"/>
      <x:c r="G327" s="40" t="str">
        <x:f>IFERROR(D327/C327,"")</x:f>
      </x:c>
      <x:c r="H327" s="39"/>
      <x:c r="I327" s="46" t="str">
        <x:f>IF(OR(E327&lt;=0,H327&lt;=0),"",EDATE(TODAY(),ROUNDUP(E327/H327,0)))</x:f>
      </x:c>
    </x:row>
    <x:row r="328">
      <x:c r="A328" s="38" t="str"/>
      <x:c r="B328" s="38" t="str"/>
      <x:c r="C328" s="39"/>
      <x:c r="D328" s="39"/>
      <x:c r="E328" s="39" t="str">
        <x:f>IF(C328="","",C328-D328)</x:f>
      </x:c>
      <x:c r="F328" s="46"/>
      <x:c r="G328" s="40" t="str">
        <x:f>IFERROR(D328/C328,"")</x:f>
      </x:c>
      <x:c r="H328" s="39"/>
      <x:c r="I328" s="46" t="str">
        <x:f>IF(OR(E328&lt;=0,H328&lt;=0),"",EDATE(TODAY(),ROUNDUP(E328/H328,0)))</x:f>
      </x:c>
    </x:row>
    <x:row r="329">
      <x:c r="A329" s="38" t="str"/>
      <x:c r="B329" s="38" t="str"/>
      <x:c r="C329" s="39"/>
      <x:c r="D329" s="39"/>
      <x:c r="E329" s="39" t="str">
        <x:f>IF(C329="","",C329-D329)</x:f>
      </x:c>
      <x:c r="F329" s="46"/>
      <x:c r="G329" s="40" t="str">
        <x:f>IFERROR(D329/C329,"")</x:f>
      </x:c>
      <x:c r="H329" s="39"/>
      <x:c r="I329" s="46" t="str">
        <x:f>IF(OR(E329&lt;=0,H329&lt;=0),"",EDATE(TODAY(),ROUNDUP(E329/H329,0)))</x:f>
      </x:c>
    </x:row>
    <x:row r="330">
      <x:c r="A330" s="38" t="str"/>
      <x:c r="B330" s="38" t="str"/>
      <x:c r="C330" s="39"/>
      <x:c r="D330" s="39"/>
      <x:c r="E330" s="39" t="str">
        <x:f>IF(C330="","",C330-D330)</x:f>
      </x:c>
      <x:c r="F330" s="46"/>
      <x:c r="G330" s="40" t="str">
        <x:f>IFERROR(D330/C330,"")</x:f>
      </x:c>
      <x:c r="H330" s="39"/>
      <x:c r="I330" s="46" t="str">
        <x:f>IF(OR(E330&lt;=0,H330&lt;=0),"",EDATE(TODAY(),ROUNDUP(E330/H330,0)))</x:f>
      </x:c>
    </x:row>
    <x:row r="331">
      <x:c r="A331" s="38" t="str"/>
      <x:c r="B331" s="38" t="str"/>
      <x:c r="C331" s="39"/>
      <x:c r="D331" s="39"/>
      <x:c r="E331" s="39" t="str">
        <x:f>IF(C331="","",C331-D331)</x:f>
      </x:c>
      <x:c r="F331" s="46"/>
      <x:c r="G331" s="40" t="str">
        <x:f>IFERROR(D331/C331,"")</x:f>
      </x:c>
      <x:c r="H331" s="39"/>
      <x:c r="I331" s="46" t="str">
        <x:f>IF(OR(E331&lt;=0,H331&lt;=0),"",EDATE(TODAY(),ROUNDUP(E331/H331,0)))</x:f>
      </x:c>
    </x:row>
    <x:row r="332">
      <x:c r="A332" s="38" t="str"/>
      <x:c r="B332" s="38" t="str"/>
      <x:c r="C332" s="39"/>
      <x:c r="D332" s="39"/>
      <x:c r="E332" s="39" t="str">
        <x:f>IF(C332="","",C332-D332)</x:f>
      </x:c>
      <x:c r="F332" s="46"/>
      <x:c r="G332" s="40" t="str">
        <x:f>IFERROR(D332/C332,"")</x:f>
      </x:c>
      <x:c r="H332" s="39"/>
      <x:c r="I332" s="46" t="str">
        <x:f>IF(OR(E332&lt;=0,H332&lt;=0),"",EDATE(TODAY(),ROUNDUP(E332/H332,0)))</x:f>
      </x:c>
    </x:row>
    <x:row r="333">
      <x:c r="A333" s="38" t="str"/>
      <x:c r="B333" s="38" t="str"/>
      <x:c r="C333" s="39"/>
      <x:c r="D333" s="39"/>
      <x:c r="E333" s="39" t="str">
        <x:f>IF(C333="","",C333-D333)</x:f>
      </x:c>
      <x:c r="F333" s="46"/>
      <x:c r="G333" s="40" t="str">
        <x:f>IFERROR(D333/C333,"")</x:f>
      </x:c>
      <x:c r="H333" s="39"/>
      <x:c r="I333" s="46" t="str">
        <x:f>IF(OR(E333&lt;=0,H333&lt;=0),"",EDATE(TODAY(),ROUNDUP(E333/H333,0)))</x:f>
      </x:c>
    </x:row>
    <x:row r="334">
      <x:c r="A334" s="38" t="str"/>
      <x:c r="B334" s="38" t="str"/>
      <x:c r="C334" s="39"/>
      <x:c r="D334" s="39"/>
      <x:c r="E334" s="39" t="str">
        <x:f>IF(C334="","",C334-D334)</x:f>
      </x:c>
      <x:c r="F334" s="46"/>
      <x:c r="G334" s="40" t="str">
        <x:f>IFERROR(D334/C334,"")</x:f>
      </x:c>
      <x:c r="H334" s="39"/>
      <x:c r="I334" s="46" t="str">
        <x:f>IF(OR(E334&lt;=0,H334&lt;=0),"",EDATE(TODAY(),ROUNDUP(E334/H334,0)))</x:f>
      </x:c>
    </x:row>
    <x:row r="335">
      <x:c r="A335" s="38" t="str"/>
      <x:c r="B335" s="38" t="str"/>
      <x:c r="C335" s="39"/>
      <x:c r="D335" s="39"/>
      <x:c r="E335" s="39" t="str">
        <x:f>IF(C335="","",C335-D335)</x:f>
      </x:c>
      <x:c r="F335" s="46"/>
      <x:c r="G335" s="40" t="str">
        <x:f>IFERROR(D335/C335,"")</x:f>
      </x:c>
      <x:c r="H335" s="39"/>
      <x:c r="I335" s="46" t="str">
        <x:f>IF(OR(E335&lt;=0,H335&lt;=0),"",EDATE(TODAY(),ROUNDUP(E335/H335,0)))</x:f>
      </x:c>
    </x:row>
    <x:row r="336">
      <x:c r="A336" s="38" t="str"/>
      <x:c r="B336" s="38" t="str"/>
      <x:c r="C336" s="39"/>
      <x:c r="D336" s="39"/>
      <x:c r="E336" s="39" t="str">
        <x:f>IF(C336="","",C336-D336)</x:f>
      </x:c>
      <x:c r="F336" s="46"/>
      <x:c r="G336" s="40" t="str">
        <x:f>IFERROR(D336/C336,"")</x:f>
      </x:c>
      <x:c r="H336" s="39"/>
      <x:c r="I336" s="46" t="str">
        <x:f>IF(OR(E336&lt;=0,H336&lt;=0),"",EDATE(TODAY(),ROUNDUP(E336/H336,0)))</x:f>
      </x:c>
    </x:row>
    <x:row r="337">
      <x:c r="A337" s="38" t="str"/>
      <x:c r="B337" s="38" t="str"/>
      <x:c r="C337" s="39"/>
      <x:c r="D337" s="39"/>
      <x:c r="E337" s="39" t="str">
        <x:f>IF(C337="","",C337-D337)</x:f>
      </x:c>
      <x:c r="F337" s="46"/>
      <x:c r="G337" s="40" t="str">
        <x:f>IFERROR(D337/C337,"")</x:f>
      </x:c>
      <x:c r="H337" s="39"/>
      <x:c r="I337" s="46" t="str">
        <x:f>IF(OR(E337&lt;=0,H337&lt;=0),"",EDATE(TODAY(),ROUNDUP(E337/H337,0)))</x:f>
      </x:c>
    </x:row>
    <x:row r="338">
      <x:c r="A338" s="38" t="str"/>
      <x:c r="B338" s="38" t="str"/>
      <x:c r="C338" s="39"/>
      <x:c r="D338" s="39"/>
      <x:c r="E338" s="39" t="str">
        <x:f>IF(C338="","",C338-D338)</x:f>
      </x:c>
      <x:c r="F338" s="46"/>
      <x:c r="G338" s="40" t="str">
        <x:f>IFERROR(D338/C338,"")</x:f>
      </x:c>
      <x:c r="H338" s="39"/>
      <x:c r="I338" s="46" t="str">
        <x:f>IF(OR(E338&lt;=0,H338&lt;=0),"",EDATE(TODAY(),ROUNDUP(E338/H338,0)))</x:f>
      </x:c>
    </x:row>
    <x:row r="339">
      <x:c r="A339" s="38" t="str"/>
      <x:c r="B339" s="38" t="str"/>
      <x:c r="C339" s="39"/>
      <x:c r="D339" s="39"/>
      <x:c r="E339" s="39" t="str">
        <x:f>IF(C339="","",C339-D339)</x:f>
      </x:c>
      <x:c r="F339" s="46"/>
      <x:c r="G339" s="40" t="str">
        <x:f>IFERROR(D339/C339,"")</x:f>
      </x:c>
      <x:c r="H339" s="39"/>
      <x:c r="I339" s="46" t="str">
        <x:f>IF(OR(E339&lt;=0,H339&lt;=0),"",EDATE(TODAY(),ROUNDUP(E339/H339,0)))</x:f>
      </x:c>
    </x:row>
    <x:row r="340">
      <x:c r="A340" s="38" t="str"/>
      <x:c r="B340" s="38" t="str"/>
      <x:c r="C340" s="39"/>
      <x:c r="D340" s="39"/>
      <x:c r="E340" s="39" t="str">
        <x:f>IF(C340="","",C340-D340)</x:f>
      </x:c>
      <x:c r="F340" s="46"/>
      <x:c r="G340" s="40" t="str">
        <x:f>IFERROR(D340/C340,"")</x:f>
      </x:c>
      <x:c r="H340" s="39"/>
      <x:c r="I340" s="46" t="str">
        <x:f>IF(OR(E340&lt;=0,H340&lt;=0),"",EDATE(TODAY(),ROUNDUP(E340/H340,0)))</x:f>
      </x:c>
    </x:row>
    <x:row r="341">
      <x:c r="A341" s="38" t="str"/>
      <x:c r="B341" s="38" t="str"/>
      <x:c r="C341" s="39"/>
      <x:c r="D341" s="39"/>
      <x:c r="E341" s="39" t="str">
        <x:f>IF(C341="","",C341-D341)</x:f>
      </x:c>
      <x:c r="F341" s="46"/>
      <x:c r="G341" s="40" t="str">
        <x:f>IFERROR(D341/C341,"")</x:f>
      </x:c>
      <x:c r="H341" s="39"/>
      <x:c r="I341" s="46" t="str">
        <x:f>IF(OR(E341&lt;=0,H341&lt;=0),"",EDATE(TODAY(),ROUNDUP(E341/H341,0)))</x:f>
      </x:c>
    </x:row>
    <x:row r="342">
      <x:c r="A342" s="38" t="str"/>
      <x:c r="B342" s="38" t="str"/>
      <x:c r="C342" s="39"/>
      <x:c r="D342" s="39"/>
      <x:c r="E342" s="39" t="str">
        <x:f>IF(C342="","",C342-D342)</x:f>
      </x:c>
      <x:c r="F342" s="46"/>
      <x:c r="G342" s="40" t="str">
        <x:f>IFERROR(D342/C342,"")</x:f>
      </x:c>
      <x:c r="H342" s="39"/>
      <x:c r="I342" s="46" t="str">
        <x:f>IF(OR(E342&lt;=0,H342&lt;=0),"",EDATE(TODAY(),ROUNDUP(E342/H342,0)))</x:f>
      </x:c>
    </x:row>
    <x:row r="343">
      <x:c r="A343" s="38" t="str"/>
      <x:c r="B343" s="38" t="str"/>
      <x:c r="C343" s="39"/>
      <x:c r="D343" s="39"/>
      <x:c r="E343" s="39" t="str">
        <x:f>IF(C343="","",C343-D343)</x:f>
      </x:c>
      <x:c r="F343" s="46"/>
      <x:c r="G343" s="40" t="str">
        <x:f>IFERROR(D343/C343,"")</x:f>
      </x:c>
      <x:c r="H343" s="39"/>
      <x:c r="I343" s="46" t="str">
        <x:f>IF(OR(E343&lt;=0,H343&lt;=0),"",EDATE(TODAY(),ROUNDUP(E343/H343,0)))</x:f>
      </x:c>
    </x:row>
    <x:row r="344">
      <x:c r="A344" s="38" t="str"/>
      <x:c r="B344" s="38" t="str"/>
      <x:c r="C344" s="39"/>
      <x:c r="D344" s="39"/>
      <x:c r="E344" s="39" t="str">
        <x:f>IF(C344="","",C344-D344)</x:f>
      </x:c>
      <x:c r="F344" s="46"/>
      <x:c r="G344" s="40" t="str">
        <x:f>IFERROR(D344/C344,"")</x:f>
      </x:c>
      <x:c r="H344" s="39"/>
      <x:c r="I344" s="46" t="str">
        <x:f>IF(OR(E344&lt;=0,H344&lt;=0),"",EDATE(TODAY(),ROUNDUP(E344/H344,0)))</x:f>
      </x:c>
    </x:row>
    <x:row r="345">
      <x:c r="A345" s="38" t="str"/>
      <x:c r="B345" s="38" t="str"/>
      <x:c r="C345" s="39"/>
      <x:c r="D345" s="39"/>
      <x:c r="E345" s="39" t="str">
        <x:f>IF(C345="","",C345-D345)</x:f>
      </x:c>
      <x:c r="F345" s="46"/>
      <x:c r="G345" s="40" t="str">
        <x:f>IFERROR(D345/C345,"")</x:f>
      </x:c>
      <x:c r="H345" s="39"/>
      <x:c r="I345" s="46" t="str">
        <x:f>IF(OR(E345&lt;=0,H345&lt;=0),"",EDATE(TODAY(),ROUNDUP(E345/H345,0)))</x:f>
      </x:c>
    </x:row>
    <x:row r="346">
      <x:c r="A346" s="38" t="str"/>
      <x:c r="B346" s="38" t="str"/>
      <x:c r="C346" s="39"/>
      <x:c r="D346" s="39"/>
      <x:c r="E346" s="39" t="str">
        <x:f>IF(C346="","",C346-D346)</x:f>
      </x:c>
      <x:c r="F346" s="46"/>
      <x:c r="G346" s="40" t="str">
        <x:f>IFERROR(D346/C346,"")</x:f>
      </x:c>
      <x:c r="H346" s="39"/>
      <x:c r="I346" s="46" t="str">
        <x:f>IF(OR(E346&lt;=0,H346&lt;=0),"",EDATE(TODAY(),ROUNDUP(E346/H346,0)))</x:f>
      </x:c>
    </x:row>
    <x:row r="347">
      <x:c r="A347" s="38" t="str"/>
      <x:c r="B347" s="38" t="str"/>
      <x:c r="C347" s="39"/>
      <x:c r="D347" s="39"/>
      <x:c r="E347" s="39" t="str">
        <x:f>IF(C347="","",C347-D347)</x:f>
      </x:c>
      <x:c r="F347" s="46"/>
      <x:c r="G347" s="40" t="str">
        <x:f>IFERROR(D347/C347,"")</x:f>
      </x:c>
      <x:c r="H347" s="39"/>
      <x:c r="I347" s="46" t="str">
        <x:f>IF(OR(E347&lt;=0,H347&lt;=0),"",EDATE(TODAY(),ROUNDUP(E347/H347,0)))</x:f>
      </x:c>
    </x:row>
    <x:row r="348">
      <x:c r="A348" s="38" t="str"/>
      <x:c r="B348" s="38" t="str"/>
      <x:c r="C348" s="39"/>
      <x:c r="D348" s="39"/>
      <x:c r="E348" s="39" t="str">
        <x:f>IF(C348="","",C348-D348)</x:f>
      </x:c>
      <x:c r="F348" s="46"/>
      <x:c r="G348" s="40" t="str">
        <x:f>IFERROR(D348/C348,"")</x:f>
      </x:c>
      <x:c r="H348" s="39"/>
      <x:c r="I348" s="46" t="str">
        <x:f>IF(OR(E348&lt;=0,H348&lt;=0),"",EDATE(TODAY(),ROUNDUP(E348/H348,0)))</x:f>
      </x:c>
    </x:row>
    <x:row r="349">
      <x:c r="A349" s="38" t="str"/>
      <x:c r="B349" s="38" t="str"/>
      <x:c r="C349" s="39"/>
      <x:c r="D349" s="39"/>
      <x:c r="E349" s="39" t="str">
        <x:f>IF(C349="","",C349-D349)</x:f>
      </x:c>
      <x:c r="F349" s="46"/>
      <x:c r="G349" s="40" t="str">
        <x:f>IFERROR(D349/C349,"")</x:f>
      </x:c>
      <x:c r="H349" s="39"/>
      <x:c r="I349" s="46" t="str">
        <x:f>IF(OR(E349&lt;=0,H349&lt;=0),"",EDATE(TODAY(),ROUNDUP(E349/H349,0)))</x:f>
      </x:c>
    </x:row>
    <x:row r="350">
      <x:c r="A350" s="38" t="str"/>
      <x:c r="B350" s="38" t="str"/>
      <x:c r="C350" s="39"/>
      <x:c r="D350" s="39"/>
      <x:c r="E350" s="39" t="str">
        <x:f>IF(C350="","",C350-D350)</x:f>
      </x:c>
      <x:c r="F350" s="46"/>
      <x:c r="G350" s="40" t="str">
        <x:f>IFERROR(D350/C350,"")</x:f>
      </x:c>
      <x:c r="H350" s="39"/>
      <x:c r="I350" s="46" t="str">
        <x:f>IF(OR(E350&lt;=0,H350&lt;=0),"",EDATE(TODAY(),ROUNDUP(E350/H350,0)))</x:f>
      </x:c>
    </x:row>
    <x:row r="351">
      <x:c r="A351" s="38" t="str"/>
      <x:c r="B351" s="38" t="str"/>
      <x:c r="C351" s="39"/>
      <x:c r="D351" s="39"/>
      <x:c r="E351" s="39" t="str">
        <x:f>IF(C351="","",C351-D351)</x:f>
      </x:c>
      <x:c r="F351" s="46"/>
      <x:c r="G351" s="40" t="str">
        <x:f>IFERROR(D351/C351,"")</x:f>
      </x:c>
      <x:c r="H351" s="39"/>
      <x:c r="I351" s="46" t="str">
        <x:f>IF(OR(E351&lt;=0,H351&lt;=0),"",EDATE(TODAY(),ROUNDUP(E351/H351,0)))</x:f>
      </x:c>
    </x:row>
    <x:row r="352">
      <x:c r="A352" s="38" t="str"/>
      <x:c r="B352" s="38" t="str"/>
      <x:c r="C352" s="39"/>
      <x:c r="D352" s="39"/>
      <x:c r="E352" s="39" t="str">
        <x:f>IF(C352="","",C352-D352)</x:f>
      </x:c>
      <x:c r="F352" s="46"/>
      <x:c r="G352" s="40" t="str">
        <x:f>IFERROR(D352/C352,"")</x:f>
      </x:c>
      <x:c r="H352" s="39"/>
      <x:c r="I352" s="46" t="str">
        <x:f>IF(OR(E352&lt;=0,H352&lt;=0),"",EDATE(TODAY(),ROUNDUP(E352/H352,0)))</x:f>
      </x:c>
    </x:row>
    <x:row r="353">
      <x:c r="A353" s="38" t="str"/>
      <x:c r="B353" s="38" t="str"/>
      <x:c r="C353" s="39"/>
      <x:c r="D353" s="39"/>
      <x:c r="E353" s="39" t="str">
        <x:f>IF(C353="","",C353-D353)</x:f>
      </x:c>
      <x:c r="F353" s="46"/>
      <x:c r="G353" s="40" t="str">
        <x:f>IFERROR(D353/C353,"")</x:f>
      </x:c>
      <x:c r="H353" s="39"/>
      <x:c r="I353" s="46" t="str">
        <x:f>IF(OR(E353&lt;=0,H353&lt;=0),"",EDATE(TODAY(),ROUNDUP(E353/H353,0)))</x:f>
      </x:c>
    </x:row>
    <x:row r="354">
      <x:c r="A354" s="38" t="str"/>
      <x:c r="B354" s="38" t="str"/>
      <x:c r="C354" s="39"/>
      <x:c r="D354" s="39"/>
      <x:c r="E354" s="39" t="str">
        <x:f>IF(C354="","",C354-D354)</x:f>
      </x:c>
      <x:c r="F354" s="46"/>
      <x:c r="G354" s="40" t="str">
        <x:f>IFERROR(D354/C354,"")</x:f>
      </x:c>
      <x:c r="H354" s="39"/>
      <x:c r="I354" s="46" t="str">
        <x:f>IF(OR(E354&lt;=0,H354&lt;=0),"",EDATE(TODAY(),ROUNDUP(E354/H354,0)))</x:f>
      </x:c>
    </x:row>
    <x:row r="355">
      <x:c r="A355" s="38" t="str"/>
      <x:c r="B355" s="38" t="str"/>
      <x:c r="C355" s="39"/>
      <x:c r="D355" s="39"/>
      <x:c r="E355" s="39" t="str">
        <x:f>IF(C355="","",C355-D355)</x:f>
      </x:c>
      <x:c r="F355" s="46"/>
      <x:c r="G355" s="40" t="str">
        <x:f>IFERROR(D355/C355,"")</x:f>
      </x:c>
      <x:c r="H355" s="39"/>
      <x:c r="I355" s="46" t="str">
        <x:f>IF(OR(E355&lt;=0,H355&lt;=0),"",EDATE(TODAY(),ROUNDUP(E355/H355,0)))</x:f>
      </x:c>
    </x:row>
    <x:row r="356">
      <x:c r="A356" s="38" t="str"/>
      <x:c r="B356" s="38" t="str"/>
      <x:c r="C356" s="39"/>
      <x:c r="D356" s="39"/>
      <x:c r="E356" s="39" t="str">
        <x:f>IF(C356="","",C356-D356)</x:f>
      </x:c>
      <x:c r="F356" s="46"/>
      <x:c r="G356" s="40" t="str">
        <x:f>IFERROR(D356/C356,"")</x:f>
      </x:c>
      <x:c r="H356" s="39"/>
      <x:c r="I356" s="46" t="str">
        <x:f>IF(OR(E356&lt;=0,H356&lt;=0),"",EDATE(TODAY(),ROUNDUP(E356/H356,0)))</x:f>
      </x:c>
    </x:row>
    <x:row r="357">
      <x:c r="A357" s="38" t="str"/>
      <x:c r="B357" s="38" t="str"/>
      <x:c r="C357" s="39"/>
      <x:c r="D357" s="39"/>
      <x:c r="E357" s="39" t="str">
        <x:f>IF(C357="","",C357-D357)</x:f>
      </x:c>
      <x:c r="F357" s="46"/>
      <x:c r="G357" s="40" t="str">
        <x:f>IFERROR(D357/C357,"")</x:f>
      </x:c>
      <x:c r="H357" s="39"/>
      <x:c r="I357" s="46" t="str">
        <x:f>IF(OR(E357&lt;=0,H357&lt;=0),"",EDATE(TODAY(),ROUNDUP(E357/H357,0)))</x:f>
      </x:c>
    </x:row>
    <x:row r="358">
      <x:c r="A358" s="38" t="str"/>
      <x:c r="B358" s="38" t="str"/>
      <x:c r="C358" s="39"/>
      <x:c r="D358" s="39"/>
      <x:c r="E358" s="39" t="str">
        <x:f>IF(C358="","",C358-D358)</x:f>
      </x:c>
      <x:c r="F358" s="46"/>
      <x:c r="G358" s="40" t="str">
        <x:f>IFERROR(D358/C358,"")</x:f>
      </x:c>
      <x:c r="H358" s="39"/>
      <x:c r="I358" s="46" t="str">
        <x:f>IF(OR(E358&lt;=0,H358&lt;=0),"",EDATE(TODAY(),ROUNDUP(E358/H358,0)))</x:f>
      </x:c>
    </x:row>
    <x:row r="359">
      <x:c r="A359" s="38" t="str"/>
      <x:c r="B359" s="38" t="str"/>
      <x:c r="C359" s="39"/>
      <x:c r="D359" s="39"/>
      <x:c r="E359" s="39" t="str">
        <x:f>IF(C359="","",C359-D359)</x:f>
      </x:c>
      <x:c r="F359" s="46"/>
      <x:c r="G359" s="40" t="str">
        <x:f>IFERROR(D359/C359,"")</x:f>
      </x:c>
      <x:c r="H359" s="39"/>
      <x:c r="I359" s="46" t="str">
        <x:f>IF(OR(E359&lt;=0,H359&lt;=0),"",EDATE(TODAY(),ROUNDUP(E359/H359,0)))</x:f>
      </x:c>
    </x:row>
    <x:row r="360">
      <x:c r="A360" s="38" t="str"/>
      <x:c r="B360" s="38" t="str"/>
      <x:c r="C360" s="39"/>
      <x:c r="D360" s="39"/>
      <x:c r="E360" s="39" t="str">
        <x:f>IF(C360="","",C360-D360)</x:f>
      </x:c>
      <x:c r="F360" s="46"/>
      <x:c r="G360" s="40" t="str">
        <x:f>IFERROR(D360/C360,"")</x:f>
      </x:c>
      <x:c r="H360" s="39"/>
      <x:c r="I360" s="46" t="str">
        <x:f>IF(OR(E360&lt;=0,H360&lt;=0),"",EDATE(TODAY(),ROUNDUP(E360/H360,0)))</x:f>
      </x:c>
    </x:row>
    <x:row r="361">
      <x:c r="A361" s="38" t="str"/>
      <x:c r="B361" s="38" t="str"/>
      <x:c r="C361" s="39"/>
      <x:c r="D361" s="39"/>
      <x:c r="E361" s="39" t="str">
        <x:f>IF(C361="","",C361-D361)</x:f>
      </x:c>
      <x:c r="F361" s="46"/>
      <x:c r="G361" s="40" t="str">
        <x:f>IFERROR(D361/C361,"")</x:f>
      </x:c>
      <x:c r="H361" s="39"/>
      <x:c r="I361" s="46" t="str">
        <x:f>IF(OR(E361&lt;=0,H361&lt;=0),"",EDATE(TODAY(),ROUNDUP(E361/H361,0)))</x:f>
      </x:c>
    </x:row>
    <x:row r="362">
      <x:c r="A362" s="38" t="str"/>
      <x:c r="B362" s="38" t="str"/>
      <x:c r="C362" s="39"/>
      <x:c r="D362" s="39"/>
      <x:c r="E362" s="39" t="str">
        <x:f>IF(C362="","",C362-D362)</x:f>
      </x:c>
      <x:c r="F362" s="46"/>
      <x:c r="G362" s="40" t="str">
        <x:f>IFERROR(D362/C362,"")</x:f>
      </x:c>
      <x:c r="H362" s="39"/>
      <x:c r="I362" s="46" t="str">
        <x:f>IF(OR(E362&lt;=0,H362&lt;=0),"",EDATE(TODAY(),ROUNDUP(E362/H362,0)))</x:f>
      </x:c>
    </x:row>
    <x:row r="363">
      <x:c r="A363" s="38" t="str"/>
      <x:c r="B363" s="38" t="str"/>
      <x:c r="C363" s="39"/>
      <x:c r="D363" s="39"/>
      <x:c r="E363" s="39" t="str">
        <x:f>IF(C363="","",C363-D363)</x:f>
      </x:c>
      <x:c r="F363" s="46"/>
      <x:c r="G363" s="40" t="str">
        <x:f>IFERROR(D363/C363,"")</x:f>
      </x:c>
      <x:c r="H363" s="39"/>
      <x:c r="I363" s="46" t="str">
        <x:f>IF(OR(E363&lt;=0,H363&lt;=0),"",EDATE(TODAY(),ROUNDUP(E363/H363,0)))</x:f>
      </x:c>
    </x:row>
    <x:row r="364">
      <x:c r="A364" s="38" t="str"/>
      <x:c r="B364" s="38" t="str"/>
      <x:c r="C364" s="39"/>
      <x:c r="D364" s="39"/>
      <x:c r="E364" s="39" t="str">
        <x:f>IF(C364="","",C364-D364)</x:f>
      </x:c>
      <x:c r="F364" s="46"/>
      <x:c r="G364" s="40" t="str">
        <x:f>IFERROR(D364/C364,"")</x:f>
      </x:c>
      <x:c r="H364" s="39"/>
      <x:c r="I364" s="46" t="str">
        <x:f>IF(OR(E364&lt;=0,H364&lt;=0),"",EDATE(TODAY(),ROUNDUP(E364/H364,0)))</x:f>
      </x:c>
    </x:row>
    <x:row r="365">
      <x:c r="A365" s="38" t="str"/>
      <x:c r="B365" s="38" t="str"/>
      <x:c r="C365" s="39"/>
      <x:c r="D365" s="39"/>
      <x:c r="E365" s="39" t="str">
        <x:f>IF(C365="","",C365-D365)</x:f>
      </x:c>
      <x:c r="F365" s="46"/>
      <x:c r="G365" s="40" t="str">
        <x:f>IFERROR(D365/C365,"")</x:f>
      </x:c>
      <x:c r="H365" s="39"/>
      <x:c r="I365" s="46" t="str">
        <x:f>IF(OR(E365&lt;=0,H365&lt;=0),"",EDATE(TODAY(),ROUNDUP(E365/H365,0)))</x:f>
      </x:c>
    </x:row>
    <x:row r="366">
      <x:c r="A366" s="38" t="str"/>
      <x:c r="B366" s="38" t="str"/>
      <x:c r="C366" s="39"/>
      <x:c r="D366" s="39"/>
      <x:c r="E366" s="39" t="str">
        <x:f>IF(C366="","",C366-D366)</x:f>
      </x:c>
      <x:c r="F366" s="46"/>
      <x:c r="G366" s="40" t="str">
        <x:f>IFERROR(D366/C366,"")</x:f>
      </x:c>
      <x:c r="H366" s="39"/>
      <x:c r="I366" s="46" t="str">
        <x:f>IF(OR(E366&lt;=0,H366&lt;=0),"",EDATE(TODAY(),ROUNDUP(E366/H366,0)))</x:f>
      </x:c>
    </x:row>
    <x:row r="367">
      <x:c r="A367" s="38" t="str"/>
      <x:c r="B367" s="38" t="str"/>
      <x:c r="C367" s="39"/>
      <x:c r="D367" s="39"/>
      <x:c r="E367" s="39" t="str">
        <x:f>IF(C367="","",C367-D367)</x:f>
      </x:c>
      <x:c r="F367" s="46"/>
      <x:c r="G367" s="40" t="str">
        <x:f>IFERROR(D367/C367,"")</x:f>
      </x:c>
      <x:c r="H367" s="39"/>
      <x:c r="I367" s="46" t="str">
        <x:f>IF(OR(E367&lt;=0,H367&lt;=0),"",EDATE(TODAY(),ROUNDUP(E367/H367,0)))</x:f>
      </x:c>
    </x:row>
    <x:row r="368">
      <x:c r="A368" s="38" t="str"/>
      <x:c r="B368" s="38" t="str"/>
      <x:c r="C368" s="39"/>
      <x:c r="D368" s="39"/>
      <x:c r="E368" s="39" t="str">
        <x:f>IF(C368="","",C368-D368)</x:f>
      </x:c>
      <x:c r="F368" s="46"/>
      <x:c r="G368" s="40" t="str">
        <x:f>IFERROR(D368/C368,"")</x:f>
      </x:c>
      <x:c r="H368" s="39"/>
      <x:c r="I368" s="46" t="str">
        <x:f>IF(OR(E368&lt;=0,H368&lt;=0),"",EDATE(TODAY(),ROUNDUP(E368/H368,0)))</x:f>
      </x:c>
    </x:row>
    <x:row r="369">
      <x:c r="A369" s="38" t="str"/>
      <x:c r="B369" s="38" t="str"/>
      <x:c r="C369" s="39"/>
      <x:c r="D369" s="39"/>
      <x:c r="E369" s="39" t="str">
        <x:f>IF(C369="","",C369-D369)</x:f>
      </x:c>
      <x:c r="F369" s="46"/>
      <x:c r="G369" s="40" t="str">
        <x:f>IFERROR(D369/C369,"")</x:f>
      </x:c>
      <x:c r="H369" s="39"/>
      <x:c r="I369" s="46" t="str">
        <x:f>IF(OR(E369&lt;=0,H369&lt;=0),"",EDATE(TODAY(),ROUNDUP(E369/H369,0)))</x:f>
      </x:c>
    </x:row>
    <x:row r="370">
      <x:c r="A370" s="38" t="str"/>
      <x:c r="B370" s="38" t="str"/>
      <x:c r="C370" s="39"/>
      <x:c r="D370" s="39"/>
      <x:c r="E370" s="39" t="str">
        <x:f>IF(C370="","",C370-D370)</x:f>
      </x:c>
      <x:c r="F370" s="46"/>
      <x:c r="G370" s="40" t="str">
        <x:f>IFERROR(D370/C370,"")</x:f>
      </x:c>
      <x:c r="H370" s="39"/>
      <x:c r="I370" s="46" t="str">
        <x:f>IF(OR(E370&lt;=0,H370&lt;=0),"",EDATE(TODAY(),ROUNDUP(E370/H370,0)))</x:f>
      </x:c>
    </x:row>
    <x:row r="371">
      <x:c r="A371" s="38" t="str"/>
      <x:c r="B371" s="38" t="str"/>
      <x:c r="C371" s="39"/>
      <x:c r="D371" s="39"/>
      <x:c r="E371" s="39" t="str">
        <x:f>IF(C371="","",C371-D371)</x:f>
      </x:c>
      <x:c r="F371" s="46"/>
      <x:c r="G371" s="40" t="str">
        <x:f>IFERROR(D371/C371,"")</x:f>
      </x:c>
      <x:c r="H371" s="39"/>
      <x:c r="I371" s="46" t="str">
        <x:f>IF(OR(E371&lt;=0,H371&lt;=0),"",EDATE(TODAY(),ROUNDUP(E371/H371,0)))</x:f>
      </x:c>
    </x:row>
    <x:row r="372">
      <x:c r="A372" s="38" t="str"/>
      <x:c r="B372" s="38" t="str"/>
      <x:c r="C372" s="39"/>
      <x:c r="D372" s="39"/>
      <x:c r="E372" s="39" t="str">
        <x:f>IF(C372="","",C372-D372)</x:f>
      </x:c>
      <x:c r="F372" s="46"/>
      <x:c r="G372" s="40" t="str">
        <x:f>IFERROR(D372/C372,"")</x:f>
      </x:c>
      <x:c r="H372" s="39"/>
      <x:c r="I372" s="46" t="str">
        <x:f>IF(OR(E372&lt;=0,H372&lt;=0),"",EDATE(TODAY(),ROUNDUP(E372/H372,0)))</x:f>
      </x:c>
    </x:row>
    <x:row r="373">
      <x:c r="A373" s="38" t="str"/>
      <x:c r="B373" s="38" t="str"/>
      <x:c r="C373" s="39"/>
      <x:c r="D373" s="39"/>
      <x:c r="E373" s="39" t="str">
        <x:f>IF(C373="","",C373-D373)</x:f>
      </x:c>
      <x:c r="F373" s="46"/>
      <x:c r="G373" s="40" t="str">
        <x:f>IFERROR(D373/C373,"")</x:f>
      </x:c>
      <x:c r="H373" s="39"/>
      <x:c r="I373" s="46" t="str">
        <x:f>IF(OR(E373&lt;=0,H373&lt;=0),"",EDATE(TODAY(),ROUNDUP(E373/H373,0)))</x:f>
      </x:c>
    </x:row>
    <x:row r="374">
      <x:c r="A374" s="38" t="str"/>
      <x:c r="B374" s="38" t="str"/>
      <x:c r="C374" s="39"/>
      <x:c r="D374" s="39"/>
      <x:c r="E374" s="39" t="str">
        <x:f>IF(C374="","",C374-D374)</x:f>
      </x:c>
      <x:c r="F374" s="46"/>
      <x:c r="G374" s="40" t="str">
        <x:f>IFERROR(D374/C374,"")</x:f>
      </x:c>
      <x:c r="H374" s="39"/>
      <x:c r="I374" s="46" t="str">
        <x:f>IF(OR(E374&lt;=0,H374&lt;=0),"",EDATE(TODAY(),ROUNDUP(E374/H374,0)))</x:f>
      </x:c>
    </x:row>
    <x:row r="375">
      <x:c r="A375" s="38" t="str"/>
      <x:c r="B375" s="38" t="str"/>
      <x:c r="C375" s="39"/>
      <x:c r="D375" s="39"/>
      <x:c r="E375" s="39" t="str">
        <x:f>IF(C375="","",C375-D375)</x:f>
      </x:c>
      <x:c r="F375" s="46"/>
      <x:c r="G375" s="40" t="str">
        <x:f>IFERROR(D375/C375,"")</x:f>
      </x:c>
      <x:c r="H375" s="39"/>
      <x:c r="I375" s="46" t="str">
        <x:f>IF(OR(E375&lt;=0,H375&lt;=0),"",EDATE(TODAY(),ROUNDUP(E375/H375,0)))</x:f>
      </x:c>
    </x:row>
    <x:row r="376">
      <x:c r="A376" s="38" t="str"/>
      <x:c r="B376" s="38" t="str"/>
      <x:c r="C376" s="39"/>
      <x:c r="D376" s="39"/>
      <x:c r="E376" s="39" t="str">
        <x:f>IF(C376="","",C376-D376)</x:f>
      </x:c>
      <x:c r="F376" s="46"/>
      <x:c r="G376" s="40" t="str">
        <x:f>IFERROR(D376/C376,"")</x:f>
      </x:c>
      <x:c r="H376" s="39"/>
      <x:c r="I376" s="46" t="str">
        <x:f>IF(OR(E376&lt;=0,H376&lt;=0),"",EDATE(TODAY(),ROUNDUP(E376/H376,0)))</x:f>
      </x:c>
    </x:row>
    <x:row r="377">
      <x:c r="A377" s="38" t="str"/>
      <x:c r="B377" s="38" t="str"/>
      <x:c r="C377" s="39"/>
      <x:c r="D377" s="39"/>
      <x:c r="E377" s="39" t="str">
        <x:f>IF(C377="","",C377-D377)</x:f>
      </x:c>
      <x:c r="F377" s="46"/>
      <x:c r="G377" s="40" t="str">
        <x:f>IFERROR(D377/C377,"")</x:f>
      </x:c>
      <x:c r="H377" s="39"/>
      <x:c r="I377" s="46" t="str">
        <x:f>IF(OR(E377&lt;=0,H377&lt;=0),"",EDATE(TODAY(),ROUNDUP(E377/H377,0)))</x:f>
      </x:c>
    </x:row>
    <x:row r="378">
      <x:c r="A378" s="38" t="str"/>
      <x:c r="B378" s="38" t="str"/>
      <x:c r="C378" s="39"/>
      <x:c r="D378" s="39"/>
      <x:c r="E378" s="39" t="str">
        <x:f>IF(C378="","",C378-D378)</x:f>
      </x:c>
      <x:c r="F378" s="46"/>
      <x:c r="G378" s="40" t="str">
        <x:f>IFERROR(D378/C378,"")</x:f>
      </x:c>
      <x:c r="H378" s="39"/>
      <x:c r="I378" s="46" t="str">
        <x:f>IF(OR(E378&lt;=0,H378&lt;=0),"",EDATE(TODAY(),ROUNDUP(E378/H378,0)))</x:f>
      </x:c>
    </x:row>
    <x:row r="379">
      <x:c r="A379" s="38" t="str"/>
      <x:c r="B379" s="38" t="str"/>
      <x:c r="C379" s="39"/>
      <x:c r="D379" s="39"/>
      <x:c r="E379" s="39" t="str">
        <x:f>IF(C379="","",C379-D379)</x:f>
      </x:c>
      <x:c r="F379" s="46"/>
      <x:c r="G379" s="40" t="str">
        <x:f>IFERROR(D379/C379,"")</x:f>
      </x:c>
      <x:c r="H379" s="39"/>
      <x:c r="I379" s="46" t="str">
        <x:f>IF(OR(E379&lt;=0,H379&lt;=0),"",EDATE(TODAY(),ROUNDUP(E379/H379,0)))</x:f>
      </x:c>
    </x:row>
    <x:row r="380">
      <x:c r="A380" s="38" t="str"/>
      <x:c r="B380" s="38" t="str"/>
      <x:c r="C380" s="39"/>
      <x:c r="D380" s="39"/>
      <x:c r="E380" s="39" t="str">
        <x:f>IF(C380="","",C380-D380)</x:f>
      </x:c>
      <x:c r="F380" s="46"/>
      <x:c r="G380" s="40" t="str">
        <x:f>IFERROR(D380/C380,"")</x:f>
      </x:c>
      <x:c r="H380" s="39"/>
      <x:c r="I380" s="46" t="str">
        <x:f>IF(OR(E380&lt;=0,H380&lt;=0),"",EDATE(TODAY(),ROUNDUP(E380/H380,0)))</x:f>
      </x:c>
    </x:row>
    <x:row r="381">
      <x:c r="A381" s="38" t="str"/>
      <x:c r="B381" s="38" t="str"/>
      <x:c r="C381" s="39"/>
      <x:c r="D381" s="39"/>
      <x:c r="E381" s="39" t="str">
        <x:f>IF(C381="","",C381-D381)</x:f>
      </x:c>
      <x:c r="F381" s="46"/>
      <x:c r="G381" s="40" t="str">
        <x:f>IFERROR(D381/C381,"")</x:f>
      </x:c>
      <x:c r="H381" s="39"/>
      <x:c r="I381" s="46" t="str">
        <x:f>IF(OR(E381&lt;=0,H381&lt;=0),"",EDATE(TODAY(),ROUNDUP(E381/H381,0)))</x:f>
      </x:c>
    </x:row>
    <x:row r="382">
      <x:c r="A382" s="38" t="str"/>
      <x:c r="B382" s="38" t="str"/>
      <x:c r="C382" s="39"/>
      <x:c r="D382" s="39"/>
      <x:c r="E382" s="39" t="str">
        <x:f>IF(C382="","",C382-D382)</x:f>
      </x:c>
      <x:c r="F382" s="46"/>
      <x:c r="G382" s="40" t="str">
        <x:f>IFERROR(D382/C382,"")</x:f>
      </x:c>
      <x:c r="H382" s="39"/>
      <x:c r="I382" s="46" t="str">
        <x:f>IF(OR(E382&lt;=0,H382&lt;=0),"",EDATE(TODAY(),ROUNDUP(E382/H382,0)))</x:f>
      </x:c>
    </x:row>
    <x:row r="383">
      <x:c r="A383" s="38" t="str"/>
      <x:c r="B383" s="38" t="str"/>
      <x:c r="C383" s="39"/>
      <x:c r="D383" s="39"/>
      <x:c r="E383" s="39" t="str">
        <x:f>IF(C383="","",C383-D383)</x:f>
      </x:c>
      <x:c r="F383" s="46"/>
      <x:c r="G383" s="40" t="str">
        <x:f>IFERROR(D383/C383,"")</x:f>
      </x:c>
      <x:c r="H383" s="39"/>
      <x:c r="I383" s="46" t="str">
        <x:f>IF(OR(E383&lt;=0,H383&lt;=0),"",EDATE(TODAY(),ROUNDUP(E383/H383,0)))</x:f>
      </x:c>
    </x:row>
    <x:row r="384">
      <x:c r="A384" s="38" t="str"/>
      <x:c r="B384" s="38" t="str"/>
      <x:c r="C384" s="39"/>
      <x:c r="D384" s="39"/>
      <x:c r="E384" s="39" t="str">
        <x:f>IF(C384="","",C384-D384)</x:f>
      </x:c>
      <x:c r="F384" s="46"/>
      <x:c r="G384" s="40" t="str">
        <x:f>IFERROR(D384/C384,"")</x:f>
      </x:c>
      <x:c r="H384" s="39"/>
      <x:c r="I384" s="46" t="str">
        <x:f>IF(OR(E384&lt;=0,H384&lt;=0),"",EDATE(TODAY(),ROUNDUP(E384/H384,0)))</x:f>
      </x:c>
    </x:row>
    <x:row r="385">
      <x:c r="A385" s="38" t="str"/>
      <x:c r="B385" s="38" t="str"/>
      <x:c r="C385" s="39"/>
      <x:c r="D385" s="39"/>
      <x:c r="E385" s="39" t="str">
        <x:f>IF(C385="","",C385-D385)</x:f>
      </x:c>
      <x:c r="F385" s="46"/>
      <x:c r="G385" s="40" t="str">
        <x:f>IFERROR(D385/C385,"")</x:f>
      </x:c>
      <x:c r="H385" s="39"/>
      <x:c r="I385" s="46" t="str">
        <x:f>IF(OR(E385&lt;=0,H385&lt;=0),"",EDATE(TODAY(),ROUNDUP(E385/H385,0)))</x:f>
      </x:c>
    </x:row>
    <x:row r="386">
      <x:c r="A386" s="38" t="str"/>
      <x:c r="B386" s="38" t="str"/>
      <x:c r="C386" s="39"/>
      <x:c r="D386" s="39"/>
      <x:c r="E386" s="39" t="str">
        <x:f>IF(C386="","",C386-D386)</x:f>
      </x:c>
      <x:c r="F386" s="46"/>
      <x:c r="G386" s="40" t="str">
        <x:f>IFERROR(D386/C386,"")</x:f>
      </x:c>
      <x:c r="H386" s="39"/>
      <x:c r="I386" s="46" t="str">
        <x:f>IF(OR(E386&lt;=0,H386&lt;=0),"",EDATE(TODAY(),ROUNDUP(E386/H386,0)))</x:f>
      </x:c>
    </x:row>
    <x:row r="387">
      <x:c r="A387" s="38" t="str"/>
      <x:c r="B387" s="38" t="str"/>
      <x:c r="C387" s="39"/>
      <x:c r="D387" s="39"/>
      <x:c r="E387" s="39" t="str">
        <x:f>IF(C387="","",C387-D387)</x:f>
      </x:c>
      <x:c r="F387" s="46"/>
      <x:c r="G387" s="40" t="str">
        <x:f>IFERROR(D387/C387,"")</x:f>
      </x:c>
      <x:c r="H387" s="39"/>
      <x:c r="I387" s="46" t="str">
        <x:f>IF(OR(E387&lt;=0,H387&lt;=0),"",EDATE(TODAY(),ROUNDUP(E387/H387,0)))</x:f>
      </x:c>
    </x:row>
    <x:row r="388">
      <x:c r="A388" s="38" t="str"/>
      <x:c r="B388" s="38" t="str"/>
      <x:c r="C388" s="39"/>
      <x:c r="D388" s="39"/>
      <x:c r="E388" s="39" t="str">
        <x:f>IF(C388="","",C388-D388)</x:f>
      </x:c>
      <x:c r="F388" s="46"/>
      <x:c r="G388" s="40" t="str">
        <x:f>IFERROR(D388/C388,"")</x:f>
      </x:c>
      <x:c r="H388" s="39"/>
      <x:c r="I388" s="46" t="str">
        <x:f>IF(OR(E388&lt;=0,H388&lt;=0),"",EDATE(TODAY(),ROUNDUP(E388/H388,0)))</x:f>
      </x:c>
    </x:row>
    <x:row r="389">
      <x:c r="A389" s="38" t="str"/>
      <x:c r="B389" s="38" t="str"/>
      <x:c r="C389" s="39"/>
      <x:c r="D389" s="39"/>
      <x:c r="E389" s="39" t="str">
        <x:f>IF(C389="","",C389-D389)</x:f>
      </x:c>
      <x:c r="F389" s="46"/>
      <x:c r="G389" s="40" t="str">
        <x:f>IFERROR(D389/C389,"")</x:f>
      </x:c>
      <x:c r="H389" s="39"/>
      <x:c r="I389" s="46" t="str">
        <x:f>IF(OR(E389&lt;=0,H389&lt;=0),"",EDATE(TODAY(),ROUNDUP(E389/H389,0)))</x:f>
      </x:c>
    </x:row>
    <x:row r="390">
      <x:c r="A390" s="38" t="str"/>
      <x:c r="B390" s="38" t="str"/>
      <x:c r="C390" s="39"/>
      <x:c r="D390" s="39"/>
      <x:c r="E390" s="39" t="str">
        <x:f>IF(C390="","",C390-D390)</x:f>
      </x:c>
      <x:c r="F390" s="46"/>
      <x:c r="G390" s="40" t="str">
        <x:f>IFERROR(D390/C390,"")</x:f>
      </x:c>
      <x:c r="H390" s="39"/>
      <x:c r="I390" s="46" t="str">
        <x:f>IF(OR(E390&lt;=0,H390&lt;=0),"",EDATE(TODAY(),ROUNDUP(E390/H390,0)))</x:f>
      </x:c>
    </x:row>
    <x:row r="391">
      <x:c r="A391" s="38" t="str"/>
      <x:c r="B391" s="38" t="str"/>
      <x:c r="C391" s="39"/>
      <x:c r="D391" s="39"/>
      <x:c r="E391" s="39" t="str">
        <x:f>IF(C391="","",C391-D391)</x:f>
      </x:c>
      <x:c r="F391" s="46"/>
      <x:c r="G391" s="40" t="str">
        <x:f>IFERROR(D391/C391,"")</x:f>
      </x:c>
      <x:c r="H391" s="39"/>
      <x:c r="I391" s="46" t="str">
        <x:f>IF(OR(E391&lt;=0,H391&lt;=0),"",EDATE(TODAY(),ROUNDUP(E391/H391,0)))</x:f>
      </x:c>
    </x:row>
    <x:row r="392">
      <x:c r="A392" s="38" t="str"/>
      <x:c r="B392" s="38" t="str"/>
      <x:c r="C392" s="39"/>
      <x:c r="D392" s="39"/>
      <x:c r="E392" s="39" t="str">
        <x:f>IF(C392="","",C392-D392)</x:f>
      </x:c>
      <x:c r="F392" s="46"/>
      <x:c r="G392" s="40" t="str">
        <x:f>IFERROR(D392/C392,"")</x:f>
      </x:c>
      <x:c r="H392" s="39"/>
      <x:c r="I392" s="46" t="str">
        <x:f>IF(OR(E392&lt;=0,H392&lt;=0),"",EDATE(TODAY(),ROUNDUP(E392/H392,0)))</x:f>
      </x:c>
    </x:row>
    <x:row r="393">
      <x:c r="A393" s="38" t="str"/>
      <x:c r="B393" s="38" t="str"/>
      <x:c r="C393" s="39"/>
      <x:c r="D393" s="39"/>
      <x:c r="E393" s="39" t="str">
        <x:f>IF(C393="","",C393-D393)</x:f>
      </x:c>
      <x:c r="F393" s="46"/>
      <x:c r="G393" s="40" t="str">
        <x:f>IFERROR(D393/C393,"")</x:f>
      </x:c>
      <x:c r="H393" s="39"/>
      <x:c r="I393" s="46" t="str">
        <x:f>IF(OR(E393&lt;=0,H393&lt;=0),"",EDATE(TODAY(),ROUNDUP(E393/H393,0)))</x:f>
      </x:c>
    </x:row>
    <x:row r="394">
      <x:c r="A394" s="38" t="str"/>
      <x:c r="B394" s="38" t="str"/>
      <x:c r="C394" s="39"/>
      <x:c r="D394" s="39"/>
      <x:c r="E394" s="39" t="str">
        <x:f>IF(C394="","",C394-D394)</x:f>
      </x:c>
      <x:c r="F394" s="46"/>
      <x:c r="G394" s="40" t="str">
        <x:f>IFERROR(D394/C394,"")</x:f>
      </x:c>
      <x:c r="H394" s="39"/>
      <x:c r="I394" s="46" t="str">
        <x:f>IF(OR(E394&lt;=0,H394&lt;=0),"",EDATE(TODAY(),ROUNDUP(E394/H394,0)))</x:f>
      </x:c>
    </x:row>
    <x:row r="395">
      <x:c r="A395" s="38" t="str"/>
      <x:c r="B395" s="38" t="str"/>
      <x:c r="C395" s="39"/>
      <x:c r="D395" s="39"/>
      <x:c r="E395" s="39" t="str">
        <x:f>IF(C395="","",C395-D395)</x:f>
      </x:c>
      <x:c r="F395" s="46"/>
      <x:c r="G395" s="40" t="str">
        <x:f>IFERROR(D395/C395,"")</x:f>
      </x:c>
      <x:c r="H395" s="39"/>
      <x:c r="I395" s="46" t="str">
        <x:f>IF(OR(E395&lt;=0,H395&lt;=0),"",EDATE(TODAY(),ROUNDUP(E395/H395,0)))</x:f>
      </x:c>
    </x:row>
    <x:row r="396">
      <x:c r="A396" s="38" t="str"/>
      <x:c r="B396" s="38" t="str"/>
      <x:c r="C396" s="39"/>
      <x:c r="D396" s="39"/>
      <x:c r="E396" s="39" t="str">
        <x:f>IF(C396="","",C396-D396)</x:f>
      </x:c>
      <x:c r="F396" s="46"/>
      <x:c r="G396" s="40" t="str">
        <x:f>IFERROR(D396/C396,"")</x:f>
      </x:c>
      <x:c r="H396" s="39"/>
      <x:c r="I396" s="46" t="str">
        <x:f>IF(OR(E396&lt;=0,H396&lt;=0),"",EDATE(TODAY(),ROUNDUP(E396/H396,0)))</x:f>
      </x:c>
    </x:row>
    <x:row r="397">
      <x:c r="A397" s="38" t="str"/>
      <x:c r="B397" s="38" t="str"/>
      <x:c r="C397" s="39"/>
      <x:c r="D397" s="39"/>
      <x:c r="E397" s="39" t="str">
        <x:f>IF(C397="","",C397-D397)</x:f>
      </x:c>
      <x:c r="F397" s="46"/>
      <x:c r="G397" s="40" t="str">
        <x:f>IFERROR(D397/C397,"")</x:f>
      </x:c>
      <x:c r="H397" s="39"/>
      <x:c r="I397" s="46" t="str">
        <x:f>IF(OR(E397&lt;=0,H397&lt;=0),"",EDATE(TODAY(),ROUNDUP(E397/H397,0)))</x:f>
      </x:c>
    </x:row>
    <x:row r="398">
      <x:c r="A398" s="38" t="str"/>
      <x:c r="B398" s="38" t="str"/>
      <x:c r="C398" s="39"/>
      <x:c r="D398" s="39"/>
      <x:c r="E398" s="39" t="str">
        <x:f>IF(C398="","",C398-D398)</x:f>
      </x:c>
      <x:c r="F398" s="46"/>
      <x:c r="G398" s="40" t="str">
        <x:f>IFERROR(D398/C398,"")</x:f>
      </x:c>
      <x:c r="H398" s="39"/>
      <x:c r="I398" s="46" t="str">
        <x:f>IF(OR(E398&lt;=0,H398&lt;=0),"",EDATE(TODAY(),ROUNDUP(E398/H398,0)))</x:f>
      </x:c>
    </x:row>
    <x:row r="399">
      <x:c r="A399" s="38" t="str"/>
      <x:c r="B399" s="38" t="str"/>
      <x:c r="C399" s="39"/>
      <x:c r="D399" s="39"/>
      <x:c r="E399" s="39" t="str">
        <x:f>IF(C399="","",C399-D399)</x:f>
      </x:c>
      <x:c r="F399" s="46"/>
      <x:c r="G399" s="40" t="str">
        <x:f>IFERROR(D399/C399,"")</x:f>
      </x:c>
      <x:c r="H399" s="39"/>
      <x:c r="I399" s="46" t="str">
        <x:f>IF(OR(E399&lt;=0,H399&lt;=0),"",EDATE(TODAY(),ROUNDUP(E399/H399,0)))</x:f>
      </x:c>
    </x:row>
    <x:row r="400">
      <x:c r="A400" s="38" t="str"/>
      <x:c r="B400" s="38" t="str"/>
      <x:c r="C400" s="39"/>
      <x:c r="D400" s="39"/>
      <x:c r="E400" s="39" t="str">
        <x:f>IF(C400="","",C400-D400)</x:f>
      </x:c>
      <x:c r="F400" s="46"/>
      <x:c r="G400" s="40" t="str">
        <x:f>IFERROR(D400/C400,"")</x:f>
      </x:c>
      <x:c r="H400" s="39"/>
      <x:c r="I400" s="46" t="str">
        <x:f>IF(OR(E400&lt;=0,H400&lt;=0),"",EDATE(TODAY(),ROUNDUP(E400/H400,0)))</x:f>
      </x:c>
    </x:row>
    <x:row r="401">
      <x:c r="A401" s="38" t="str"/>
      <x:c r="B401" s="38" t="str"/>
      <x:c r="C401" s="39"/>
      <x:c r="D401" s="39"/>
      <x:c r="E401" s="39" t="str">
        <x:f>IF(C401="","",C401-D401)</x:f>
      </x:c>
      <x:c r="F401" s="46"/>
      <x:c r="G401" s="40" t="str">
        <x:f>IFERROR(D401/C401,"")</x:f>
      </x:c>
      <x:c r="H401" s="39"/>
      <x:c r="I401" s="46" t="str">
        <x:f>IF(OR(E401&lt;=0,H401&lt;=0),"",EDATE(TODAY(),ROUNDUP(E401/H401,0)))</x:f>
      </x:c>
    </x:row>
    <x:row r="402">
      <x:c r="A402" s="38" t="str"/>
      <x:c r="B402" s="38" t="str"/>
      <x:c r="C402" s="39"/>
      <x:c r="D402" s="39"/>
      <x:c r="E402" s="39" t="str">
        <x:f>IF(C402="","",C402-D402)</x:f>
      </x:c>
      <x:c r="F402" s="46"/>
      <x:c r="G402" s="40" t="str">
        <x:f>IFERROR(D402/C402,"")</x:f>
      </x:c>
      <x:c r="H402" s="39"/>
      <x:c r="I402" s="46" t="str">
        <x:f>IF(OR(E402&lt;=0,H402&lt;=0),"",EDATE(TODAY(),ROUNDUP(E402/H402,0)))</x:f>
      </x:c>
    </x:row>
    <x:row r="403">
      <x:c r="A403" s="38" t="str"/>
      <x:c r="B403" s="38" t="str"/>
      <x:c r="C403" s="39"/>
      <x:c r="D403" s="39"/>
      <x:c r="E403" s="39" t="str">
        <x:f>IF(C403="","",C403-D403)</x:f>
      </x:c>
      <x:c r="F403" s="46"/>
      <x:c r="G403" s="40" t="str">
        <x:f>IFERROR(D403/C403,"")</x:f>
      </x:c>
      <x:c r="H403" s="39"/>
      <x:c r="I403" s="46" t="str">
        <x:f>IF(OR(E403&lt;=0,H403&lt;=0),"",EDATE(TODAY(),ROUNDUP(E403/H403,0)))</x:f>
      </x:c>
    </x:row>
    <x:row r="404">
      <x:c r="A404" s="38" t="str"/>
      <x:c r="B404" s="38" t="str"/>
      <x:c r="C404" s="39"/>
      <x:c r="D404" s="39"/>
      <x:c r="E404" s="39" t="str">
        <x:f>IF(C404="","",C404-D404)</x:f>
      </x:c>
      <x:c r="F404" s="46"/>
      <x:c r="G404" s="40" t="str">
        <x:f>IFERROR(D404/C404,"")</x:f>
      </x:c>
      <x:c r="H404" s="39"/>
      <x:c r="I404" s="46" t="str">
        <x:f>IF(OR(E404&lt;=0,H404&lt;=0),"",EDATE(TODAY(),ROUNDUP(E404/H404,0)))</x:f>
      </x:c>
    </x:row>
    <x:row r="405">
      <x:c r="A405" s="38" t="str"/>
      <x:c r="B405" s="38" t="str"/>
      <x:c r="C405" s="39"/>
      <x:c r="D405" s="39"/>
      <x:c r="E405" s="39" t="str">
        <x:f>IF(C405="","",C405-D405)</x:f>
      </x:c>
      <x:c r="F405" s="46"/>
      <x:c r="G405" s="40" t="str">
        <x:f>IFERROR(D405/C405,"")</x:f>
      </x:c>
      <x:c r="H405" s="39"/>
      <x:c r="I405" s="46" t="str">
        <x:f>IF(OR(E405&lt;=0,H405&lt;=0),"",EDATE(TODAY(),ROUNDUP(E405/H405,0)))</x:f>
      </x:c>
    </x:row>
    <x:row r="406">
      <x:c r="A406" s="38" t="str"/>
      <x:c r="B406" s="38" t="str"/>
      <x:c r="C406" s="39"/>
      <x:c r="D406" s="39"/>
      <x:c r="E406" s="39" t="str">
        <x:f>IF(C406="","",C406-D406)</x:f>
      </x:c>
      <x:c r="F406" s="46"/>
      <x:c r="G406" s="40" t="str">
        <x:f>IFERROR(D406/C406,"")</x:f>
      </x:c>
      <x:c r="H406" s="39"/>
      <x:c r="I406" s="46" t="str">
        <x:f>IF(OR(E406&lt;=0,H406&lt;=0),"",EDATE(TODAY(),ROUNDUP(E406/H406,0)))</x:f>
      </x:c>
    </x:row>
    <x:row r="407">
      <x:c r="A407" s="38" t="str"/>
      <x:c r="B407" s="38" t="str"/>
      <x:c r="C407" s="39"/>
      <x:c r="D407" s="39"/>
      <x:c r="E407" s="39" t="str">
        <x:f>IF(C407="","",C407-D407)</x:f>
      </x:c>
      <x:c r="F407" s="46"/>
      <x:c r="G407" s="40" t="str">
        <x:f>IFERROR(D407/C407,"")</x:f>
      </x:c>
      <x:c r="H407" s="39"/>
      <x:c r="I407" s="46" t="str">
        <x:f>IF(OR(E407&lt;=0,H407&lt;=0),"",EDATE(TODAY(),ROUNDUP(E407/H407,0)))</x:f>
      </x:c>
    </x:row>
    <x:row r="408">
      <x:c r="A408" s="38" t="str"/>
      <x:c r="B408" s="38" t="str"/>
      <x:c r="C408" s="39"/>
      <x:c r="D408" s="39"/>
      <x:c r="E408" s="39" t="str">
        <x:f>IF(C408="","",C408-D408)</x:f>
      </x:c>
      <x:c r="F408" s="46"/>
      <x:c r="G408" s="40" t="str">
        <x:f>IFERROR(D408/C408,"")</x:f>
      </x:c>
      <x:c r="H408" s="39"/>
      <x:c r="I408" s="46" t="str">
        <x:f>IF(OR(E408&lt;=0,H408&lt;=0),"",EDATE(TODAY(),ROUNDUP(E408/H408,0)))</x:f>
      </x:c>
    </x:row>
    <x:row r="409">
      <x:c r="A409" s="38" t="str"/>
      <x:c r="B409" s="38" t="str"/>
      <x:c r="C409" s="39"/>
      <x:c r="D409" s="39"/>
      <x:c r="E409" s="39" t="str">
        <x:f>IF(C409="","",C409-D409)</x:f>
      </x:c>
      <x:c r="F409" s="46"/>
      <x:c r="G409" s="40" t="str">
        <x:f>IFERROR(D409/C409,"")</x:f>
      </x:c>
      <x:c r="H409" s="39"/>
      <x:c r="I409" s="46" t="str">
        <x:f>IF(OR(E409&lt;=0,H409&lt;=0),"",EDATE(TODAY(),ROUNDUP(E409/H409,0)))</x:f>
      </x:c>
    </x:row>
    <x:row r="410">
      <x:c r="A410" s="38" t="str"/>
      <x:c r="B410" s="38" t="str"/>
      <x:c r="C410" s="39"/>
      <x:c r="D410" s="39"/>
      <x:c r="E410" s="39" t="str">
        <x:f>IF(C410="","",C410-D410)</x:f>
      </x:c>
      <x:c r="F410" s="46"/>
      <x:c r="G410" s="40" t="str">
        <x:f>IFERROR(D410/C410,"")</x:f>
      </x:c>
      <x:c r="H410" s="39"/>
      <x:c r="I410" s="46" t="str">
        <x:f>IF(OR(E410&lt;=0,H410&lt;=0),"",EDATE(TODAY(),ROUNDUP(E410/H410,0)))</x:f>
      </x:c>
    </x:row>
    <x:row r="411">
      <x:c r="A411" s="38" t="str"/>
      <x:c r="B411" s="38" t="str"/>
      <x:c r="C411" s="39"/>
      <x:c r="D411" s="39"/>
      <x:c r="E411" s="39" t="str">
        <x:f>IF(C411="","",C411-D411)</x:f>
      </x:c>
      <x:c r="F411" s="46"/>
      <x:c r="G411" s="40" t="str">
        <x:f>IFERROR(D411/C411,"")</x:f>
      </x:c>
      <x:c r="H411" s="39"/>
      <x:c r="I411" s="46" t="str">
        <x:f>IF(OR(E411&lt;=0,H411&lt;=0),"",EDATE(TODAY(),ROUNDUP(E411/H411,0)))</x:f>
      </x:c>
    </x:row>
    <x:row r="412">
      <x:c r="A412" s="38" t="str"/>
      <x:c r="B412" s="38" t="str"/>
      <x:c r="C412" s="39"/>
      <x:c r="D412" s="39"/>
      <x:c r="E412" s="39" t="str">
        <x:f>IF(C412="","",C412-D412)</x:f>
      </x:c>
      <x:c r="F412" s="46"/>
      <x:c r="G412" s="40" t="str">
        <x:f>IFERROR(D412/C412,"")</x:f>
      </x:c>
      <x:c r="H412" s="39"/>
      <x:c r="I412" s="46" t="str">
        <x:f>IF(OR(E412&lt;=0,H412&lt;=0),"",EDATE(TODAY(),ROUNDUP(E412/H412,0)))</x:f>
      </x:c>
    </x:row>
    <x:row r="413">
      <x:c r="A413" s="38" t="str"/>
      <x:c r="B413" s="38" t="str"/>
      <x:c r="C413" s="39"/>
      <x:c r="D413" s="39"/>
      <x:c r="E413" s="39" t="str">
        <x:f>IF(C413="","",C413-D413)</x:f>
      </x:c>
      <x:c r="F413" s="46"/>
      <x:c r="G413" s="40" t="str">
        <x:f>IFERROR(D413/C413,"")</x:f>
      </x:c>
      <x:c r="H413" s="39"/>
      <x:c r="I413" s="46" t="str">
        <x:f>IF(OR(E413&lt;=0,H413&lt;=0),"",EDATE(TODAY(),ROUNDUP(E413/H413,0)))</x:f>
      </x:c>
    </x:row>
    <x:row r="414">
      <x:c r="A414" s="38" t="str"/>
      <x:c r="B414" s="38" t="str"/>
      <x:c r="C414" s="39"/>
      <x:c r="D414" s="39"/>
      <x:c r="E414" s="39" t="str">
        <x:f>IF(C414="","",C414-D414)</x:f>
      </x:c>
      <x:c r="F414" s="46"/>
      <x:c r="G414" s="40" t="str">
        <x:f>IFERROR(D414/C414,"")</x:f>
      </x:c>
      <x:c r="H414" s="39"/>
      <x:c r="I414" s="46" t="str">
        <x:f>IF(OR(E414&lt;=0,H414&lt;=0),"",EDATE(TODAY(),ROUNDUP(E414/H414,0)))</x:f>
      </x:c>
    </x:row>
    <x:row r="415">
      <x:c r="A415" s="38" t="str"/>
      <x:c r="B415" s="38" t="str"/>
      <x:c r="C415" s="39"/>
      <x:c r="D415" s="39"/>
      <x:c r="E415" s="39" t="str">
        <x:f>IF(C415="","",C415-D415)</x:f>
      </x:c>
      <x:c r="F415" s="46"/>
      <x:c r="G415" s="40" t="str">
        <x:f>IFERROR(D415/C415,"")</x:f>
      </x:c>
      <x:c r="H415" s="39"/>
      <x:c r="I415" s="46" t="str">
        <x:f>IF(OR(E415&lt;=0,H415&lt;=0),"",EDATE(TODAY(),ROUNDUP(E415/H415,0)))</x:f>
      </x:c>
    </x:row>
    <x:row r="416">
      <x:c r="A416" s="38" t="str"/>
      <x:c r="B416" s="38" t="str"/>
      <x:c r="C416" s="39"/>
      <x:c r="D416" s="39"/>
      <x:c r="E416" s="39" t="str">
        <x:f>IF(C416="","",C416-D416)</x:f>
      </x:c>
      <x:c r="F416" s="46"/>
      <x:c r="G416" s="40" t="str">
        <x:f>IFERROR(D416/C416,"")</x:f>
      </x:c>
      <x:c r="H416" s="39"/>
      <x:c r="I416" s="46" t="str">
        <x:f>IF(OR(E416&lt;=0,H416&lt;=0),"",EDATE(TODAY(),ROUNDUP(E416/H416,0)))</x:f>
      </x:c>
    </x:row>
    <x:row r="417">
      <x:c r="A417" s="38" t="str"/>
      <x:c r="B417" s="38" t="str"/>
      <x:c r="C417" s="39"/>
      <x:c r="D417" s="39"/>
      <x:c r="E417" s="39" t="str">
        <x:f>IF(C417="","",C417-D417)</x:f>
      </x:c>
      <x:c r="F417" s="46"/>
      <x:c r="G417" s="40" t="str">
        <x:f>IFERROR(D417/C417,"")</x:f>
      </x:c>
      <x:c r="H417" s="39"/>
      <x:c r="I417" s="46" t="str">
        <x:f>IF(OR(E417&lt;=0,H417&lt;=0),"",EDATE(TODAY(),ROUNDUP(E417/H417,0)))</x:f>
      </x:c>
    </x:row>
    <x:row r="418">
      <x:c r="A418" s="38" t="str"/>
      <x:c r="B418" s="38" t="str"/>
      <x:c r="C418" s="39"/>
      <x:c r="D418" s="39"/>
      <x:c r="E418" s="39" t="str">
        <x:f>IF(C418="","",C418-D418)</x:f>
      </x:c>
      <x:c r="F418" s="46"/>
      <x:c r="G418" s="40" t="str">
        <x:f>IFERROR(D418/C418,"")</x:f>
      </x:c>
      <x:c r="H418" s="39"/>
      <x:c r="I418" s="46" t="str">
        <x:f>IF(OR(E418&lt;=0,H418&lt;=0),"",EDATE(TODAY(),ROUNDUP(E418/H418,0)))</x:f>
      </x:c>
    </x:row>
    <x:row r="419">
      <x:c r="A419" s="38" t="str"/>
      <x:c r="B419" s="38" t="str"/>
      <x:c r="C419" s="39"/>
      <x:c r="D419" s="39"/>
      <x:c r="E419" s="39" t="str">
        <x:f>IF(C419="","",C419-D419)</x:f>
      </x:c>
      <x:c r="F419" s="46"/>
      <x:c r="G419" s="40" t="str">
        <x:f>IFERROR(D419/C419,"")</x:f>
      </x:c>
      <x:c r="H419" s="39"/>
      <x:c r="I419" s="46" t="str">
        <x:f>IF(OR(E419&lt;=0,H419&lt;=0),"",EDATE(TODAY(),ROUNDUP(E419/H419,0)))</x:f>
      </x:c>
    </x:row>
    <x:row r="420">
      <x:c r="A420" s="38" t="str"/>
      <x:c r="B420" s="38" t="str"/>
      <x:c r="C420" s="39"/>
      <x:c r="D420" s="39"/>
      <x:c r="E420" s="39" t="str">
        <x:f>IF(C420="","",C420-D420)</x:f>
      </x:c>
      <x:c r="F420" s="46"/>
      <x:c r="G420" s="40" t="str">
        <x:f>IFERROR(D420/C420,"")</x:f>
      </x:c>
      <x:c r="H420" s="39"/>
      <x:c r="I420" s="46" t="str">
        <x:f>IF(OR(E420&lt;=0,H420&lt;=0),"",EDATE(TODAY(),ROUNDUP(E420/H420,0)))</x:f>
      </x:c>
    </x:row>
    <x:row r="421">
      <x:c r="A421" s="38" t="str"/>
      <x:c r="B421" s="38" t="str"/>
      <x:c r="C421" s="39"/>
      <x:c r="D421" s="39"/>
      <x:c r="E421" s="39" t="str">
        <x:f>IF(C421="","",C421-D421)</x:f>
      </x:c>
      <x:c r="F421" s="46"/>
      <x:c r="G421" s="40" t="str">
        <x:f>IFERROR(D421/C421,"")</x:f>
      </x:c>
      <x:c r="H421" s="39"/>
      <x:c r="I421" s="46" t="str">
        <x:f>IF(OR(E421&lt;=0,H421&lt;=0),"",EDATE(TODAY(),ROUNDUP(E421/H421,0)))</x:f>
      </x:c>
    </x:row>
    <x:row r="422">
      <x:c r="A422" s="38" t="str"/>
      <x:c r="B422" s="38" t="str"/>
      <x:c r="C422" s="39"/>
      <x:c r="D422" s="39"/>
      <x:c r="E422" s="39" t="str">
        <x:f>IF(C422="","",C422-D422)</x:f>
      </x:c>
      <x:c r="F422" s="46"/>
      <x:c r="G422" s="40" t="str">
        <x:f>IFERROR(D422/C422,"")</x:f>
      </x:c>
      <x:c r="H422" s="39"/>
      <x:c r="I422" s="46" t="str">
        <x:f>IF(OR(E422&lt;=0,H422&lt;=0),"",EDATE(TODAY(),ROUNDUP(E422/H422,0)))</x:f>
      </x:c>
    </x:row>
    <x:row r="423">
      <x:c r="A423" s="38" t="str"/>
      <x:c r="B423" s="38" t="str"/>
      <x:c r="C423" s="39"/>
      <x:c r="D423" s="39"/>
      <x:c r="E423" s="39" t="str">
        <x:f>IF(C423="","",C423-D423)</x:f>
      </x:c>
      <x:c r="F423" s="46"/>
      <x:c r="G423" s="40" t="str">
        <x:f>IFERROR(D423/C423,"")</x:f>
      </x:c>
      <x:c r="H423" s="39"/>
      <x:c r="I423" s="46" t="str">
        <x:f>IF(OR(E423&lt;=0,H423&lt;=0),"",EDATE(TODAY(),ROUNDUP(E423/H423,0)))</x:f>
      </x:c>
    </x:row>
    <x:row r="424">
      <x:c r="A424" s="38" t="str"/>
      <x:c r="B424" s="38" t="str"/>
      <x:c r="C424" s="39"/>
      <x:c r="D424" s="39"/>
      <x:c r="E424" s="39" t="str">
        <x:f>IF(C424="","",C424-D424)</x:f>
      </x:c>
      <x:c r="F424" s="46"/>
      <x:c r="G424" s="40" t="str">
        <x:f>IFERROR(D424/C424,"")</x:f>
      </x:c>
      <x:c r="H424" s="39"/>
      <x:c r="I424" s="46" t="str">
        <x:f>IF(OR(E424&lt;=0,H424&lt;=0),"",EDATE(TODAY(),ROUNDUP(E424/H424,0)))</x:f>
      </x:c>
    </x:row>
    <x:row r="425">
      <x:c r="A425" s="38" t="str"/>
      <x:c r="B425" s="38" t="str"/>
      <x:c r="C425" s="39"/>
      <x:c r="D425" s="39"/>
      <x:c r="E425" s="39" t="str">
        <x:f>IF(C425="","",C425-D425)</x:f>
      </x:c>
      <x:c r="F425" s="46"/>
      <x:c r="G425" s="40" t="str">
        <x:f>IFERROR(D425/C425,"")</x:f>
      </x:c>
      <x:c r="H425" s="39"/>
      <x:c r="I425" s="46" t="str">
        <x:f>IF(OR(E425&lt;=0,H425&lt;=0),"",EDATE(TODAY(),ROUNDUP(E425/H425,0)))</x:f>
      </x:c>
    </x:row>
    <x:row r="426">
      <x:c r="A426" s="38" t="str"/>
      <x:c r="B426" s="38" t="str"/>
      <x:c r="C426" s="39"/>
      <x:c r="D426" s="39"/>
      <x:c r="E426" s="39" t="str">
        <x:f>IF(C426="","",C426-D426)</x:f>
      </x:c>
      <x:c r="F426" s="46"/>
      <x:c r="G426" s="40" t="str">
        <x:f>IFERROR(D426/C426,"")</x:f>
      </x:c>
      <x:c r="H426" s="39"/>
      <x:c r="I426" s="46" t="str">
        <x:f>IF(OR(E426&lt;=0,H426&lt;=0),"",EDATE(TODAY(),ROUNDUP(E426/H426,0)))</x:f>
      </x:c>
    </x:row>
    <x:row r="427">
      <x:c r="A427" s="38" t="str"/>
      <x:c r="B427" s="38" t="str"/>
      <x:c r="C427" s="39"/>
      <x:c r="D427" s="39"/>
      <x:c r="E427" s="39" t="str">
        <x:f>IF(C427="","",C427-D427)</x:f>
      </x:c>
      <x:c r="F427" s="46"/>
      <x:c r="G427" s="40" t="str">
        <x:f>IFERROR(D427/C427,"")</x:f>
      </x:c>
      <x:c r="H427" s="39"/>
      <x:c r="I427" s="46" t="str">
        <x:f>IF(OR(E427&lt;=0,H427&lt;=0),"",EDATE(TODAY(),ROUNDUP(E427/H427,0)))</x:f>
      </x:c>
    </x:row>
    <x:row r="428">
      <x:c r="A428" s="38" t="str"/>
      <x:c r="B428" s="38" t="str"/>
      <x:c r="C428" s="39"/>
      <x:c r="D428" s="39"/>
      <x:c r="E428" s="39" t="str">
        <x:f>IF(C428="","",C428-D428)</x:f>
      </x:c>
      <x:c r="F428" s="46"/>
      <x:c r="G428" s="40" t="str">
        <x:f>IFERROR(D428/C428,"")</x:f>
      </x:c>
      <x:c r="H428" s="39"/>
      <x:c r="I428" s="46" t="str">
        <x:f>IF(OR(E428&lt;=0,H428&lt;=0),"",EDATE(TODAY(),ROUNDUP(E428/H428,0)))</x:f>
      </x:c>
    </x:row>
    <x:row r="429">
      <x:c r="A429" s="38" t="str"/>
      <x:c r="B429" s="38" t="str"/>
      <x:c r="C429" s="39"/>
      <x:c r="D429" s="39"/>
      <x:c r="E429" s="39" t="str">
        <x:f>IF(C429="","",C429-D429)</x:f>
      </x:c>
      <x:c r="F429" s="46"/>
      <x:c r="G429" s="40" t="str">
        <x:f>IFERROR(D429/C429,"")</x:f>
      </x:c>
      <x:c r="H429" s="39"/>
      <x:c r="I429" s="46" t="str">
        <x:f>IF(OR(E429&lt;=0,H429&lt;=0),"",EDATE(TODAY(),ROUNDUP(E429/H429,0)))</x:f>
      </x:c>
    </x:row>
    <x:row r="430">
      <x:c r="A430" s="38" t="str"/>
      <x:c r="B430" s="38" t="str"/>
      <x:c r="C430" s="39"/>
      <x:c r="D430" s="39"/>
      <x:c r="E430" s="39" t="str">
        <x:f>IF(C430="","",C430-D430)</x:f>
      </x:c>
      <x:c r="F430" s="46"/>
      <x:c r="G430" s="40" t="str">
        <x:f>IFERROR(D430/C430,"")</x:f>
      </x:c>
      <x:c r="H430" s="39"/>
      <x:c r="I430" s="46" t="str">
        <x:f>IF(OR(E430&lt;=0,H430&lt;=0),"",EDATE(TODAY(),ROUNDUP(E430/H430,0)))</x:f>
      </x:c>
    </x:row>
    <x:row r="431">
      <x:c r="A431" s="38" t="str"/>
      <x:c r="B431" s="38" t="str"/>
      <x:c r="C431" s="39"/>
      <x:c r="D431" s="39"/>
      <x:c r="E431" s="39" t="str">
        <x:f>IF(C431="","",C431-D431)</x:f>
      </x:c>
      <x:c r="F431" s="46"/>
      <x:c r="G431" s="40" t="str">
        <x:f>IFERROR(D431/C431,"")</x:f>
      </x:c>
      <x:c r="H431" s="39"/>
      <x:c r="I431" s="46" t="str">
        <x:f>IF(OR(E431&lt;=0,H431&lt;=0),"",EDATE(TODAY(),ROUNDUP(E431/H431,0)))</x:f>
      </x:c>
    </x:row>
    <x:row r="432">
      <x:c r="A432" s="38" t="str"/>
      <x:c r="B432" s="38" t="str"/>
      <x:c r="C432" s="39"/>
      <x:c r="D432" s="39"/>
      <x:c r="E432" s="39" t="str">
        <x:f>IF(C432="","",C432-D432)</x:f>
      </x:c>
      <x:c r="F432" s="46"/>
      <x:c r="G432" s="40" t="str">
        <x:f>IFERROR(D432/C432,"")</x:f>
      </x:c>
      <x:c r="H432" s="39"/>
      <x:c r="I432" s="46" t="str">
        <x:f>IF(OR(E432&lt;=0,H432&lt;=0),"",EDATE(TODAY(),ROUNDUP(E432/H432,0)))</x:f>
      </x:c>
    </x:row>
    <x:row r="433">
      <x:c r="A433" s="38" t="str"/>
      <x:c r="B433" s="38" t="str"/>
      <x:c r="C433" s="39"/>
      <x:c r="D433" s="39"/>
      <x:c r="E433" s="39" t="str">
        <x:f>IF(C433="","",C433-D433)</x:f>
      </x:c>
      <x:c r="F433" s="46"/>
      <x:c r="G433" s="40" t="str">
        <x:f>IFERROR(D433/C433,"")</x:f>
      </x:c>
      <x:c r="H433" s="39"/>
      <x:c r="I433" s="46" t="str">
        <x:f>IF(OR(E433&lt;=0,H433&lt;=0),"",EDATE(TODAY(),ROUNDUP(E433/H433,0)))</x:f>
      </x:c>
    </x:row>
    <x:row r="434">
      <x:c r="A434" s="38" t="str"/>
      <x:c r="B434" s="38" t="str"/>
      <x:c r="C434" s="39"/>
      <x:c r="D434" s="39"/>
      <x:c r="E434" s="39" t="str">
        <x:f>IF(C434="","",C434-D434)</x:f>
      </x:c>
      <x:c r="F434" s="46"/>
      <x:c r="G434" s="40" t="str">
        <x:f>IFERROR(D434/C434,"")</x:f>
      </x:c>
      <x:c r="H434" s="39"/>
      <x:c r="I434" s="46" t="str">
        <x:f>IF(OR(E434&lt;=0,H434&lt;=0),"",EDATE(TODAY(),ROUNDUP(E434/H434,0)))</x:f>
      </x:c>
    </x:row>
    <x:row r="435">
      <x:c r="A435" s="38" t="str"/>
      <x:c r="B435" s="38" t="str"/>
      <x:c r="C435" s="39"/>
      <x:c r="D435" s="39"/>
      <x:c r="E435" s="39" t="str">
        <x:f>IF(C435="","",C435-D435)</x:f>
      </x:c>
      <x:c r="F435" s="46"/>
      <x:c r="G435" s="40" t="str">
        <x:f>IFERROR(D435/C435,"")</x:f>
      </x:c>
      <x:c r="H435" s="39"/>
      <x:c r="I435" s="46" t="str">
        <x:f>IF(OR(E435&lt;=0,H435&lt;=0),"",EDATE(TODAY(),ROUNDUP(E435/H435,0)))</x:f>
      </x:c>
    </x:row>
    <x:row r="436">
      <x:c r="A436" s="38" t="str"/>
      <x:c r="B436" s="38" t="str"/>
      <x:c r="C436" s="39"/>
      <x:c r="D436" s="39"/>
      <x:c r="E436" s="39" t="str">
        <x:f>IF(C436="","",C436-D436)</x:f>
      </x:c>
      <x:c r="F436" s="46"/>
      <x:c r="G436" s="40" t="str">
        <x:f>IFERROR(D436/C436,"")</x:f>
      </x:c>
      <x:c r="H436" s="39"/>
      <x:c r="I436" s="46" t="str">
        <x:f>IF(OR(E436&lt;=0,H436&lt;=0),"",EDATE(TODAY(),ROUNDUP(E436/H436,0)))</x:f>
      </x:c>
    </x:row>
    <x:row r="437">
      <x:c r="A437" s="38" t="str"/>
      <x:c r="B437" s="38" t="str"/>
      <x:c r="C437" s="39"/>
      <x:c r="D437" s="39"/>
      <x:c r="E437" s="39" t="str">
        <x:f>IF(C437="","",C437-D437)</x:f>
      </x:c>
      <x:c r="F437" s="46"/>
      <x:c r="G437" s="40" t="str">
        <x:f>IFERROR(D437/C437,"")</x:f>
      </x:c>
      <x:c r="H437" s="39"/>
      <x:c r="I437" s="46" t="str">
        <x:f>IF(OR(E437&lt;=0,H437&lt;=0),"",EDATE(TODAY(),ROUNDUP(E437/H437,0)))</x:f>
      </x:c>
    </x:row>
    <x:row r="438">
      <x:c r="A438" s="38" t="str"/>
      <x:c r="B438" s="38" t="str"/>
      <x:c r="C438" s="39"/>
      <x:c r="D438" s="39"/>
      <x:c r="E438" s="39" t="str">
        <x:f>IF(C438="","",C438-D438)</x:f>
      </x:c>
      <x:c r="F438" s="46"/>
      <x:c r="G438" s="40" t="str">
        <x:f>IFERROR(D438/C438,"")</x:f>
      </x:c>
      <x:c r="H438" s="39"/>
      <x:c r="I438" s="46" t="str">
        <x:f>IF(OR(E438&lt;=0,H438&lt;=0),"",EDATE(TODAY(),ROUNDUP(E438/H438,0)))</x:f>
      </x:c>
    </x:row>
    <x:row r="439">
      <x:c r="A439" s="38" t="str"/>
      <x:c r="B439" s="38" t="str"/>
      <x:c r="C439" s="39"/>
      <x:c r="D439" s="39"/>
      <x:c r="E439" s="39" t="str">
        <x:f>IF(C439="","",C439-D439)</x:f>
      </x:c>
      <x:c r="F439" s="46"/>
      <x:c r="G439" s="40" t="str">
        <x:f>IFERROR(D439/C439,"")</x:f>
      </x:c>
      <x:c r="H439" s="39"/>
      <x:c r="I439" s="46" t="str">
        <x:f>IF(OR(E439&lt;=0,H439&lt;=0),"",EDATE(TODAY(),ROUNDUP(E439/H439,0)))</x:f>
      </x:c>
    </x:row>
    <x:row r="440">
      <x:c r="A440" s="38" t="str"/>
      <x:c r="B440" s="38" t="str"/>
      <x:c r="C440" s="39"/>
      <x:c r="D440" s="39"/>
      <x:c r="E440" s="39" t="str">
        <x:f>IF(C440="","",C440-D440)</x:f>
      </x:c>
      <x:c r="F440" s="46"/>
      <x:c r="G440" s="40" t="str">
        <x:f>IFERROR(D440/C440,"")</x:f>
      </x:c>
      <x:c r="H440" s="39"/>
      <x:c r="I440" s="46" t="str">
        <x:f>IF(OR(E440&lt;=0,H440&lt;=0),"",EDATE(TODAY(),ROUNDUP(E440/H440,0)))</x:f>
      </x:c>
    </x:row>
    <x:row r="441">
      <x:c r="A441" s="38" t="str"/>
      <x:c r="B441" s="38" t="str"/>
      <x:c r="C441" s="39"/>
      <x:c r="D441" s="39"/>
      <x:c r="E441" s="39" t="str">
        <x:f>IF(C441="","",C441-D441)</x:f>
      </x:c>
      <x:c r="F441" s="46"/>
      <x:c r="G441" s="40" t="str">
        <x:f>IFERROR(D441/C441,"")</x:f>
      </x:c>
      <x:c r="H441" s="39"/>
      <x:c r="I441" s="46" t="str">
        <x:f>IF(OR(E441&lt;=0,H441&lt;=0),"",EDATE(TODAY(),ROUNDUP(E441/H441,0)))</x:f>
      </x:c>
    </x:row>
    <x:row r="442">
      <x:c r="A442" s="38" t="str"/>
      <x:c r="B442" s="38" t="str"/>
      <x:c r="C442" s="39"/>
      <x:c r="D442" s="39"/>
      <x:c r="E442" s="39" t="str">
        <x:f>IF(C442="","",C442-D442)</x:f>
      </x:c>
      <x:c r="F442" s="46"/>
      <x:c r="G442" s="40" t="str">
        <x:f>IFERROR(D442/C442,"")</x:f>
      </x:c>
      <x:c r="H442" s="39"/>
      <x:c r="I442" s="46" t="str">
        <x:f>IF(OR(E442&lt;=0,H442&lt;=0),"",EDATE(TODAY(),ROUNDUP(E442/H442,0)))</x:f>
      </x:c>
    </x:row>
    <x:row r="443">
      <x:c r="A443" s="38" t="str"/>
      <x:c r="B443" s="38" t="str"/>
      <x:c r="C443" s="39"/>
      <x:c r="D443" s="39"/>
      <x:c r="E443" s="39" t="str">
        <x:f>IF(C443="","",C443-D443)</x:f>
      </x:c>
      <x:c r="F443" s="46"/>
      <x:c r="G443" s="40" t="str">
        <x:f>IFERROR(D443/C443,"")</x:f>
      </x:c>
      <x:c r="H443" s="39"/>
      <x:c r="I443" s="46" t="str">
        <x:f>IF(OR(E443&lt;=0,H443&lt;=0),"",EDATE(TODAY(),ROUNDUP(E443/H443,0)))</x:f>
      </x:c>
    </x:row>
    <x:row r="444">
      <x:c r="A444" s="38" t="str"/>
      <x:c r="B444" s="38" t="str"/>
      <x:c r="C444" s="39"/>
      <x:c r="D444" s="39"/>
      <x:c r="E444" s="39" t="str">
        <x:f>IF(C444="","",C444-D444)</x:f>
      </x:c>
      <x:c r="F444" s="46"/>
      <x:c r="G444" s="40" t="str">
        <x:f>IFERROR(D444/C444,"")</x:f>
      </x:c>
      <x:c r="H444" s="39"/>
      <x:c r="I444" s="46" t="str">
        <x:f>IF(OR(E444&lt;=0,H444&lt;=0),"",EDATE(TODAY(),ROUNDUP(E444/H444,0)))</x:f>
      </x:c>
    </x:row>
    <x:row r="445">
      <x:c r="A445" s="38" t="str"/>
      <x:c r="B445" s="38" t="str"/>
      <x:c r="C445" s="39"/>
      <x:c r="D445" s="39"/>
      <x:c r="E445" s="39" t="str">
        <x:f>IF(C445="","",C445-D445)</x:f>
      </x:c>
      <x:c r="F445" s="46"/>
      <x:c r="G445" s="40" t="str">
        <x:f>IFERROR(D445/C445,"")</x:f>
      </x:c>
      <x:c r="H445" s="39"/>
      <x:c r="I445" s="46" t="str">
        <x:f>IF(OR(E445&lt;=0,H445&lt;=0),"",EDATE(TODAY(),ROUNDUP(E445/H445,0)))</x:f>
      </x:c>
    </x:row>
    <x:row r="446">
      <x:c r="A446" s="38" t="str"/>
      <x:c r="B446" s="38" t="str"/>
      <x:c r="C446" s="39"/>
      <x:c r="D446" s="39"/>
      <x:c r="E446" s="39" t="str">
        <x:f>IF(C446="","",C446-D446)</x:f>
      </x:c>
      <x:c r="F446" s="46"/>
      <x:c r="G446" s="40" t="str">
        <x:f>IFERROR(D446/C446,"")</x:f>
      </x:c>
      <x:c r="H446" s="39"/>
      <x:c r="I446" s="46" t="str">
        <x:f>IF(OR(E446&lt;=0,H446&lt;=0),"",EDATE(TODAY(),ROUNDUP(E446/H446,0)))</x:f>
      </x:c>
    </x:row>
    <x:row r="447">
      <x:c r="A447" s="38" t="str"/>
      <x:c r="B447" s="38" t="str"/>
      <x:c r="C447" s="39"/>
      <x:c r="D447" s="39"/>
      <x:c r="E447" s="39" t="str">
        <x:f>IF(C447="","",C447-D447)</x:f>
      </x:c>
      <x:c r="F447" s="46"/>
      <x:c r="G447" s="40" t="str">
        <x:f>IFERROR(D447/C447,"")</x:f>
      </x:c>
      <x:c r="H447" s="39"/>
      <x:c r="I447" s="46" t="str">
        <x:f>IF(OR(E447&lt;=0,H447&lt;=0),"",EDATE(TODAY(),ROUNDUP(E447/H447,0)))</x:f>
      </x:c>
    </x:row>
    <x:row r="448">
      <x:c r="A448" s="38" t="str"/>
      <x:c r="B448" s="38" t="str"/>
      <x:c r="C448" s="39"/>
      <x:c r="D448" s="39"/>
      <x:c r="E448" s="39" t="str">
        <x:f>IF(C448="","",C448-D448)</x:f>
      </x:c>
      <x:c r="F448" s="46"/>
      <x:c r="G448" s="40" t="str">
        <x:f>IFERROR(D448/C448,"")</x:f>
      </x:c>
      <x:c r="H448" s="39"/>
      <x:c r="I448" s="46" t="str">
        <x:f>IF(OR(E448&lt;=0,H448&lt;=0),"",EDATE(TODAY(),ROUNDUP(E448/H448,0)))</x:f>
      </x:c>
    </x:row>
    <x:row r="449">
      <x:c r="A449" s="38" t="str"/>
      <x:c r="B449" s="38" t="str"/>
      <x:c r="C449" s="39"/>
      <x:c r="D449" s="39"/>
      <x:c r="E449" s="39" t="str">
        <x:f>IF(C449="","",C449-D449)</x:f>
      </x:c>
      <x:c r="F449" s="46"/>
      <x:c r="G449" s="40" t="str">
        <x:f>IFERROR(D449/C449,"")</x:f>
      </x:c>
      <x:c r="H449" s="39"/>
      <x:c r="I449" s="46" t="str">
        <x:f>IF(OR(E449&lt;=0,H449&lt;=0),"",EDATE(TODAY(),ROUNDUP(E449/H449,0)))</x:f>
      </x:c>
    </x:row>
    <x:row r="450">
      <x:c r="A450" s="38" t="str"/>
      <x:c r="B450" s="38" t="str"/>
      <x:c r="C450" s="39"/>
      <x:c r="D450" s="39"/>
      <x:c r="E450" s="39" t="str">
        <x:f>IF(C450="","",C450-D450)</x:f>
      </x:c>
      <x:c r="F450" s="46"/>
      <x:c r="G450" s="40" t="str">
        <x:f>IFERROR(D450/C450,"")</x:f>
      </x:c>
      <x:c r="H450" s="39"/>
      <x:c r="I450" s="46" t="str">
        <x:f>IF(OR(E450&lt;=0,H450&lt;=0),"",EDATE(TODAY(),ROUNDUP(E450/H450,0)))</x:f>
      </x:c>
    </x:row>
    <x:row r="451">
      <x:c r="A451" s="38" t="str"/>
      <x:c r="B451" s="38" t="str"/>
      <x:c r="C451" s="39"/>
      <x:c r="D451" s="39"/>
      <x:c r="E451" s="39" t="str">
        <x:f>IF(C451="","",C451-D451)</x:f>
      </x:c>
      <x:c r="F451" s="46"/>
      <x:c r="G451" s="40" t="str">
        <x:f>IFERROR(D451/C451,"")</x:f>
      </x:c>
      <x:c r="H451" s="39"/>
      <x:c r="I451" s="46" t="str">
        <x:f>IF(OR(E451&lt;=0,H451&lt;=0),"",EDATE(TODAY(),ROUNDUP(E451/H451,0)))</x:f>
      </x:c>
    </x:row>
    <x:row r="452">
      <x:c r="A452" s="38" t="str"/>
      <x:c r="B452" s="38" t="str"/>
      <x:c r="C452" s="39"/>
      <x:c r="D452" s="39"/>
      <x:c r="E452" s="39" t="str">
        <x:f>IF(C452="","",C452-D452)</x:f>
      </x:c>
      <x:c r="F452" s="46"/>
      <x:c r="G452" s="40" t="str">
        <x:f>IFERROR(D452/C452,"")</x:f>
      </x:c>
      <x:c r="H452" s="39"/>
      <x:c r="I452" s="46" t="str">
        <x:f>IF(OR(E452&lt;=0,H452&lt;=0),"",EDATE(TODAY(),ROUNDUP(E452/H452,0)))</x:f>
      </x:c>
    </x:row>
    <x:row r="453">
      <x:c r="A453" s="38" t="str"/>
      <x:c r="B453" s="38" t="str"/>
      <x:c r="C453" s="39"/>
      <x:c r="D453" s="39"/>
      <x:c r="E453" s="39" t="str">
        <x:f>IF(C453="","",C453-D453)</x:f>
      </x:c>
      <x:c r="F453" s="46"/>
      <x:c r="G453" s="40" t="str">
        <x:f>IFERROR(D453/C453,"")</x:f>
      </x:c>
      <x:c r="H453" s="39"/>
      <x:c r="I453" s="46" t="str">
        <x:f>IF(OR(E453&lt;=0,H453&lt;=0),"",EDATE(TODAY(),ROUNDUP(E453/H453,0)))</x:f>
      </x:c>
    </x:row>
    <x:row r="454">
      <x:c r="A454" s="38" t="str"/>
      <x:c r="B454" s="38" t="str"/>
      <x:c r="C454" s="39"/>
      <x:c r="D454" s="39"/>
      <x:c r="E454" s="39" t="str">
        <x:f>IF(C454="","",C454-D454)</x:f>
      </x:c>
      <x:c r="F454" s="46"/>
      <x:c r="G454" s="40" t="str">
        <x:f>IFERROR(D454/C454,"")</x:f>
      </x:c>
      <x:c r="H454" s="39"/>
      <x:c r="I454" s="46" t="str">
        <x:f>IF(OR(E454&lt;=0,H454&lt;=0),"",EDATE(TODAY(),ROUNDUP(E454/H454,0)))</x:f>
      </x:c>
    </x:row>
    <x:row r="455">
      <x:c r="A455" s="38" t="str"/>
      <x:c r="B455" s="38" t="str"/>
      <x:c r="C455" s="39"/>
      <x:c r="D455" s="39"/>
      <x:c r="E455" s="39" t="str">
        <x:f>IF(C455="","",C455-D455)</x:f>
      </x:c>
      <x:c r="F455" s="46"/>
      <x:c r="G455" s="40" t="str">
        <x:f>IFERROR(D455/C455,"")</x:f>
      </x:c>
      <x:c r="H455" s="39"/>
      <x:c r="I455" s="46" t="str">
        <x:f>IF(OR(E455&lt;=0,H455&lt;=0),"",EDATE(TODAY(),ROUNDUP(E455/H455,0)))</x:f>
      </x:c>
    </x:row>
    <x:row r="456">
      <x:c r="A456" s="38" t="str"/>
      <x:c r="B456" s="38" t="str"/>
      <x:c r="C456" s="39"/>
      <x:c r="D456" s="39"/>
      <x:c r="E456" s="39" t="str">
        <x:f>IF(C456="","",C456-D456)</x:f>
      </x:c>
      <x:c r="F456" s="46"/>
      <x:c r="G456" s="40" t="str">
        <x:f>IFERROR(D456/C456,"")</x:f>
      </x:c>
      <x:c r="H456" s="39"/>
      <x:c r="I456" s="46" t="str">
        <x:f>IF(OR(E456&lt;=0,H456&lt;=0),"",EDATE(TODAY(),ROUNDUP(E456/H456,0)))</x:f>
      </x:c>
    </x:row>
    <x:row r="457">
      <x:c r="A457" s="38" t="str"/>
      <x:c r="B457" s="38" t="str"/>
      <x:c r="C457" s="39"/>
      <x:c r="D457" s="39"/>
      <x:c r="E457" s="39" t="str">
        <x:f>IF(C457="","",C457-D457)</x:f>
      </x:c>
      <x:c r="F457" s="46"/>
      <x:c r="G457" s="40" t="str">
        <x:f>IFERROR(D457/C457,"")</x:f>
      </x:c>
      <x:c r="H457" s="39"/>
      <x:c r="I457" s="46" t="str">
        <x:f>IF(OR(E457&lt;=0,H457&lt;=0),"",EDATE(TODAY(),ROUNDUP(E457/H457,0)))</x:f>
      </x:c>
    </x:row>
    <x:row r="458">
      <x:c r="A458" s="38" t="str"/>
      <x:c r="B458" s="38" t="str"/>
      <x:c r="C458" s="39"/>
      <x:c r="D458" s="39"/>
      <x:c r="E458" s="39" t="str">
        <x:f>IF(C458="","",C458-D458)</x:f>
      </x:c>
      <x:c r="F458" s="46"/>
      <x:c r="G458" s="40" t="str">
        <x:f>IFERROR(D458/C458,"")</x:f>
      </x:c>
      <x:c r="H458" s="39"/>
      <x:c r="I458" s="46" t="str">
        <x:f>IF(OR(E458&lt;=0,H458&lt;=0),"",EDATE(TODAY(),ROUNDUP(E458/H458,0)))</x:f>
      </x:c>
    </x:row>
    <x:row r="459">
      <x:c r="A459" s="38" t="str"/>
      <x:c r="B459" s="38" t="str"/>
      <x:c r="C459" s="39"/>
      <x:c r="D459" s="39"/>
      <x:c r="E459" s="39" t="str">
        <x:f>IF(C459="","",C459-D459)</x:f>
      </x:c>
      <x:c r="F459" s="46"/>
      <x:c r="G459" s="40" t="str">
        <x:f>IFERROR(D459/C459,"")</x:f>
      </x:c>
      <x:c r="H459" s="39"/>
      <x:c r="I459" s="46" t="str">
        <x:f>IF(OR(E459&lt;=0,H459&lt;=0),"",EDATE(TODAY(),ROUNDUP(E459/H459,0)))</x:f>
      </x:c>
    </x:row>
    <x:row r="460">
      <x:c r="A460" s="38" t="str"/>
      <x:c r="B460" s="38" t="str"/>
      <x:c r="C460" s="39"/>
      <x:c r="D460" s="39"/>
      <x:c r="E460" s="39" t="str">
        <x:f>IF(C460="","",C460-D460)</x:f>
      </x:c>
      <x:c r="F460" s="46"/>
      <x:c r="G460" s="40" t="str">
        <x:f>IFERROR(D460/C460,"")</x:f>
      </x:c>
      <x:c r="H460" s="39"/>
      <x:c r="I460" s="46" t="str">
        <x:f>IF(OR(E460&lt;=0,H460&lt;=0),"",EDATE(TODAY(),ROUNDUP(E460/H460,0)))</x:f>
      </x:c>
    </x:row>
    <x:row r="461">
      <x:c r="A461" s="38" t="str"/>
      <x:c r="B461" s="38" t="str"/>
      <x:c r="C461" s="39"/>
      <x:c r="D461" s="39"/>
      <x:c r="E461" s="39" t="str">
        <x:f>IF(C461="","",C461-D461)</x:f>
      </x:c>
      <x:c r="F461" s="46"/>
      <x:c r="G461" s="40" t="str">
        <x:f>IFERROR(D461/C461,"")</x:f>
      </x:c>
      <x:c r="H461" s="39"/>
      <x:c r="I461" s="46" t="str">
        <x:f>IF(OR(E461&lt;=0,H461&lt;=0),"",EDATE(TODAY(),ROUNDUP(E461/H461,0)))</x:f>
      </x:c>
    </x:row>
    <x:row r="462">
      <x:c r="A462" s="38" t="str"/>
      <x:c r="B462" s="38" t="str"/>
      <x:c r="C462" s="39"/>
      <x:c r="D462" s="39"/>
      <x:c r="E462" s="39" t="str">
        <x:f>IF(C462="","",C462-D462)</x:f>
      </x:c>
      <x:c r="F462" s="46"/>
      <x:c r="G462" s="40" t="str">
        <x:f>IFERROR(D462/C462,"")</x:f>
      </x:c>
      <x:c r="H462" s="39"/>
      <x:c r="I462" s="46" t="str">
        <x:f>IF(OR(E462&lt;=0,H462&lt;=0),"",EDATE(TODAY(),ROUNDUP(E462/H462,0)))</x:f>
      </x:c>
    </x:row>
    <x:row r="463">
      <x:c r="A463" s="38" t="str"/>
      <x:c r="B463" s="38" t="str"/>
      <x:c r="C463" s="39"/>
      <x:c r="D463" s="39"/>
      <x:c r="E463" s="39" t="str">
        <x:f>IF(C463="","",C463-D463)</x:f>
      </x:c>
      <x:c r="F463" s="46"/>
      <x:c r="G463" s="40" t="str">
        <x:f>IFERROR(D463/C463,"")</x:f>
      </x:c>
      <x:c r="H463" s="39"/>
      <x:c r="I463" s="46" t="str">
        <x:f>IF(OR(E463&lt;=0,H463&lt;=0),"",EDATE(TODAY(),ROUNDUP(E463/H463,0)))</x:f>
      </x:c>
    </x:row>
    <x:row r="464">
      <x:c r="A464" s="38" t="str"/>
      <x:c r="B464" s="38" t="str"/>
      <x:c r="C464" s="39"/>
      <x:c r="D464" s="39"/>
      <x:c r="E464" s="39" t="str">
        <x:f>IF(C464="","",C464-D464)</x:f>
      </x:c>
      <x:c r="F464" s="46"/>
      <x:c r="G464" s="40" t="str">
        <x:f>IFERROR(D464/C464,"")</x:f>
      </x:c>
      <x:c r="H464" s="39"/>
      <x:c r="I464" s="46" t="str">
        <x:f>IF(OR(E464&lt;=0,H464&lt;=0),"",EDATE(TODAY(),ROUNDUP(E464/H464,0)))</x:f>
      </x:c>
    </x:row>
    <x:row r="465">
      <x:c r="A465" s="38" t="str"/>
      <x:c r="B465" s="38" t="str"/>
      <x:c r="C465" s="39"/>
      <x:c r="D465" s="39"/>
      <x:c r="E465" s="39" t="str">
        <x:f>IF(C465="","",C465-D465)</x:f>
      </x:c>
      <x:c r="F465" s="46"/>
      <x:c r="G465" s="40" t="str">
        <x:f>IFERROR(D465/C465,"")</x:f>
      </x:c>
      <x:c r="H465" s="39"/>
      <x:c r="I465" s="46" t="str">
        <x:f>IF(OR(E465&lt;=0,H465&lt;=0),"",EDATE(TODAY(),ROUNDUP(E465/H465,0)))</x:f>
      </x:c>
    </x:row>
    <x:row r="466">
      <x:c r="A466" s="38" t="str"/>
      <x:c r="B466" s="38" t="str"/>
      <x:c r="C466" s="39"/>
      <x:c r="D466" s="39"/>
      <x:c r="E466" s="39" t="str">
        <x:f>IF(C466="","",C466-D466)</x:f>
      </x:c>
      <x:c r="F466" s="46"/>
      <x:c r="G466" s="40" t="str">
        <x:f>IFERROR(D466/C466,"")</x:f>
      </x:c>
      <x:c r="H466" s="39"/>
      <x:c r="I466" s="46" t="str">
        <x:f>IF(OR(E466&lt;=0,H466&lt;=0),"",EDATE(TODAY(),ROUNDUP(E466/H466,0)))</x:f>
      </x:c>
    </x:row>
    <x:row r="467">
      <x:c r="A467" s="38" t="str"/>
      <x:c r="B467" s="38" t="str"/>
      <x:c r="C467" s="39"/>
      <x:c r="D467" s="39"/>
      <x:c r="E467" s="39" t="str">
        <x:f>IF(C467="","",C467-D467)</x:f>
      </x:c>
      <x:c r="F467" s="46"/>
      <x:c r="G467" s="40" t="str">
        <x:f>IFERROR(D467/C467,"")</x:f>
      </x:c>
      <x:c r="H467" s="39"/>
      <x:c r="I467" s="46" t="str">
        <x:f>IF(OR(E467&lt;=0,H467&lt;=0),"",EDATE(TODAY(),ROUNDUP(E467/H467,0)))</x:f>
      </x:c>
    </x:row>
    <x:row r="468">
      <x:c r="A468" s="38" t="str"/>
      <x:c r="B468" s="38" t="str"/>
      <x:c r="C468" s="39"/>
      <x:c r="D468" s="39"/>
      <x:c r="E468" s="39" t="str">
        <x:f>IF(C468="","",C468-D468)</x:f>
      </x:c>
      <x:c r="F468" s="46"/>
      <x:c r="G468" s="40" t="str">
        <x:f>IFERROR(D468/C468,"")</x:f>
      </x:c>
      <x:c r="H468" s="39"/>
      <x:c r="I468" s="46" t="str">
        <x:f>IF(OR(E468&lt;=0,H468&lt;=0),"",EDATE(TODAY(),ROUNDUP(E468/H468,0)))</x:f>
      </x:c>
    </x:row>
    <x:row r="469">
      <x:c r="A469" s="38" t="str"/>
      <x:c r="B469" s="38" t="str"/>
      <x:c r="C469" s="39"/>
      <x:c r="D469" s="39"/>
      <x:c r="E469" s="39" t="str">
        <x:f>IF(C469="","",C469-D469)</x:f>
      </x:c>
      <x:c r="F469" s="46"/>
      <x:c r="G469" s="40" t="str">
        <x:f>IFERROR(D469/C469,"")</x:f>
      </x:c>
      <x:c r="H469" s="39"/>
      <x:c r="I469" s="46" t="str">
        <x:f>IF(OR(E469&lt;=0,H469&lt;=0),"",EDATE(TODAY(),ROUNDUP(E469/H469,0)))</x:f>
      </x:c>
    </x:row>
    <x:row r="470">
      <x:c r="A470" s="38" t="str"/>
      <x:c r="B470" s="38" t="str"/>
      <x:c r="C470" s="39"/>
      <x:c r="D470" s="39"/>
      <x:c r="E470" s="39" t="str">
        <x:f>IF(C470="","",C470-D470)</x:f>
      </x:c>
      <x:c r="F470" s="46"/>
      <x:c r="G470" s="40" t="str">
        <x:f>IFERROR(D470/C470,"")</x:f>
      </x:c>
      <x:c r="H470" s="39"/>
      <x:c r="I470" s="46" t="str">
        <x:f>IF(OR(E470&lt;=0,H470&lt;=0),"",EDATE(TODAY(),ROUNDUP(E470/H470,0)))</x:f>
      </x:c>
    </x:row>
    <x:row r="471">
      <x:c r="A471" s="38" t="str"/>
      <x:c r="B471" s="38" t="str"/>
      <x:c r="C471" s="39"/>
      <x:c r="D471" s="39"/>
      <x:c r="E471" s="39" t="str">
        <x:f>IF(C471="","",C471-D471)</x:f>
      </x:c>
      <x:c r="F471" s="46"/>
      <x:c r="G471" s="40" t="str">
        <x:f>IFERROR(D471/C471,"")</x:f>
      </x:c>
      <x:c r="H471" s="39"/>
      <x:c r="I471" s="46" t="str">
        <x:f>IF(OR(E471&lt;=0,H471&lt;=0),"",EDATE(TODAY(),ROUNDUP(E471/H471,0)))</x:f>
      </x:c>
    </x:row>
    <x:row r="472">
      <x:c r="A472" s="38" t="str"/>
      <x:c r="B472" s="38" t="str"/>
      <x:c r="C472" s="39"/>
      <x:c r="D472" s="39"/>
      <x:c r="E472" s="39" t="str">
        <x:f>IF(C472="","",C472-D472)</x:f>
      </x:c>
      <x:c r="F472" s="46"/>
      <x:c r="G472" s="40" t="str">
        <x:f>IFERROR(D472/C472,"")</x:f>
      </x:c>
      <x:c r="H472" s="39"/>
      <x:c r="I472" s="46" t="str">
        <x:f>IF(OR(E472&lt;=0,H472&lt;=0),"",EDATE(TODAY(),ROUNDUP(E472/H472,0)))</x:f>
      </x:c>
    </x:row>
    <x:row r="473">
      <x:c r="A473" s="38" t="str"/>
      <x:c r="B473" s="38" t="str"/>
      <x:c r="C473" s="39"/>
      <x:c r="D473" s="39"/>
      <x:c r="E473" s="39" t="str">
        <x:f>IF(C473="","",C473-D473)</x:f>
      </x:c>
      <x:c r="F473" s="46"/>
      <x:c r="G473" s="40" t="str">
        <x:f>IFERROR(D473/C473,"")</x:f>
      </x:c>
      <x:c r="H473" s="39"/>
      <x:c r="I473" s="46" t="str">
        <x:f>IF(OR(E473&lt;=0,H473&lt;=0),"",EDATE(TODAY(),ROUNDUP(E473/H473,0)))</x:f>
      </x:c>
    </x:row>
    <x:row r="474">
      <x:c r="A474" s="38" t="str"/>
      <x:c r="B474" s="38" t="str"/>
      <x:c r="C474" s="39"/>
      <x:c r="D474" s="39"/>
      <x:c r="E474" s="39" t="str">
        <x:f>IF(C474="","",C474-D474)</x:f>
      </x:c>
      <x:c r="F474" s="46"/>
      <x:c r="G474" s="40" t="str">
        <x:f>IFERROR(D474/C474,"")</x:f>
      </x:c>
      <x:c r="H474" s="39"/>
      <x:c r="I474" s="46" t="str">
        <x:f>IF(OR(E474&lt;=0,H474&lt;=0),"",EDATE(TODAY(),ROUNDUP(E474/H474,0)))</x:f>
      </x:c>
    </x:row>
    <x:row r="475">
      <x:c r="A475" s="38" t="str"/>
      <x:c r="B475" s="38" t="str"/>
      <x:c r="C475" s="39"/>
      <x:c r="D475" s="39"/>
      <x:c r="E475" s="39" t="str">
        <x:f>IF(C475="","",C475-D475)</x:f>
      </x:c>
      <x:c r="F475" s="46"/>
      <x:c r="G475" s="40" t="str">
        <x:f>IFERROR(D475/C475,"")</x:f>
      </x:c>
      <x:c r="H475" s="39"/>
      <x:c r="I475" s="46" t="str">
        <x:f>IF(OR(E475&lt;=0,H475&lt;=0),"",EDATE(TODAY(),ROUNDUP(E475/H475,0)))</x:f>
      </x:c>
    </x:row>
    <x:row r="476">
      <x:c r="A476" s="38" t="str"/>
      <x:c r="B476" s="38" t="str"/>
      <x:c r="C476" s="39"/>
      <x:c r="D476" s="39"/>
      <x:c r="E476" s="39" t="str">
        <x:f>IF(C476="","",C476-D476)</x:f>
      </x:c>
      <x:c r="F476" s="46"/>
      <x:c r="G476" s="40" t="str">
        <x:f>IFERROR(D476/C476,"")</x:f>
      </x:c>
      <x:c r="H476" s="39"/>
      <x:c r="I476" s="46" t="str">
        <x:f>IF(OR(E476&lt;=0,H476&lt;=0),"",EDATE(TODAY(),ROUNDUP(E476/H476,0)))</x:f>
      </x:c>
    </x:row>
    <x:row r="477">
      <x:c r="A477" s="38" t="str"/>
      <x:c r="B477" s="38" t="str"/>
      <x:c r="C477" s="39"/>
      <x:c r="D477" s="39"/>
      <x:c r="E477" s="39" t="str">
        <x:f>IF(C477="","",C477-D477)</x:f>
      </x:c>
      <x:c r="F477" s="46"/>
      <x:c r="G477" s="40" t="str">
        <x:f>IFERROR(D477/C477,"")</x:f>
      </x:c>
      <x:c r="H477" s="39"/>
      <x:c r="I477" s="46" t="str">
        <x:f>IF(OR(E477&lt;=0,H477&lt;=0),"",EDATE(TODAY(),ROUNDUP(E477/H477,0)))</x:f>
      </x:c>
    </x:row>
    <x:row r="478">
      <x:c r="A478" s="38" t="str"/>
      <x:c r="B478" s="38" t="str"/>
      <x:c r="C478" s="39"/>
      <x:c r="D478" s="39"/>
      <x:c r="E478" s="39" t="str">
        <x:f>IF(C478="","",C478-D478)</x:f>
      </x:c>
      <x:c r="F478" s="46"/>
      <x:c r="G478" s="40" t="str">
        <x:f>IFERROR(D478/C478,"")</x:f>
      </x:c>
      <x:c r="H478" s="39"/>
      <x:c r="I478" s="46" t="str">
        <x:f>IF(OR(E478&lt;=0,H478&lt;=0),"",EDATE(TODAY(),ROUNDUP(E478/H478,0)))</x:f>
      </x:c>
    </x:row>
    <x:row r="479">
      <x:c r="A479" s="38" t="str"/>
      <x:c r="B479" s="38" t="str"/>
      <x:c r="C479" s="39"/>
      <x:c r="D479" s="39"/>
      <x:c r="E479" s="39" t="str">
        <x:f>IF(C479="","",C479-D479)</x:f>
      </x:c>
      <x:c r="F479" s="46"/>
      <x:c r="G479" s="40" t="str">
        <x:f>IFERROR(D479/C479,"")</x:f>
      </x:c>
      <x:c r="H479" s="39"/>
      <x:c r="I479" s="46" t="str">
        <x:f>IF(OR(E479&lt;=0,H479&lt;=0),"",EDATE(TODAY(),ROUNDUP(E479/H479,0)))</x:f>
      </x:c>
    </x:row>
    <x:row r="480">
      <x:c r="A480" s="38" t="str"/>
      <x:c r="B480" s="38" t="str"/>
      <x:c r="C480" s="39"/>
      <x:c r="D480" s="39"/>
      <x:c r="E480" s="39" t="str">
        <x:f>IF(C480="","",C480-D480)</x:f>
      </x:c>
      <x:c r="F480" s="46"/>
      <x:c r="G480" s="40" t="str">
        <x:f>IFERROR(D480/C480,"")</x:f>
      </x:c>
      <x:c r="H480" s="39"/>
      <x:c r="I480" s="46" t="str">
        <x:f>IF(OR(E480&lt;=0,H480&lt;=0),"",EDATE(TODAY(),ROUNDUP(E480/H480,0)))</x:f>
      </x:c>
    </x:row>
    <x:row r="481">
      <x:c r="A481" s="38" t="str"/>
      <x:c r="B481" s="38" t="str"/>
      <x:c r="C481" s="39"/>
      <x:c r="D481" s="39"/>
      <x:c r="E481" s="39" t="str">
        <x:f>IF(C481="","",C481-D481)</x:f>
      </x:c>
      <x:c r="F481" s="46"/>
      <x:c r="G481" s="40" t="str">
        <x:f>IFERROR(D481/C481,"")</x:f>
      </x:c>
      <x:c r="H481" s="39"/>
      <x:c r="I481" s="46" t="str">
        <x:f>IF(OR(E481&lt;=0,H481&lt;=0),"",EDATE(TODAY(),ROUNDUP(E481/H481,0)))</x:f>
      </x:c>
    </x:row>
    <x:row r="482">
      <x:c r="A482" s="38" t="str"/>
      <x:c r="B482" s="38" t="str"/>
      <x:c r="C482" s="39"/>
      <x:c r="D482" s="39"/>
      <x:c r="E482" s="39" t="str">
        <x:f>IF(C482="","",C482-D482)</x:f>
      </x:c>
      <x:c r="F482" s="46"/>
      <x:c r="G482" s="40" t="str">
        <x:f>IFERROR(D482/C482,"")</x:f>
      </x:c>
      <x:c r="H482" s="39"/>
      <x:c r="I482" s="46" t="str">
        <x:f>IF(OR(E482&lt;=0,H482&lt;=0),"",EDATE(TODAY(),ROUNDUP(E482/H482,0)))</x:f>
      </x:c>
    </x:row>
    <x:row r="483">
      <x:c r="A483" s="38" t="str"/>
      <x:c r="B483" s="38" t="str"/>
      <x:c r="C483" s="39"/>
      <x:c r="D483" s="39"/>
      <x:c r="E483" s="39" t="str">
        <x:f>IF(C483="","",C483-D483)</x:f>
      </x:c>
      <x:c r="F483" s="46"/>
      <x:c r="G483" s="40" t="str">
        <x:f>IFERROR(D483/C483,"")</x:f>
      </x:c>
      <x:c r="H483" s="39"/>
      <x:c r="I483" s="46" t="str">
        <x:f>IF(OR(E483&lt;=0,H483&lt;=0),"",EDATE(TODAY(),ROUNDUP(E483/H483,0)))</x:f>
      </x:c>
    </x:row>
    <x:row r="484">
      <x:c r="A484" s="38" t="str"/>
      <x:c r="B484" s="38" t="str"/>
      <x:c r="C484" s="39"/>
      <x:c r="D484" s="39"/>
      <x:c r="E484" s="39" t="str">
        <x:f>IF(C484="","",C484-D484)</x:f>
      </x:c>
      <x:c r="F484" s="46"/>
      <x:c r="G484" s="40" t="str">
        <x:f>IFERROR(D484/C484,"")</x:f>
      </x:c>
      <x:c r="H484" s="39"/>
      <x:c r="I484" s="46" t="str">
        <x:f>IF(OR(E484&lt;=0,H484&lt;=0),"",EDATE(TODAY(),ROUNDUP(E484/H484,0)))</x:f>
      </x:c>
    </x:row>
    <x:row r="485">
      <x:c r="A485" s="38" t="str"/>
      <x:c r="B485" s="38" t="str"/>
      <x:c r="C485" s="39"/>
      <x:c r="D485" s="39"/>
      <x:c r="E485" s="39" t="str">
        <x:f>IF(C485="","",C485-D485)</x:f>
      </x:c>
      <x:c r="F485" s="46"/>
      <x:c r="G485" s="40" t="str">
        <x:f>IFERROR(D485/C485,"")</x:f>
      </x:c>
      <x:c r="H485" s="39"/>
      <x:c r="I485" s="46" t="str">
        <x:f>IF(OR(E485&lt;=0,H485&lt;=0),"",EDATE(TODAY(),ROUNDUP(E485/H485,0)))</x:f>
      </x:c>
    </x:row>
    <x:row r="486">
      <x:c r="A486" s="38" t="str"/>
      <x:c r="B486" s="38" t="str"/>
      <x:c r="C486" s="39"/>
      <x:c r="D486" s="39"/>
      <x:c r="E486" s="39" t="str">
        <x:f>IF(C486="","",C486-D486)</x:f>
      </x:c>
      <x:c r="F486" s="46"/>
      <x:c r="G486" s="40" t="str">
        <x:f>IFERROR(D486/C486,"")</x:f>
      </x:c>
      <x:c r="H486" s="39"/>
      <x:c r="I486" s="46" t="str">
        <x:f>IF(OR(E486&lt;=0,H486&lt;=0),"",EDATE(TODAY(),ROUNDUP(E486/H486,0)))</x:f>
      </x:c>
    </x:row>
    <x:row r="487">
      <x:c r="A487" s="38" t="str"/>
      <x:c r="B487" s="38" t="str"/>
      <x:c r="C487" s="39"/>
      <x:c r="D487" s="39"/>
      <x:c r="E487" s="39" t="str">
        <x:f>IF(C487="","",C487-D487)</x:f>
      </x:c>
      <x:c r="F487" s="46"/>
      <x:c r="G487" s="40" t="str">
        <x:f>IFERROR(D487/C487,"")</x:f>
      </x:c>
      <x:c r="H487" s="39"/>
      <x:c r="I487" s="46" t="str">
        <x:f>IF(OR(E487&lt;=0,H487&lt;=0),"",EDATE(TODAY(),ROUNDUP(E487/H487,0)))</x:f>
      </x:c>
    </x:row>
    <x:row r="488">
      <x:c r="A488" s="38" t="str"/>
      <x:c r="B488" s="38" t="str"/>
      <x:c r="C488" s="39"/>
      <x:c r="D488" s="39"/>
      <x:c r="E488" s="39" t="str">
        <x:f>IF(C488="","",C488-D488)</x:f>
      </x:c>
      <x:c r="F488" s="46"/>
      <x:c r="G488" s="40" t="str">
        <x:f>IFERROR(D488/C488,"")</x:f>
      </x:c>
      <x:c r="H488" s="39"/>
      <x:c r="I488" s="46" t="str">
        <x:f>IF(OR(E488&lt;=0,H488&lt;=0),"",EDATE(TODAY(),ROUNDUP(E488/H488,0)))</x:f>
      </x:c>
    </x:row>
    <x:row r="489">
      <x:c r="A489" s="38" t="str"/>
      <x:c r="B489" s="38" t="str"/>
      <x:c r="C489" s="39"/>
      <x:c r="D489" s="39"/>
      <x:c r="E489" s="39" t="str">
        <x:f>IF(C489="","",C489-D489)</x:f>
      </x:c>
      <x:c r="F489" s="46"/>
      <x:c r="G489" s="40" t="str">
        <x:f>IFERROR(D489/C489,"")</x:f>
      </x:c>
      <x:c r="H489" s="39"/>
      <x:c r="I489" s="46" t="str">
        <x:f>IF(OR(E489&lt;=0,H489&lt;=0),"",EDATE(TODAY(),ROUNDUP(E489/H489,0)))</x:f>
      </x:c>
    </x:row>
    <x:row r="490">
      <x:c r="A490" s="38" t="str"/>
      <x:c r="B490" s="38" t="str"/>
      <x:c r="C490" s="39"/>
      <x:c r="D490" s="39"/>
      <x:c r="E490" s="39" t="str">
        <x:f>IF(C490="","",C490-D490)</x:f>
      </x:c>
      <x:c r="F490" s="46"/>
      <x:c r="G490" s="40" t="str">
        <x:f>IFERROR(D490/C490,"")</x:f>
      </x:c>
      <x:c r="H490" s="39"/>
      <x:c r="I490" s="46" t="str">
        <x:f>IF(OR(E490&lt;=0,H490&lt;=0),"",EDATE(TODAY(),ROUNDUP(E490/H490,0)))</x:f>
      </x:c>
    </x:row>
    <x:row r="491">
      <x:c r="A491" s="38" t="str"/>
      <x:c r="B491" s="38" t="str"/>
      <x:c r="C491" s="39"/>
      <x:c r="D491" s="39"/>
      <x:c r="E491" s="39" t="str">
        <x:f>IF(C491="","",C491-D491)</x:f>
      </x:c>
      <x:c r="F491" s="46"/>
      <x:c r="G491" s="40" t="str">
        <x:f>IFERROR(D491/C491,"")</x:f>
      </x:c>
      <x:c r="H491" s="39"/>
      <x:c r="I491" s="46" t="str">
        <x:f>IF(OR(E491&lt;=0,H491&lt;=0),"",EDATE(TODAY(),ROUNDUP(E491/H491,0)))</x:f>
      </x:c>
    </x:row>
    <x:row r="492">
      <x:c r="A492" s="38" t="str"/>
      <x:c r="B492" s="38" t="str"/>
      <x:c r="C492" s="39"/>
      <x:c r="D492" s="39"/>
      <x:c r="E492" s="39" t="str">
        <x:f>IF(C492="","",C492-D492)</x:f>
      </x:c>
      <x:c r="F492" s="46"/>
      <x:c r="G492" s="40" t="str">
        <x:f>IFERROR(D492/C492,"")</x:f>
      </x:c>
      <x:c r="H492" s="39"/>
      <x:c r="I492" s="46" t="str">
        <x:f>IF(OR(E492&lt;=0,H492&lt;=0),"",EDATE(TODAY(),ROUNDUP(E492/H492,0)))</x:f>
      </x:c>
    </x:row>
    <x:row r="493">
      <x:c r="A493" s="38" t="str"/>
      <x:c r="B493" s="38" t="str"/>
      <x:c r="C493" s="39"/>
      <x:c r="D493" s="39"/>
      <x:c r="E493" s="39" t="str">
        <x:f>IF(C493="","",C493-D493)</x:f>
      </x:c>
      <x:c r="F493" s="46"/>
      <x:c r="G493" s="40" t="str">
        <x:f>IFERROR(D493/C493,"")</x:f>
      </x:c>
      <x:c r="H493" s="39"/>
      <x:c r="I493" s="46" t="str">
        <x:f>IF(OR(E493&lt;=0,H493&lt;=0),"",EDATE(TODAY(),ROUNDUP(E493/H493,0)))</x:f>
      </x:c>
    </x:row>
    <x:row r="494">
      <x:c r="A494" s="38" t="str"/>
      <x:c r="B494" s="38" t="str"/>
      <x:c r="C494" s="39"/>
      <x:c r="D494" s="39"/>
      <x:c r="E494" s="39" t="str">
        <x:f>IF(C494="","",C494-D494)</x:f>
      </x:c>
      <x:c r="F494" s="46"/>
      <x:c r="G494" s="40" t="str">
        <x:f>IFERROR(D494/C494,"")</x:f>
      </x:c>
      <x:c r="H494" s="39"/>
      <x:c r="I494" s="46" t="str">
        <x:f>IF(OR(E494&lt;=0,H494&lt;=0),"",EDATE(TODAY(),ROUNDUP(E494/H494,0)))</x:f>
      </x:c>
    </x:row>
    <x:row r="495">
      <x:c r="A495" s="38" t="str"/>
      <x:c r="B495" s="38" t="str"/>
      <x:c r="C495" s="39"/>
      <x:c r="D495" s="39"/>
      <x:c r="E495" s="39" t="str">
        <x:f>IF(C495="","",C495-D495)</x:f>
      </x:c>
      <x:c r="F495" s="46"/>
      <x:c r="G495" s="40" t="str">
        <x:f>IFERROR(D495/C495,"")</x:f>
      </x:c>
      <x:c r="H495" s="39"/>
      <x:c r="I495" s="46" t="str">
        <x:f>IF(OR(E495&lt;=0,H495&lt;=0),"",EDATE(TODAY(),ROUNDUP(E495/H495,0)))</x:f>
      </x:c>
    </x:row>
    <x:row r="496">
      <x:c r="A496" s="38" t="str"/>
      <x:c r="B496" s="38" t="str"/>
      <x:c r="C496" s="39"/>
      <x:c r="D496" s="39"/>
      <x:c r="E496" s="39" t="str">
        <x:f>IF(C496="","",C496-D496)</x:f>
      </x:c>
      <x:c r="F496" s="46"/>
      <x:c r="G496" s="40" t="str">
        <x:f>IFERROR(D496/C496,"")</x:f>
      </x:c>
      <x:c r="H496" s="39"/>
      <x:c r="I496" s="46" t="str">
        <x:f>IF(OR(E496&lt;=0,H496&lt;=0),"",EDATE(TODAY(),ROUNDUP(E496/H496,0)))</x:f>
      </x:c>
    </x:row>
    <x:row r="497">
      <x:c r="A497" s="38" t="str"/>
      <x:c r="B497" s="38" t="str"/>
      <x:c r="C497" s="39"/>
      <x:c r="D497" s="39"/>
      <x:c r="E497" s="39" t="str">
        <x:f>IF(C497="","",C497-D497)</x:f>
      </x:c>
      <x:c r="F497" s="46"/>
      <x:c r="G497" s="40" t="str">
        <x:f>IFERROR(D497/C497,"")</x:f>
      </x:c>
      <x:c r="H497" s="39"/>
      <x:c r="I497" s="46" t="str">
        <x:f>IF(OR(E497&lt;=0,H497&lt;=0),"",EDATE(TODAY(),ROUNDUP(E497/H497,0)))</x:f>
      </x:c>
    </x:row>
    <x:row r="498">
      <x:c r="A498" s="38" t="str"/>
      <x:c r="B498" s="38" t="str"/>
      <x:c r="C498" s="39"/>
      <x:c r="D498" s="39"/>
      <x:c r="E498" s="39" t="str">
        <x:f>IF(C498="","",C498-D498)</x:f>
      </x:c>
      <x:c r="F498" s="46"/>
      <x:c r="G498" s="40" t="str">
        <x:f>IFERROR(D498/C498,"")</x:f>
      </x:c>
      <x:c r="H498" s="39"/>
      <x:c r="I498" s="46" t="str">
        <x:f>IF(OR(E498&lt;=0,H498&lt;=0),"",EDATE(TODAY(),ROUNDUP(E498/H498,0)))</x:f>
      </x:c>
    </x:row>
    <x:row r="499">
      <x:c r="A499" s="38" t="str"/>
      <x:c r="B499" s="38" t="str"/>
      <x:c r="C499" s="39"/>
      <x:c r="D499" s="39"/>
      <x:c r="E499" s="39" t="str">
        <x:f>IF(C499="","",C499-D499)</x:f>
      </x:c>
      <x:c r="F499" s="46"/>
      <x:c r="G499" s="40" t="str">
        <x:f>IFERROR(D499/C499,"")</x:f>
      </x:c>
      <x:c r="H499" s="39"/>
      <x:c r="I499" s="46" t="str">
        <x:f>IF(OR(E499&lt;=0,H499&lt;=0),"",EDATE(TODAY(),ROUNDUP(E499/H499,0)))</x:f>
      </x:c>
    </x:row>
    <x:row r="500">
      <x:c r="A500" s="38" t="str"/>
      <x:c r="B500" s="38" t="str"/>
      <x:c r="C500" s="39"/>
      <x:c r="D500" s="39"/>
      <x:c r="E500" s="39" t="str">
        <x:f>IF(C500="","",C500-D500)</x:f>
      </x:c>
      <x:c r="F500" s="46"/>
      <x:c r="G500" s="40" t="str">
        <x:f>IFERROR(D500/C500,"")</x:f>
      </x:c>
      <x:c r="H500" s="39"/>
      <x:c r="I500" s="46" t="str">
        <x:f>IF(OR(E500&lt;=0,H500&lt;=0),"",EDATE(TODAY(),ROUNDUP(E500/H500,0)))</x:f>
      </x:c>
    </x:row>
    <x:row r="501">
      <x:c r="A501" s="38" t="str"/>
      <x:c r="B501" s="38" t="str"/>
      <x:c r="C501" s="39"/>
      <x:c r="D501" s="39"/>
      <x:c r="E501" s="39" t="str">
        <x:f>IF(C501="","",C501-D501)</x:f>
      </x:c>
      <x:c r="F501" s="46"/>
      <x:c r="G501" s="40" t="str">
        <x:f>IFERROR(D501/C501,"")</x:f>
      </x:c>
      <x:c r="H501" s="39"/>
      <x:c r="I501" s="46" t="str">
        <x:f>IF(OR(E501&lt;=0,H501&lt;=0),"",EDATE(TODAY(),ROUNDUP(E501/H501,0)))</x:f>
      </x:c>
    </x:row>
    <x:row r="502">
      <x:c r="A502" s="38" t="str"/>
      <x:c r="B502" s="38" t="str"/>
      <x:c r="C502" s="39"/>
      <x:c r="D502" s="39"/>
      <x:c r="E502" s="39" t="str">
        <x:f>IF(C502="","",C502-D502)</x:f>
      </x:c>
      <x:c r="F502" s="46"/>
      <x:c r="G502" s="40" t="str">
        <x:f>IFERROR(D502/C502,"")</x:f>
      </x:c>
      <x:c r="H502" s="39"/>
      <x:c r="I502" s="46" t="str">
        <x:f>IF(OR(E502&lt;=0,H502&lt;=0),"",EDATE(TODAY(),ROUNDUP(E502/H502,0)))</x:f>
      </x:c>
    </x:row>
    <x:row r="503">
      <x:c r="A503" s="38" t="str"/>
      <x:c r="B503" s="38" t="str"/>
      <x:c r="C503" s="39"/>
      <x:c r="D503" s="39"/>
      <x:c r="E503" s="39" t="str">
        <x:f>IF(C503="","",C503-D503)</x:f>
      </x:c>
      <x:c r="F503" s="46"/>
      <x:c r="G503" s="40" t="str">
        <x:f>IFERROR(D503/C503,"")</x:f>
      </x:c>
      <x:c r="H503" s="39"/>
      <x:c r="I503" s="46" t="str">
        <x:f>IF(OR(E503&lt;=0,H503&lt;=0),"",EDATE(TODAY(),ROUNDUP(E503/H503,0)))</x:f>
      </x:c>
    </x:row>
    <x:row r="504">
      <x:c r="A504" s="38" t="str"/>
      <x:c r="B504" s="38" t="str"/>
      <x:c r="C504" s="39"/>
      <x:c r="D504" s="39"/>
      <x:c r="E504" s="39" t="str">
        <x:f>IF(C504="","",C504-D504)</x:f>
      </x:c>
      <x:c r="F504" s="46"/>
      <x:c r="G504" s="40" t="str">
        <x:f>IFERROR(D504/C504,"")</x:f>
      </x:c>
      <x:c r="H504" s="39"/>
      <x:c r="I504" s="46" t="str">
        <x:f>IF(OR(E504&lt;=0,H504&lt;=0),"",EDATE(TODAY(),ROUNDUP(E504/H504,0)))</x:f>
      </x:c>
    </x:row>
    <x:row r="505">
      <x:c r="A505" s="38" t="str"/>
      <x:c r="B505" s="38" t="str"/>
      <x:c r="C505" s="39"/>
      <x:c r="D505" s="39"/>
      <x:c r="E505" s="39" t="str">
        <x:f>IF(C505="","",C505-D505)</x:f>
      </x:c>
      <x:c r="F505" s="46"/>
      <x:c r="G505" s="40" t="str">
        <x:f>IFERROR(D505/C505,"")</x:f>
      </x:c>
      <x:c r="H505" s="39"/>
      <x:c r="I505" s="46" t="str">
        <x:f>IF(OR(E505&lt;=0,H505&lt;=0),"",EDATE(TODAY(),ROUNDUP(E505/H505,0)))</x:f>
      </x:c>
    </x:row>
  </x:sheetData>
  <x:mergeCells>
    <x:mergeCell ref="A1:I1"/>
    <x:mergeCell ref="A2:I2"/>
  </x:mergeCells>
  <x:conditionalFormatting sqref="G6:G505">
    <x:cfRule type="dataBar" priority="1">
      <x:dataBar>
        <x:cfvo type="min"/>
        <x:cfvo type="max"/>
        <x:color rgb="FF16A34A"/>
      </x:dataBar>
    </x:cfRule>
  </x:conditionalFormatting>
  <x:dataValidations count="1">
    <x:dataValidation type="list" sqref="B6:B505">
      <x:formula1>'Configuración'!$J$5:$J$20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54f893fa746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5" hidden="0" customWidth="1"/>
    <x:col min="3" max="3" width="11.25" hidden="0" customWidth="1"/>
    <x:col min="4" max="4" width="15" hidden="0" customWidth="1"/>
    <x:col min="5" max="5" width="12.5" hidden="0" customWidth="1"/>
    <x:col min="6" max="6" width="12.5" hidden="0" customWidth="1"/>
    <x:col min="7" max="7" width="3.75" hidden="0" customWidth="1"/>
    <x:col min="8" max="8" width="18.75" hidden="0" customWidth="1"/>
    <x:col min="9" max="9" width="15" hidden="0" customWidth="1"/>
  </x:cols>
  <x:sheetData>
    <x:row r="1" ht="28.5" customHeight="1">
      <x:c r="A1" s="34" t="str">
        <x:v>Lista de Mercado</x:v>
      </x:c>
      <x:c r="B1" s="34" t="str">
        <x:v>Lista de Mercado</x:v>
      </x:c>
      <x:c r="C1" s="34" t="str">
        <x:v>Lista de Mercado</x:v>
      </x:c>
      <x:c r="D1" s="34" t="str">
        <x:v>Lista de Mercado</x:v>
      </x:c>
      <x:c r="E1" s="34" t="str">
        <x:v>Lista de Mercado</x:v>
      </x:c>
      <x:c r="F1" s="34" t="str">
        <x:v>Lista de Mercado</x:v>
      </x:c>
      <x:c r="G1" s="35"/>
      <x:c r="H1" s="35"/>
      <x:c r="I1" s="35"/>
    </x:row>
    <x:row r="2" ht="19.5" customHeight="1">
      <x:c r="A2" s="36" t="str">
        <x:v>Planificador de compras con estimado, comprado y pendientes.</x:v>
      </x:c>
      <x:c r="B2" s="36" t="str">
        <x:v>Planificador de compras con estimado, comprado y pendientes.</x:v>
      </x:c>
      <x:c r="C2" s="36" t="str">
        <x:v>Planificador de compras con estimado, comprado y pendientes.</x:v>
      </x:c>
      <x:c r="D2" s="36" t="str">
        <x:v>Planificador de compras con estimado, comprado y pendientes.</x:v>
      </x:c>
      <x:c r="E2" s="36" t="str">
        <x:v>Planificador de compras con estimado, comprado y pendientes.</x:v>
      </x:c>
      <x:c r="F2" s="36" t="str">
        <x:v>Planificador de compras con estimado, comprado y pendientes.</x:v>
      </x:c>
      <x:c r="G2" s="35"/>
      <x:c r="H2" s="35"/>
      <x:c r="I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</x:row>
    <x:row r="5">
      <x:c r="A5" s="37" t="str">
        <x:v>Producto</x:v>
      </x:c>
      <x:c r="B5" s="37" t="str">
        <x:v>Categoría</x:v>
      </x:c>
      <x:c r="C5" s="37" t="str">
        <x:v>Cantidad</x:v>
      </x:c>
      <x:c r="D5" s="37" t="str">
        <x:v>Precio estimado</x:v>
      </x:c>
      <x:c r="E5" s="37" t="str">
        <x:v>Comprado</x:v>
      </x:c>
      <x:c r="F5" s="37" t="str">
        <x:v>Prioridad</x:v>
      </x:c>
      <x:c r="G5" s="35"/>
      <x:c r="H5" s="37" t="str">
        <x:v>Indicador</x:v>
      </x:c>
      <x:c r="I5" s="37" t="str">
        <x:v>Valor</x:v>
      </x:c>
    </x:row>
    <x:row r="6">
      <x:c r="A6" s="38" t="str">
        <x:v>Leche</x:v>
      </x:c>
      <x:c r="B6" s="38" t="str">
        <x:v>Mercado</x:v>
      </x:c>
      <x:c r="C6" s="38" t="n">
        <x:v>2</x:v>
      </x:c>
      <x:c r="D6" s="39" t="n">
        <x:v>3.2</x:v>
      </x:c>
      <x:c r="E6" s="48" t="b">
        <x:v>1</x:v>
      </x:c>
      <x:c r="F6" s="38" t="str">
        <x:v>Alta</x:v>
      </x:c>
      <x:c r="G6" s="35"/>
      <x:c r="H6" s="38" t="str">
        <x:v>Total estimado</x:v>
      </x:c>
      <x:c r="I6" s="39" t="n">
        <x:f>SUM($D$6:$D$505)</x:f>
        <x:v>15.7</x:v>
      </x:c>
    </x:row>
    <x:row r="7">
      <x:c r="A7" s="38" t="str">
        <x:v>Arroz</x:v>
      </x:c>
      <x:c r="B7" s="38" t="str">
        <x:v>Mercado</x:v>
      </x:c>
      <x:c r="C7" s="38" t="n">
        <x:v>1</x:v>
      </x:c>
      <x:c r="D7" s="39" t="n">
        <x:v>4.5</x:v>
      </x:c>
      <x:c r="E7" s="48" t="b">
        <x:v>0</x:v>
      </x:c>
      <x:c r="F7" s="38" t="str">
        <x:v>Media</x:v>
      </x:c>
      <x:c r="G7" s="35"/>
      <x:c r="H7" s="38" t="str">
        <x:v>Total comprado</x:v>
      </x:c>
      <x:c r="I7" s="39" t="n">
        <x:f>SUMIF($E$6:$E$505,TRUE,$D$6:$D$505)</x:f>
        <x:v>3.2</x:v>
      </x:c>
    </x:row>
    <x:row r="8">
      <x:c r="A8" s="38" t="str">
        <x:v>Detergente</x:v>
      </x:c>
      <x:c r="B8" s="38" t="str">
        <x:v>Limpieza</x:v>
      </x:c>
      <x:c r="C8" s="38" t="n">
        <x:v>1</x:v>
      </x:c>
      <x:c r="D8" s="39" t="n">
        <x:v>8</x:v>
      </x:c>
      <x:c r="E8" s="48" t="b">
        <x:v>0</x:v>
      </x:c>
      <x:c r="F8" s="38" t="str">
        <x:v>Baja</x:v>
      </x:c>
      <x:c r="G8" s="35"/>
      <x:c r="H8" s="38" t="str">
        <x:v>Pendientes</x:v>
      </x:c>
      <x:c r="I8" s="38" t="n">
        <x:f>COUNTIFS($A$6:$A$505,"&lt;&gt;",$E$6:$E$505,FALSE)</x:f>
        <x:v>0</x:v>
      </x:c>
    </x:row>
    <x:row r="9">
      <x:c r="A9" s="38" t="str"/>
      <x:c r="B9" s="38" t="str"/>
      <x:c r="C9" s="38"/>
      <x:c r="D9" s="39"/>
      <x:c r="E9" s="48" t="b">
        <x:v>0</x:v>
      </x:c>
      <x:c r="F9" s="38" t="str"/>
      <x:c r="G9" s="35"/>
      <x:c r="H9" s="35"/>
      <x:c r="I9" s="35"/>
    </x:row>
    <x:row r="10">
      <x:c r="A10" s="38" t="str"/>
      <x:c r="B10" s="38" t="str"/>
      <x:c r="C10" s="38"/>
      <x:c r="D10" s="39"/>
      <x:c r="E10" s="48" t="b">
        <x:v>0</x:v>
      </x:c>
      <x:c r="F10" s="38" t="str"/>
      <x:c r="G10" s="35"/>
      <x:c r="H10" s="35"/>
      <x:c r="I10" s="35"/>
    </x:row>
    <x:row r="11">
      <x:c r="A11" s="38" t="str"/>
      <x:c r="B11" s="38" t="str"/>
      <x:c r="C11" s="38"/>
      <x:c r="D11" s="39"/>
      <x:c r="E11" s="48" t="b">
        <x:v>0</x:v>
      </x:c>
      <x:c r="F11" s="38" t="str"/>
      <x:c r="G11" s="35"/>
      <x:c r="H11" s="35"/>
      <x:c r="I11" s="35"/>
    </x:row>
    <x:row r="12">
      <x:c r="A12" s="38" t="str"/>
      <x:c r="B12" s="38" t="str"/>
      <x:c r="C12" s="38"/>
      <x:c r="D12" s="39"/>
      <x:c r="E12" s="48" t="b">
        <x:v>0</x:v>
      </x:c>
      <x:c r="F12" s="38" t="str"/>
      <x:c r="G12" s="35"/>
      <x:c r="H12" s="35"/>
      <x:c r="I12" s="35"/>
    </x:row>
    <x:row r="13">
      <x:c r="A13" s="38" t="str"/>
      <x:c r="B13" s="38" t="str"/>
      <x:c r="C13" s="38"/>
      <x:c r="D13" s="39"/>
      <x:c r="E13" s="48" t="b">
        <x:v>0</x:v>
      </x:c>
      <x:c r="F13" s="38" t="str"/>
      <x:c r="G13" s="35"/>
      <x:c r="H13" s="35"/>
      <x:c r="I13" s="35"/>
    </x:row>
    <x:row r="14">
      <x:c r="A14" s="38" t="str"/>
      <x:c r="B14" s="38" t="str"/>
      <x:c r="C14" s="38"/>
      <x:c r="D14" s="39"/>
      <x:c r="E14" s="48" t="b">
        <x:v>0</x:v>
      </x:c>
      <x:c r="F14" s="38" t="str"/>
      <x:c r="G14" s="35"/>
      <x:c r="H14" s="35"/>
      <x:c r="I14" s="35"/>
    </x:row>
    <x:row r="15">
      <x:c r="A15" s="38" t="str"/>
      <x:c r="B15" s="38" t="str"/>
      <x:c r="C15" s="38"/>
      <x:c r="D15" s="39"/>
      <x:c r="E15" s="48" t="b">
        <x:v>0</x:v>
      </x:c>
      <x:c r="F15" s="38" t="str"/>
      <x:c r="G15" s="35"/>
      <x:c r="H15" s="35"/>
      <x:c r="I15" s="35"/>
    </x:row>
    <x:row r="16">
      <x:c r="A16" s="38" t="str"/>
      <x:c r="B16" s="38" t="str"/>
      <x:c r="C16" s="38"/>
      <x:c r="D16" s="39"/>
      <x:c r="E16" s="48" t="b">
        <x:v>0</x:v>
      </x:c>
      <x:c r="F16" s="38" t="str"/>
      <x:c r="G16" s="35"/>
      <x:c r="H16" s="35"/>
      <x:c r="I16" s="35"/>
    </x:row>
    <x:row r="17">
      <x:c r="A17" s="38" t="str"/>
      <x:c r="B17" s="38" t="str"/>
      <x:c r="C17" s="38"/>
      <x:c r="D17" s="39"/>
      <x:c r="E17" s="48" t="b">
        <x:v>0</x:v>
      </x:c>
      <x:c r="F17" s="38" t="str"/>
      <x:c r="G17" s="35"/>
      <x:c r="H17" s="35"/>
      <x:c r="I17" s="35"/>
    </x:row>
    <x:row r="18">
      <x:c r="A18" s="38" t="str"/>
      <x:c r="B18" s="38" t="str"/>
      <x:c r="C18" s="38"/>
      <x:c r="D18" s="39"/>
      <x:c r="E18" s="48" t="b">
        <x:v>0</x:v>
      </x:c>
      <x:c r="F18" s="38" t="str"/>
      <x:c r="G18" s="35"/>
      <x:c r="H18" s="35"/>
      <x:c r="I18" s="35"/>
    </x:row>
    <x:row r="19">
      <x:c r="A19" s="38" t="str"/>
      <x:c r="B19" s="38" t="str"/>
      <x:c r="C19" s="38"/>
      <x:c r="D19" s="39"/>
      <x:c r="E19" s="48" t="b">
        <x:v>0</x:v>
      </x:c>
      <x:c r="F19" s="38" t="str"/>
      <x:c r="G19" s="35"/>
      <x:c r="H19" s="35"/>
      <x:c r="I19" s="35"/>
    </x:row>
    <x:row r="20">
      <x:c r="A20" s="38" t="str"/>
      <x:c r="B20" s="38" t="str"/>
      <x:c r="C20" s="38"/>
      <x:c r="D20" s="39"/>
      <x:c r="E20" s="48" t="b">
        <x:v>0</x:v>
      </x:c>
      <x:c r="F20" s="38" t="str"/>
      <x:c r="G20" s="35"/>
      <x:c r="H20" s="35"/>
      <x:c r="I20" s="35"/>
    </x:row>
    <x:row r="21">
      <x:c r="A21" s="38" t="str"/>
      <x:c r="B21" s="38" t="str"/>
      <x:c r="C21" s="38"/>
      <x:c r="D21" s="39"/>
      <x:c r="E21" s="48" t="b">
        <x:v>0</x:v>
      </x:c>
      <x:c r="F21" s="38" t="str"/>
      <x:c r="G21" s="35"/>
      <x:c r="H21" s="35"/>
      <x:c r="I21" s="35"/>
    </x:row>
    <x:row r="22">
      <x:c r="A22" s="38" t="str"/>
      <x:c r="B22" s="38" t="str"/>
      <x:c r="C22" s="38"/>
      <x:c r="D22" s="39"/>
      <x:c r="E22" s="48" t="b">
        <x:v>0</x:v>
      </x:c>
      <x:c r="F22" s="38" t="str"/>
      <x:c r="G22" s="35"/>
      <x:c r="H22" s="35"/>
      <x:c r="I22" s="35"/>
    </x:row>
    <x:row r="23">
      <x:c r="A23" s="38" t="str"/>
      <x:c r="B23" s="38" t="str"/>
      <x:c r="C23" s="38"/>
      <x:c r="D23" s="39"/>
      <x:c r="E23" s="48" t="b">
        <x:v>0</x:v>
      </x:c>
      <x:c r="F23" s="38" t="str"/>
      <x:c r="G23" s="35"/>
      <x:c r="H23" s="35"/>
      <x:c r="I23" s="35"/>
    </x:row>
    <x:row r="24">
      <x:c r="A24" s="38" t="str"/>
      <x:c r="B24" s="38" t="str"/>
      <x:c r="C24" s="38"/>
      <x:c r="D24" s="39"/>
      <x:c r="E24" s="48" t="b">
        <x:v>0</x:v>
      </x:c>
      <x:c r="F24" s="38" t="str"/>
      <x:c r="G24" s="35"/>
      <x:c r="H24" s="35"/>
      <x:c r="I24" s="35"/>
    </x:row>
    <x:row r="25">
      <x:c r="A25" s="38" t="str"/>
      <x:c r="B25" s="38" t="str"/>
      <x:c r="C25" s="38"/>
      <x:c r="D25" s="39"/>
      <x:c r="E25" s="48" t="b">
        <x:v>0</x:v>
      </x:c>
      <x:c r="F25" s="38" t="str"/>
      <x:c r="G25" s="35"/>
      <x:c r="H25" s="35"/>
      <x:c r="I25" s="35"/>
    </x:row>
    <x:row r="26">
      <x:c r="A26" s="38" t="str"/>
      <x:c r="B26" s="38" t="str"/>
      <x:c r="C26" s="38"/>
      <x:c r="D26" s="39"/>
      <x:c r="E26" s="48" t="b">
        <x:v>0</x:v>
      </x:c>
      <x:c r="F26" s="38" t="str"/>
      <x:c r="G26" s="35"/>
      <x:c r="H26" s="35"/>
      <x:c r="I26" s="35"/>
    </x:row>
    <x:row r="27">
      <x:c r="A27" s="38" t="str"/>
      <x:c r="B27" s="38" t="str"/>
      <x:c r="C27" s="38"/>
      <x:c r="D27" s="39"/>
      <x:c r="E27" s="48" t="b">
        <x:v>0</x:v>
      </x:c>
      <x:c r="F27" s="38" t="str"/>
      <x:c r="G27" s="35"/>
      <x:c r="H27" s="35"/>
      <x:c r="I27" s="35"/>
    </x:row>
    <x:row r="28">
      <x:c r="A28" s="38" t="str"/>
      <x:c r="B28" s="38" t="str"/>
      <x:c r="C28" s="38"/>
      <x:c r="D28" s="39"/>
      <x:c r="E28" s="48" t="b">
        <x:v>0</x:v>
      </x:c>
      <x:c r="F28" s="38" t="str"/>
      <x:c r="G28" s="35"/>
      <x:c r="H28" s="35"/>
      <x:c r="I28" s="35"/>
    </x:row>
    <x:row r="29">
      <x:c r="A29" s="38" t="str"/>
      <x:c r="B29" s="38" t="str"/>
      <x:c r="C29" s="38"/>
      <x:c r="D29" s="39"/>
      <x:c r="E29" s="48" t="b">
        <x:v>0</x:v>
      </x:c>
      <x:c r="F29" s="38" t="str"/>
      <x:c r="G29" s="35"/>
      <x:c r="H29" s="35"/>
      <x:c r="I29" s="35"/>
    </x:row>
    <x:row r="30">
      <x:c r="A30" s="38" t="str"/>
      <x:c r="B30" s="38" t="str"/>
      <x:c r="C30" s="38"/>
      <x:c r="D30" s="39"/>
      <x:c r="E30" s="48" t="b">
        <x:v>0</x:v>
      </x:c>
      <x:c r="F30" s="38" t="str"/>
      <x:c r="G30" s="35"/>
      <x:c r="H30" s="35"/>
      <x:c r="I30" s="35"/>
    </x:row>
    <x:row r="31">
      <x:c r="A31" s="38" t="str"/>
      <x:c r="B31" s="38" t="str"/>
      <x:c r="C31" s="38"/>
      <x:c r="D31" s="39"/>
      <x:c r="E31" s="48" t="b">
        <x:v>0</x:v>
      </x:c>
      <x:c r="F31" s="38" t="str"/>
      <x:c r="G31" s="35"/>
      <x:c r="H31" s="35"/>
      <x:c r="I31" s="35"/>
    </x:row>
    <x:row r="32">
      <x:c r="A32" s="38" t="str"/>
      <x:c r="B32" s="38" t="str"/>
      <x:c r="C32" s="38"/>
      <x:c r="D32" s="39"/>
      <x:c r="E32" s="48" t="b">
        <x:v>0</x:v>
      </x:c>
      <x:c r="F32" s="38" t="str"/>
      <x:c r="G32" s="35"/>
      <x:c r="H32" s="35"/>
      <x:c r="I32" s="35"/>
    </x:row>
    <x:row r="33">
      <x:c r="A33" s="38" t="str"/>
      <x:c r="B33" s="38" t="str"/>
      <x:c r="C33" s="38"/>
      <x:c r="D33" s="39"/>
      <x:c r="E33" s="48" t="b">
        <x:v>0</x:v>
      </x:c>
      <x:c r="F33" s="38" t="str"/>
      <x:c r="G33" s="35"/>
      <x:c r="H33" s="35"/>
      <x:c r="I33" s="35"/>
    </x:row>
    <x:row r="34">
      <x:c r="A34" s="38" t="str"/>
      <x:c r="B34" s="38" t="str"/>
      <x:c r="C34" s="38"/>
      <x:c r="D34" s="39"/>
      <x:c r="E34" s="48" t="b">
        <x:v>0</x:v>
      </x:c>
      <x:c r="F34" s="38" t="str"/>
      <x:c r="G34" s="35"/>
      <x:c r="H34" s="35"/>
      <x:c r="I34" s="35"/>
    </x:row>
    <x:row r="35">
      <x:c r="A35" s="38" t="str"/>
      <x:c r="B35" s="38" t="str"/>
      <x:c r="C35" s="38"/>
      <x:c r="D35" s="39"/>
      <x:c r="E35" s="48" t="b">
        <x:v>0</x:v>
      </x:c>
      <x:c r="F35" s="38" t="str"/>
      <x:c r="G35" s="35"/>
      <x:c r="H35" s="35"/>
      <x:c r="I35" s="35"/>
    </x:row>
    <x:row r="36">
      <x:c r="A36" s="38" t="str"/>
      <x:c r="B36" s="38" t="str"/>
      <x:c r="C36" s="38"/>
      <x:c r="D36" s="39"/>
      <x:c r="E36" s="48" t="b">
        <x:v>0</x:v>
      </x:c>
      <x:c r="F36" s="38" t="str"/>
      <x:c r="G36" s="35"/>
      <x:c r="H36" s="35"/>
      <x:c r="I36" s="35"/>
    </x:row>
    <x:row r="37">
      <x:c r="A37" s="38" t="str"/>
      <x:c r="B37" s="38" t="str"/>
      <x:c r="C37" s="38"/>
      <x:c r="D37" s="39"/>
      <x:c r="E37" s="48" t="b">
        <x:v>0</x:v>
      </x:c>
      <x:c r="F37" s="38" t="str"/>
      <x:c r="G37" s="35"/>
      <x:c r="H37" s="35"/>
      <x:c r="I37" s="35"/>
    </x:row>
    <x:row r="38">
      <x:c r="A38" s="38" t="str"/>
      <x:c r="B38" s="38" t="str"/>
      <x:c r="C38" s="38"/>
      <x:c r="D38" s="39"/>
      <x:c r="E38" s="48" t="b">
        <x:v>0</x:v>
      </x:c>
      <x:c r="F38" s="38" t="str"/>
      <x:c r="G38" s="35"/>
      <x:c r="H38" s="35"/>
      <x:c r="I38" s="35"/>
    </x:row>
    <x:row r="39">
      <x:c r="A39" s="38" t="str"/>
      <x:c r="B39" s="38" t="str"/>
      <x:c r="C39" s="38"/>
      <x:c r="D39" s="39"/>
      <x:c r="E39" s="48" t="b">
        <x:v>0</x:v>
      </x:c>
      <x:c r="F39" s="38" t="str"/>
      <x:c r="G39" s="35"/>
      <x:c r="H39" s="35"/>
      <x:c r="I39" s="35"/>
    </x:row>
    <x:row r="40">
      <x:c r="A40" s="38" t="str"/>
      <x:c r="B40" s="38" t="str"/>
      <x:c r="C40" s="38"/>
      <x:c r="D40" s="39"/>
      <x:c r="E40" s="48" t="b">
        <x:v>0</x:v>
      </x:c>
      <x:c r="F40" s="38" t="str"/>
      <x:c r="G40" s="35"/>
      <x:c r="H40" s="35"/>
      <x:c r="I40" s="35"/>
    </x:row>
    <x:row r="41">
      <x:c r="A41" s="38" t="str"/>
      <x:c r="B41" s="38" t="str"/>
      <x:c r="C41" s="38"/>
      <x:c r="D41" s="39"/>
      <x:c r="E41" s="48" t="b">
        <x:v>0</x:v>
      </x:c>
      <x:c r="F41" s="38" t="str"/>
      <x:c r="G41" s="35"/>
      <x:c r="H41" s="35"/>
      <x:c r="I41" s="35"/>
    </x:row>
    <x:row r="42">
      <x:c r="A42" s="38" t="str"/>
      <x:c r="B42" s="38" t="str"/>
      <x:c r="C42" s="38"/>
      <x:c r="D42" s="39"/>
      <x:c r="E42" s="48" t="b">
        <x:v>0</x:v>
      </x:c>
      <x:c r="F42" s="38" t="str"/>
      <x:c r="G42" s="35"/>
      <x:c r="H42" s="35"/>
      <x:c r="I42" s="35"/>
    </x:row>
    <x:row r="43">
      <x:c r="A43" s="38" t="str"/>
      <x:c r="B43" s="38" t="str"/>
      <x:c r="C43" s="38"/>
      <x:c r="D43" s="39"/>
      <x:c r="E43" s="48" t="b">
        <x:v>0</x:v>
      </x:c>
      <x:c r="F43" s="38" t="str"/>
      <x:c r="G43" s="35"/>
      <x:c r="H43" s="35"/>
      <x:c r="I43" s="35"/>
    </x:row>
    <x:row r="44">
      <x:c r="A44" s="38" t="str"/>
      <x:c r="B44" s="38" t="str"/>
      <x:c r="C44" s="38"/>
      <x:c r="D44" s="39"/>
      <x:c r="E44" s="48" t="b">
        <x:v>0</x:v>
      </x:c>
      <x:c r="F44" s="38" t="str"/>
      <x:c r="G44" s="35"/>
      <x:c r="H44" s="35"/>
      <x:c r="I44" s="35"/>
    </x:row>
    <x:row r="45">
      <x:c r="A45" s="38" t="str"/>
      <x:c r="B45" s="38" t="str"/>
      <x:c r="C45" s="38"/>
      <x:c r="D45" s="39"/>
      <x:c r="E45" s="48" t="b">
        <x:v>0</x:v>
      </x:c>
      <x:c r="F45" s="38" t="str"/>
      <x:c r="G45" s="35"/>
      <x:c r="H45" s="35"/>
      <x:c r="I45" s="35"/>
    </x:row>
    <x:row r="46">
      <x:c r="A46" s="38" t="str"/>
      <x:c r="B46" s="38" t="str"/>
      <x:c r="C46" s="38"/>
      <x:c r="D46" s="39"/>
      <x:c r="E46" s="48" t="b">
        <x:v>0</x:v>
      </x:c>
      <x:c r="F46" s="38" t="str"/>
      <x:c r="G46" s="35"/>
      <x:c r="H46" s="35"/>
      <x:c r="I46" s="35"/>
    </x:row>
    <x:row r="47">
      <x:c r="A47" s="38" t="str"/>
      <x:c r="B47" s="38" t="str"/>
      <x:c r="C47" s="38"/>
      <x:c r="D47" s="39"/>
      <x:c r="E47" s="48" t="b">
        <x:v>0</x:v>
      </x:c>
      <x:c r="F47" s="38" t="str"/>
      <x:c r="G47" s="35"/>
      <x:c r="H47" s="35"/>
      <x:c r="I47" s="35"/>
    </x:row>
    <x:row r="48">
      <x:c r="A48" s="38" t="str"/>
      <x:c r="B48" s="38" t="str"/>
      <x:c r="C48" s="38"/>
      <x:c r="D48" s="39"/>
      <x:c r="E48" s="48" t="b">
        <x:v>0</x:v>
      </x:c>
      <x:c r="F48" s="38" t="str"/>
      <x:c r="G48" s="35"/>
      <x:c r="H48" s="35"/>
      <x:c r="I48" s="35"/>
    </x:row>
    <x:row r="49">
      <x:c r="A49" s="38" t="str"/>
      <x:c r="B49" s="38" t="str"/>
      <x:c r="C49" s="38"/>
      <x:c r="D49" s="39"/>
      <x:c r="E49" s="48" t="b">
        <x:v>0</x:v>
      </x:c>
      <x:c r="F49" s="38" t="str"/>
      <x:c r="G49" s="35"/>
      <x:c r="H49" s="35"/>
      <x:c r="I49" s="35"/>
    </x:row>
    <x:row r="50">
      <x:c r="A50" s="38" t="str"/>
      <x:c r="B50" s="38" t="str"/>
      <x:c r="C50" s="38"/>
      <x:c r="D50" s="39"/>
      <x:c r="E50" s="48" t="b">
        <x:v>0</x:v>
      </x:c>
      <x:c r="F50" s="38" t="str"/>
      <x:c r="G50" s="35"/>
      <x:c r="H50" s="35"/>
      <x:c r="I50" s="35"/>
    </x:row>
    <x:row r="51">
      <x:c r="A51" s="38" t="str"/>
      <x:c r="B51" s="38" t="str"/>
      <x:c r="C51" s="38"/>
      <x:c r="D51" s="39"/>
      <x:c r="E51" s="48" t="b">
        <x:v>0</x:v>
      </x:c>
      <x:c r="F51" s="38" t="str"/>
      <x:c r="G51" s="35"/>
      <x:c r="H51" s="35"/>
      <x:c r="I51" s="35"/>
    </x:row>
    <x:row r="52">
      <x:c r="A52" s="38" t="str"/>
      <x:c r="B52" s="38" t="str"/>
      <x:c r="C52" s="38"/>
      <x:c r="D52" s="39"/>
      <x:c r="E52" s="48" t="b">
        <x:v>0</x:v>
      </x:c>
      <x:c r="F52" s="38" t="str"/>
      <x:c r="G52" s="35"/>
      <x:c r="H52" s="35"/>
      <x:c r="I52" s="35"/>
    </x:row>
    <x:row r="53">
      <x:c r="A53" s="38" t="str"/>
      <x:c r="B53" s="38" t="str"/>
      <x:c r="C53" s="38"/>
      <x:c r="D53" s="39"/>
      <x:c r="E53" s="48" t="b">
        <x:v>0</x:v>
      </x:c>
      <x:c r="F53" s="38" t="str"/>
      <x:c r="G53" s="35"/>
      <x:c r="H53" s="35"/>
      <x:c r="I53" s="35"/>
    </x:row>
    <x:row r="54">
      <x:c r="A54" s="38" t="str"/>
      <x:c r="B54" s="38" t="str"/>
      <x:c r="C54" s="38"/>
      <x:c r="D54" s="39"/>
      <x:c r="E54" s="48" t="b">
        <x:v>0</x:v>
      </x:c>
      <x:c r="F54" s="38" t="str"/>
      <x:c r="G54" s="35"/>
      <x:c r="H54" s="35"/>
      <x:c r="I54" s="35"/>
    </x:row>
    <x:row r="55">
      <x:c r="A55" s="38" t="str"/>
      <x:c r="B55" s="38" t="str"/>
      <x:c r="C55" s="38"/>
      <x:c r="D55" s="39"/>
      <x:c r="E55" s="48" t="b">
        <x:v>0</x:v>
      </x:c>
      <x:c r="F55" s="38" t="str"/>
      <x:c r="G55" s="35"/>
      <x:c r="H55" s="35"/>
      <x:c r="I55" s="35"/>
    </x:row>
    <x:row r="56">
      <x:c r="A56" s="38" t="str"/>
      <x:c r="B56" s="38" t="str"/>
      <x:c r="C56" s="38"/>
      <x:c r="D56" s="39"/>
      <x:c r="E56" s="48" t="b">
        <x:v>0</x:v>
      </x:c>
      <x:c r="F56" s="38" t="str"/>
      <x:c r="G56" s="35"/>
      <x:c r="H56" s="35"/>
      <x:c r="I56" s="35"/>
    </x:row>
    <x:row r="57">
      <x:c r="A57" s="38" t="str"/>
      <x:c r="B57" s="38" t="str"/>
      <x:c r="C57" s="38"/>
      <x:c r="D57" s="39"/>
      <x:c r="E57" s="48" t="b">
        <x:v>0</x:v>
      </x:c>
      <x:c r="F57" s="38" t="str"/>
      <x:c r="G57" s="35"/>
      <x:c r="H57" s="35"/>
      <x:c r="I57" s="35"/>
    </x:row>
    <x:row r="58">
      <x:c r="A58" s="38" t="str"/>
      <x:c r="B58" s="38" t="str"/>
      <x:c r="C58" s="38"/>
      <x:c r="D58" s="39"/>
      <x:c r="E58" s="48" t="b">
        <x:v>0</x:v>
      </x:c>
      <x:c r="F58" s="38" t="str"/>
      <x:c r="G58" s="35"/>
      <x:c r="H58" s="35"/>
      <x:c r="I58" s="35"/>
    </x:row>
    <x:row r="59">
      <x:c r="A59" s="38" t="str"/>
      <x:c r="B59" s="38" t="str"/>
      <x:c r="C59" s="38"/>
      <x:c r="D59" s="39"/>
      <x:c r="E59" s="48" t="b">
        <x:v>0</x:v>
      </x:c>
      <x:c r="F59" s="38" t="str"/>
      <x:c r="G59" s="35"/>
      <x:c r="H59" s="35"/>
      <x:c r="I59" s="35"/>
    </x:row>
    <x:row r="60">
      <x:c r="A60" s="38" t="str"/>
      <x:c r="B60" s="38" t="str"/>
      <x:c r="C60" s="38"/>
      <x:c r="D60" s="39"/>
      <x:c r="E60" s="48" t="b">
        <x:v>0</x:v>
      </x:c>
      <x:c r="F60" s="38" t="str"/>
      <x:c r="G60" s="35"/>
      <x:c r="H60" s="35"/>
      <x:c r="I60" s="35"/>
    </x:row>
    <x:row r="61">
      <x:c r="A61" s="38" t="str"/>
      <x:c r="B61" s="38" t="str"/>
      <x:c r="C61" s="38"/>
      <x:c r="D61" s="39"/>
      <x:c r="E61" s="48" t="b">
        <x:v>0</x:v>
      </x:c>
      <x:c r="F61" s="38" t="str"/>
      <x:c r="G61" s="35"/>
      <x:c r="H61" s="35"/>
      <x:c r="I61" s="35"/>
    </x:row>
    <x:row r="62">
      <x:c r="A62" s="38" t="str"/>
      <x:c r="B62" s="38" t="str"/>
      <x:c r="C62" s="38"/>
      <x:c r="D62" s="39"/>
      <x:c r="E62" s="48" t="b">
        <x:v>0</x:v>
      </x:c>
      <x:c r="F62" s="38" t="str"/>
      <x:c r="G62" s="35"/>
      <x:c r="H62" s="35"/>
      <x:c r="I62" s="35"/>
    </x:row>
    <x:row r="63">
      <x:c r="A63" s="38" t="str"/>
      <x:c r="B63" s="38" t="str"/>
      <x:c r="C63" s="38"/>
      <x:c r="D63" s="39"/>
      <x:c r="E63" s="48" t="b">
        <x:v>0</x:v>
      </x:c>
      <x:c r="F63" s="38" t="str"/>
      <x:c r="G63" s="35"/>
      <x:c r="H63" s="35"/>
      <x:c r="I63" s="35"/>
    </x:row>
    <x:row r="64">
      <x:c r="A64" s="38" t="str"/>
      <x:c r="B64" s="38" t="str"/>
      <x:c r="C64" s="38"/>
      <x:c r="D64" s="39"/>
      <x:c r="E64" s="48" t="b">
        <x:v>0</x:v>
      </x:c>
      <x:c r="F64" s="38" t="str"/>
      <x:c r="G64" s="35"/>
      <x:c r="H64" s="35"/>
      <x:c r="I64" s="35"/>
    </x:row>
    <x:row r="65">
      <x:c r="A65" s="38" t="str"/>
      <x:c r="B65" s="38" t="str"/>
      <x:c r="C65" s="38"/>
      <x:c r="D65" s="39"/>
      <x:c r="E65" s="48" t="b">
        <x:v>0</x:v>
      </x:c>
      <x:c r="F65" s="38" t="str"/>
      <x:c r="G65" s="35"/>
      <x:c r="H65" s="35"/>
      <x:c r="I65" s="35"/>
    </x:row>
    <x:row r="66">
      <x:c r="A66" s="38" t="str"/>
      <x:c r="B66" s="38" t="str"/>
      <x:c r="C66" s="38"/>
      <x:c r="D66" s="39"/>
      <x:c r="E66" s="48" t="b">
        <x:v>0</x:v>
      </x:c>
      <x:c r="F66" s="38" t="str"/>
      <x:c r="G66" s="35"/>
      <x:c r="H66" s="35"/>
      <x:c r="I66" s="35"/>
    </x:row>
    <x:row r="67">
      <x:c r="A67" s="38" t="str"/>
      <x:c r="B67" s="38" t="str"/>
      <x:c r="C67" s="38"/>
      <x:c r="D67" s="39"/>
      <x:c r="E67" s="48" t="b">
        <x:v>0</x:v>
      </x:c>
      <x:c r="F67" s="38" t="str"/>
      <x:c r="G67" s="35"/>
      <x:c r="H67" s="35"/>
      <x:c r="I67" s="35"/>
    </x:row>
    <x:row r="68">
      <x:c r="A68" s="38" t="str"/>
      <x:c r="B68" s="38" t="str"/>
      <x:c r="C68" s="38"/>
      <x:c r="D68" s="39"/>
      <x:c r="E68" s="48" t="b">
        <x:v>0</x:v>
      </x:c>
      <x:c r="F68" s="38" t="str"/>
      <x:c r="G68" s="35"/>
      <x:c r="H68" s="35"/>
      <x:c r="I68" s="35"/>
    </x:row>
    <x:row r="69">
      <x:c r="A69" s="38" t="str"/>
      <x:c r="B69" s="38" t="str"/>
      <x:c r="C69" s="38"/>
      <x:c r="D69" s="39"/>
      <x:c r="E69" s="48" t="b">
        <x:v>0</x:v>
      </x:c>
      <x:c r="F69" s="38" t="str"/>
      <x:c r="G69" s="35"/>
      <x:c r="H69" s="35"/>
      <x:c r="I69" s="35"/>
    </x:row>
    <x:row r="70">
      <x:c r="A70" s="38" t="str"/>
      <x:c r="B70" s="38" t="str"/>
      <x:c r="C70" s="38"/>
      <x:c r="D70" s="39"/>
      <x:c r="E70" s="48" t="b">
        <x:v>0</x:v>
      </x:c>
      <x:c r="F70" s="38" t="str"/>
      <x:c r="G70" s="35"/>
      <x:c r="H70" s="35"/>
      <x:c r="I70" s="35"/>
    </x:row>
    <x:row r="71">
      <x:c r="A71" s="38" t="str"/>
      <x:c r="B71" s="38" t="str"/>
      <x:c r="C71" s="38"/>
      <x:c r="D71" s="39"/>
      <x:c r="E71" s="48" t="b">
        <x:v>0</x:v>
      </x:c>
      <x:c r="F71" s="38" t="str"/>
      <x:c r="G71" s="35"/>
      <x:c r="H71" s="35"/>
      <x:c r="I71" s="35"/>
    </x:row>
    <x:row r="72">
      <x:c r="A72" s="38" t="str"/>
      <x:c r="B72" s="38" t="str"/>
      <x:c r="C72" s="38"/>
      <x:c r="D72" s="39"/>
      <x:c r="E72" s="48" t="b">
        <x:v>0</x:v>
      </x:c>
      <x:c r="F72" s="38" t="str"/>
      <x:c r="G72" s="35"/>
      <x:c r="H72" s="35"/>
      <x:c r="I72" s="35"/>
    </x:row>
    <x:row r="73">
      <x:c r="A73" s="38" t="str"/>
      <x:c r="B73" s="38" t="str"/>
      <x:c r="C73" s="38"/>
      <x:c r="D73" s="39"/>
      <x:c r="E73" s="48" t="b">
        <x:v>0</x:v>
      </x:c>
      <x:c r="F73" s="38" t="str"/>
      <x:c r="G73" s="35"/>
      <x:c r="H73" s="35"/>
      <x:c r="I73" s="35"/>
    </x:row>
    <x:row r="74">
      <x:c r="A74" s="38" t="str"/>
      <x:c r="B74" s="38" t="str"/>
      <x:c r="C74" s="38"/>
      <x:c r="D74" s="39"/>
      <x:c r="E74" s="48" t="b">
        <x:v>0</x:v>
      </x:c>
      <x:c r="F74" s="38" t="str"/>
      <x:c r="G74" s="35"/>
      <x:c r="H74" s="35"/>
      <x:c r="I74" s="35"/>
    </x:row>
    <x:row r="75">
      <x:c r="A75" s="38" t="str"/>
      <x:c r="B75" s="38" t="str"/>
      <x:c r="C75" s="38"/>
      <x:c r="D75" s="39"/>
      <x:c r="E75" s="48" t="b">
        <x:v>0</x:v>
      </x:c>
      <x:c r="F75" s="38" t="str"/>
      <x:c r="G75" s="35"/>
      <x:c r="H75" s="35"/>
      <x:c r="I75" s="35"/>
    </x:row>
    <x:row r="76">
      <x:c r="A76" s="38" t="str"/>
      <x:c r="B76" s="38" t="str"/>
      <x:c r="C76" s="38"/>
      <x:c r="D76" s="39"/>
      <x:c r="E76" s="48" t="b">
        <x:v>0</x:v>
      </x:c>
      <x:c r="F76" s="38" t="str"/>
      <x:c r="G76" s="35"/>
      <x:c r="H76" s="35"/>
      <x:c r="I76" s="35"/>
    </x:row>
    <x:row r="77">
      <x:c r="A77" s="38" t="str"/>
      <x:c r="B77" s="38" t="str"/>
      <x:c r="C77" s="38"/>
      <x:c r="D77" s="39"/>
      <x:c r="E77" s="48" t="b">
        <x:v>0</x:v>
      </x:c>
      <x:c r="F77" s="38" t="str"/>
      <x:c r="G77" s="35"/>
      <x:c r="H77" s="35"/>
      <x:c r="I77" s="35"/>
    </x:row>
    <x:row r="78">
      <x:c r="A78" s="38" t="str"/>
      <x:c r="B78" s="38" t="str"/>
      <x:c r="C78" s="38"/>
      <x:c r="D78" s="39"/>
      <x:c r="E78" s="48" t="b">
        <x:v>0</x:v>
      </x:c>
      <x:c r="F78" s="38" t="str"/>
      <x:c r="G78" s="35"/>
      <x:c r="H78" s="35"/>
      <x:c r="I78" s="35"/>
    </x:row>
    <x:row r="79">
      <x:c r="A79" s="38" t="str"/>
      <x:c r="B79" s="38" t="str"/>
      <x:c r="C79" s="38"/>
      <x:c r="D79" s="39"/>
      <x:c r="E79" s="48" t="b">
        <x:v>0</x:v>
      </x:c>
      <x:c r="F79" s="38" t="str"/>
      <x:c r="G79" s="35"/>
      <x:c r="H79" s="35"/>
      <x:c r="I79" s="35"/>
    </x:row>
    <x:row r="80">
      <x:c r="A80" s="38" t="str"/>
      <x:c r="B80" s="38" t="str"/>
      <x:c r="C80" s="38"/>
      <x:c r="D80" s="39"/>
      <x:c r="E80" s="48" t="b">
        <x:v>0</x:v>
      </x:c>
      <x:c r="F80" s="38" t="str"/>
      <x:c r="G80" s="35"/>
      <x:c r="H80" s="35"/>
      <x:c r="I80" s="35"/>
    </x:row>
    <x:row r="81">
      <x:c r="A81" s="38" t="str"/>
      <x:c r="B81" s="38" t="str"/>
      <x:c r="C81" s="38"/>
      <x:c r="D81" s="39"/>
      <x:c r="E81" s="48" t="b">
        <x:v>0</x:v>
      </x:c>
      <x:c r="F81" s="38" t="str"/>
      <x:c r="G81" s="35"/>
      <x:c r="H81" s="35"/>
      <x:c r="I81" s="35"/>
    </x:row>
    <x:row r="82">
      <x:c r="A82" s="38" t="str"/>
      <x:c r="B82" s="38" t="str"/>
      <x:c r="C82" s="38"/>
      <x:c r="D82" s="39"/>
      <x:c r="E82" s="48" t="b">
        <x:v>0</x:v>
      </x:c>
      <x:c r="F82" s="38" t="str"/>
      <x:c r="G82" s="35"/>
      <x:c r="H82" s="35"/>
      <x:c r="I82" s="35"/>
    </x:row>
    <x:row r="83">
      <x:c r="A83" s="38" t="str"/>
      <x:c r="B83" s="38" t="str"/>
      <x:c r="C83" s="38"/>
      <x:c r="D83" s="39"/>
      <x:c r="E83" s="48" t="b">
        <x:v>0</x:v>
      </x:c>
      <x:c r="F83" s="38" t="str"/>
      <x:c r="G83" s="35"/>
      <x:c r="H83" s="35"/>
      <x:c r="I83" s="35"/>
    </x:row>
    <x:row r="84">
      <x:c r="A84" s="38" t="str"/>
      <x:c r="B84" s="38" t="str"/>
      <x:c r="C84" s="38"/>
      <x:c r="D84" s="39"/>
      <x:c r="E84" s="48" t="b">
        <x:v>0</x:v>
      </x:c>
      <x:c r="F84" s="38" t="str"/>
      <x:c r="G84" s="35"/>
      <x:c r="H84" s="35"/>
      <x:c r="I84" s="35"/>
    </x:row>
    <x:row r="85">
      <x:c r="A85" s="38" t="str"/>
      <x:c r="B85" s="38" t="str"/>
      <x:c r="C85" s="38"/>
      <x:c r="D85" s="39"/>
      <x:c r="E85" s="48" t="b">
        <x:v>0</x:v>
      </x:c>
      <x:c r="F85" s="38" t="str"/>
      <x:c r="G85" s="35"/>
      <x:c r="H85" s="35"/>
      <x:c r="I85" s="35"/>
    </x:row>
    <x:row r="86">
      <x:c r="A86" s="38" t="str"/>
      <x:c r="B86" s="38" t="str"/>
      <x:c r="C86" s="38"/>
      <x:c r="D86" s="39"/>
      <x:c r="E86" s="48" t="b">
        <x:v>0</x:v>
      </x:c>
      <x:c r="F86" s="38" t="str"/>
      <x:c r="G86" s="35"/>
      <x:c r="H86" s="35"/>
      <x:c r="I86" s="35"/>
    </x:row>
    <x:row r="87">
      <x:c r="A87" s="38" t="str"/>
      <x:c r="B87" s="38" t="str"/>
      <x:c r="C87" s="38"/>
      <x:c r="D87" s="39"/>
      <x:c r="E87" s="48" t="b">
        <x:v>0</x:v>
      </x:c>
      <x:c r="F87" s="38" t="str"/>
      <x:c r="G87" s="35"/>
      <x:c r="H87" s="35"/>
      <x:c r="I87" s="35"/>
    </x:row>
    <x:row r="88">
      <x:c r="A88" s="38" t="str"/>
      <x:c r="B88" s="38" t="str"/>
      <x:c r="C88" s="38"/>
      <x:c r="D88" s="39"/>
      <x:c r="E88" s="48" t="b">
        <x:v>0</x:v>
      </x:c>
      <x:c r="F88" s="38" t="str"/>
      <x:c r="G88" s="35"/>
      <x:c r="H88" s="35"/>
      <x:c r="I88" s="35"/>
    </x:row>
    <x:row r="89">
      <x:c r="A89" s="38" t="str"/>
      <x:c r="B89" s="38" t="str"/>
      <x:c r="C89" s="38"/>
      <x:c r="D89" s="39"/>
      <x:c r="E89" s="48" t="b">
        <x:v>0</x:v>
      </x:c>
      <x:c r="F89" s="38" t="str"/>
      <x:c r="G89" s="35"/>
      <x:c r="H89" s="35"/>
      <x:c r="I89" s="35"/>
    </x:row>
    <x:row r="90">
      <x:c r="A90" s="38" t="str"/>
      <x:c r="B90" s="38" t="str"/>
      <x:c r="C90" s="38"/>
      <x:c r="D90" s="39"/>
      <x:c r="E90" s="48" t="b">
        <x:v>0</x:v>
      </x:c>
      <x:c r="F90" s="38" t="str"/>
      <x:c r="G90" s="35"/>
      <x:c r="H90" s="35"/>
      <x:c r="I90" s="35"/>
    </x:row>
    <x:row r="91">
      <x:c r="A91" s="38" t="str"/>
      <x:c r="B91" s="38" t="str"/>
      <x:c r="C91" s="38"/>
      <x:c r="D91" s="39"/>
      <x:c r="E91" s="48" t="b">
        <x:v>0</x:v>
      </x:c>
      <x:c r="F91" s="38" t="str"/>
      <x:c r="G91" s="35"/>
      <x:c r="H91" s="35"/>
      <x:c r="I91" s="35"/>
    </x:row>
    <x:row r="92">
      <x:c r="A92" s="38" t="str"/>
      <x:c r="B92" s="38" t="str"/>
      <x:c r="C92" s="38"/>
      <x:c r="D92" s="39"/>
      <x:c r="E92" s="48" t="b">
        <x:v>0</x:v>
      </x:c>
      <x:c r="F92" s="38" t="str"/>
      <x:c r="G92" s="35"/>
      <x:c r="H92" s="35"/>
      <x:c r="I92" s="35"/>
    </x:row>
    <x:row r="93">
      <x:c r="A93" s="38" t="str"/>
      <x:c r="B93" s="38" t="str"/>
      <x:c r="C93" s="38"/>
      <x:c r="D93" s="39"/>
      <x:c r="E93" s="48" t="b">
        <x:v>0</x:v>
      </x:c>
      <x:c r="F93" s="38" t="str"/>
      <x:c r="G93" s="35"/>
      <x:c r="H93" s="35"/>
      <x:c r="I93" s="35"/>
    </x:row>
    <x:row r="94">
      <x:c r="A94" s="38" t="str"/>
      <x:c r="B94" s="38" t="str"/>
      <x:c r="C94" s="38"/>
      <x:c r="D94" s="39"/>
      <x:c r="E94" s="48" t="b">
        <x:v>0</x:v>
      </x:c>
      <x:c r="F94" s="38" t="str"/>
      <x:c r="G94" s="35"/>
      <x:c r="H94" s="35"/>
      <x:c r="I94" s="35"/>
    </x:row>
    <x:row r="95">
      <x:c r="A95" s="38" t="str"/>
      <x:c r="B95" s="38" t="str"/>
      <x:c r="C95" s="38"/>
      <x:c r="D95" s="39"/>
      <x:c r="E95" s="48" t="b">
        <x:v>0</x:v>
      </x:c>
      <x:c r="F95" s="38" t="str"/>
      <x:c r="G95" s="35"/>
      <x:c r="H95" s="35"/>
      <x:c r="I95" s="35"/>
    </x:row>
    <x:row r="96">
      <x:c r="A96" s="38" t="str"/>
      <x:c r="B96" s="38" t="str"/>
      <x:c r="C96" s="38"/>
      <x:c r="D96" s="39"/>
      <x:c r="E96" s="48" t="b">
        <x:v>0</x:v>
      </x:c>
      <x:c r="F96" s="38" t="str"/>
      <x:c r="G96" s="35"/>
      <x:c r="H96" s="35"/>
      <x:c r="I96" s="35"/>
    </x:row>
    <x:row r="97">
      <x:c r="A97" s="38" t="str"/>
      <x:c r="B97" s="38" t="str"/>
      <x:c r="C97" s="38"/>
      <x:c r="D97" s="39"/>
      <x:c r="E97" s="48" t="b">
        <x:v>0</x:v>
      </x:c>
      <x:c r="F97" s="38" t="str"/>
      <x:c r="G97" s="35"/>
      <x:c r="H97" s="35"/>
      <x:c r="I97" s="35"/>
    </x:row>
    <x:row r="98">
      <x:c r="A98" s="38" t="str"/>
      <x:c r="B98" s="38" t="str"/>
      <x:c r="C98" s="38"/>
      <x:c r="D98" s="39"/>
      <x:c r="E98" s="48" t="b">
        <x:v>0</x:v>
      </x:c>
      <x:c r="F98" s="38" t="str"/>
      <x:c r="G98" s="35"/>
      <x:c r="H98" s="35"/>
      <x:c r="I98" s="35"/>
    </x:row>
    <x:row r="99">
      <x:c r="A99" s="38" t="str"/>
      <x:c r="B99" s="38" t="str"/>
      <x:c r="C99" s="38"/>
      <x:c r="D99" s="39"/>
      <x:c r="E99" s="48" t="b">
        <x:v>0</x:v>
      </x:c>
      <x:c r="F99" s="38" t="str"/>
      <x:c r="G99" s="35"/>
      <x:c r="H99" s="35"/>
      <x:c r="I99" s="35"/>
    </x:row>
    <x:row r="100">
      <x:c r="A100" s="38" t="str"/>
      <x:c r="B100" s="38" t="str"/>
      <x:c r="C100" s="38"/>
      <x:c r="D100" s="39"/>
      <x:c r="E100" s="48" t="b">
        <x:v>0</x:v>
      </x:c>
      <x:c r="F100" s="38" t="str"/>
      <x:c r="G100" s="35"/>
      <x:c r="H100" s="35"/>
      <x:c r="I100" s="35"/>
    </x:row>
    <x:row r="101">
      <x:c r="A101" s="38" t="str"/>
      <x:c r="B101" s="38" t="str"/>
      <x:c r="C101" s="38"/>
      <x:c r="D101" s="39"/>
      <x:c r="E101" s="48" t="b">
        <x:v>0</x:v>
      </x:c>
      <x:c r="F101" s="38" t="str"/>
      <x:c r="G101" s="35"/>
      <x:c r="H101" s="35"/>
      <x:c r="I101" s="35"/>
    </x:row>
    <x:row r="102">
      <x:c r="A102" s="38" t="str"/>
      <x:c r="B102" s="38" t="str"/>
      <x:c r="C102" s="38"/>
      <x:c r="D102" s="39"/>
      <x:c r="E102" s="48" t="b">
        <x:v>0</x:v>
      </x:c>
      <x:c r="F102" s="38" t="str"/>
      <x:c r="G102" s="35"/>
      <x:c r="H102" s="35"/>
      <x:c r="I102" s="35"/>
    </x:row>
    <x:row r="103">
      <x:c r="A103" s="38" t="str"/>
      <x:c r="B103" s="38" t="str"/>
      <x:c r="C103" s="38"/>
      <x:c r="D103" s="39"/>
      <x:c r="E103" s="48" t="b">
        <x:v>0</x:v>
      </x:c>
      <x:c r="F103" s="38" t="str"/>
      <x:c r="G103" s="35"/>
      <x:c r="H103" s="35"/>
      <x:c r="I103" s="35"/>
    </x:row>
    <x:row r="104">
      <x:c r="A104" s="38" t="str"/>
      <x:c r="B104" s="38" t="str"/>
      <x:c r="C104" s="38"/>
      <x:c r="D104" s="39"/>
      <x:c r="E104" s="48" t="b">
        <x:v>0</x:v>
      </x:c>
      <x:c r="F104" s="38" t="str"/>
      <x:c r="G104" s="35"/>
      <x:c r="H104" s="35"/>
      <x:c r="I104" s="35"/>
    </x:row>
    <x:row r="105">
      <x:c r="A105" s="38" t="str"/>
      <x:c r="B105" s="38" t="str"/>
      <x:c r="C105" s="38"/>
      <x:c r="D105" s="39"/>
      <x:c r="E105" s="48" t="b">
        <x:v>0</x:v>
      </x:c>
      <x:c r="F105" s="38" t="str"/>
      <x:c r="G105" s="35"/>
      <x:c r="H105" s="35"/>
      <x:c r="I105" s="35"/>
    </x:row>
    <x:row r="106">
      <x:c r="A106" s="38" t="str"/>
      <x:c r="B106" s="38" t="str"/>
      <x:c r="C106" s="38"/>
      <x:c r="D106" s="39"/>
      <x:c r="E106" s="48" t="b">
        <x:v>0</x:v>
      </x:c>
      <x:c r="F106" s="38" t="str"/>
      <x:c r="G106" s="35"/>
      <x:c r="H106" s="35"/>
      <x:c r="I106" s="35"/>
    </x:row>
    <x:row r="107">
      <x:c r="A107" s="38" t="str"/>
      <x:c r="B107" s="38" t="str"/>
      <x:c r="C107" s="38"/>
      <x:c r="D107" s="39"/>
      <x:c r="E107" s="48" t="b">
        <x:v>0</x:v>
      </x:c>
      <x:c r="F107" s="38" t="str"/>
      <x:c r="G107" s="35"/>
      <x:c r="H107" s="35"/>
      <x:c r="I107" s="35"/>
    </x:row>
    <x:row r="108">
      <x:c r="A108" s="38" t="str"/>
      <x:c r="B108" s="38" t="str"/>
      <x:c r="C108" s="38"/>
      <x:c r="D108" s="39"/>
      <x:c r="E108" s="48" t="b">
        <x:v>0</x:v>
      </x:c>
      <x:c r="F108" s="38" t="str"/>
      <x:c r="G108" s="35"/>
      <x:c r="H108" s="35"/>
      <x:c r="I108" s="35"/>
    </x:row>
    <x:row r="109">
      <x:c r="A109" s="38" t="str"/>
      <x:c r="B109" s="38" t="str"/>
      <x:c r="C109" s="38"/>
      <x:c r="D109" s="39"/>
      <x:c r="E109" s="48" t="b">
        <x:v>0</x:v>
      </x:c>
      <x:c r="F109" s="38" t="str"/>
      <x:c r="G109" s="35"/>
      <x:c r="H109" s="35"/>
      <x:c r="I109" s="35"/>
    </x:row>
    <x:row r="110">
      <x:c r="A110" s="38" t="str"/>
      <x:c r="B110" s="38" t="str"/>
      <x:c r="C110" s="38"/>
      <x:c r="D110" s="39"/>
      <x:c r="E110" s="48" t="b">
        <x:v>0</x:v>
      </x:c>
      <x:c r="F110" s="38" t="str"/>
      <x:c r="G110" s="35"/>
      <x:c r="H110" s="35"/>
      <x:c r="I110" s="35"/>
    </x:row>
    <x:row r="111">
      <x:c r="A111" s="38" t="str"/>
      <x:c r="B111" s="38" t="str"/>
      <x:c r="C111" s="38"/>
      <x:c r="D111" s="39"/>
      <x:c r="E111" s="48" t="b">
        <x:v>0</x:v>
      </x:c>
      <x:c r="F111" s="38" t="str"/>
      <x:c r="G111" s="35"/>
      <x:c r="H111" s="35"/>
      <x:c r="I111" s="35"/>
    </x:row>
    <x:row r="112">
      <x:c r="A112" s="38" t="str"/>
      <x:c r="B112" s="38" t="str"/>
      <x:c r="C112" s="38"/>
      <x:c r="D112" s="39"/>
      <x:c r="E112" s="48" t="b">
        <x:v>0</x:v>
      </x:c>
      <x:c r="F112" s="38" t="str"/>
      <x:c r="G112" s="35"/>
      <x:c r="H112" s="35"/>
      <x:c r="I112" s="35"/>
    </x:row>
    <x:row r="113">
      <x:c r="A113" s="38" t="str"/>
      <x:c r="B113" s="38" t="str"/>
      <x:c r="C113" s="38"/>
      <x:c r="D113" s="39"/>
      <x:c r="E113" s="48" t="b">
        <x:v>0</x:v>
      </x:c>
      <x:c r="F113" s="38" t="str"/>
      <x:c r="G113" s="35"/>
      <x:c r="H113" s="35"/>
      <x:c r="I113" s="35"/>
    </x:row>
    <x:row r="114">
      <x:c r="A114" s="38" t="str"/>
      <x:c r="B114" s="38" t="str"/>
      <x:c r="C114" s="38"/>
      <x:c r="D114" s="39"/>
      <x:c r="E114" s="48" t="b">
        <x:v>0</x:v>
      </x:c>
      <x:c r="F114" s="38" t="str"/>
      <x:c r="G114" s="35"/>
      <x:c r="H114" s="35"/>
      <x:c r="I114" s="35"/>
    </x:row>
    <x:row r="115">
      <x:c r="A115" s="38" t="str"/>
      <x:c r="B115" s="38" t="str"/>
      <x:c r="C115" s="38"/>
      <x:c r="D115" s="39"/>
      <x:c r="E115" s="48" t="b">
        <x:v>0</x:v>
      </x:c>
      <x:c r="F115" s="38" t="str"/>
      <x:c r="G115" s="35"/>
      <x:c r="H115" s="35"/>
      <x:c r="I115" s="35"/>
    </x:row>
    <x:row r="116">
      <x:c r="A116" s="38" t="str"/>
      <x:c r="B116" s="38" t="str"/>
      <x:c r="C116" s="38"/>
      <x:c r="D116" s="39"/>
      <x:c r="E116" s="48" t="b">
        <x:v>0</x:v>
      </x:c>
      <x:c r="F116" s="38" t="str"/>
      <x:c r="G116" s="35"/>
      <x:c r="H116" s="35"/>
      <x:c r="I116" s="35"/>
    </x:row>
    <x:row r="117">
      <x:c r="A117" s="38" t="str"/>
      <x:c r="B117" s="38" t="str"/>
      <x:c r="C117" s="38"/>
      <x:c r="D117" s="39"/>
      <x:c r="E117" s="48" t="b">
        <x:v>0</x:v>
      </x:c>
      <x:c r="F117" s="38" t="str"/>
      <x:c r="G117" s="35"/>
      <x:c r="H117" s="35"/>
      <x:c r="I117" s="35"/>
    </x:row>
    <x:row r="118">
      <x:c r="A118" s="38" t="str"/>
      <x:c r="B118" s="38" t="str"/>
      <x:c r="C118" s="38"/>
      <x:c r="D118" s="39"/>
      <x:c r="E118" s="48" t="b">
        <x:v>0</x:v>
      </x:c>
      <x:c r="F118" s="38" t="str"/>
      <x:c r="G118" s="35"/>
      <x:c r="H118" s="35"/>
      <x:c r="I118" s="35"/>
    </x:row>
    <x:row r="119">
      <x:c r="A119" s="38" t="str"/>
      <x:c r="B119" s="38" t="str"/>
      <x:c r="C119" s="38"/>
      <x:c r="D119" s="39"/>
      <x:c r="E119" s="48" t="b">
        <x:v>0</x:v>
      </x:c>
      <x:c r="F119" s="38" t="str"/>
      <x:c r="G119" s="35"/>
      <x:c r="H119" s="35"/>
      <x:c r="I119" s="35"/>
    </x:row>
    <x:row r="120">
      <x:c r="A120" s="38" t="str"/>
      <x:c r="B120" s="38" t="str"/>
      <x:c r="C120" s="38"/>
      <x:c r="D120" s="39"/>
      <x:c r="E120" s="48" t="b">
        <x:v>0</x:v>
      </x:c>
      <x:c r="F120" s="38" t="str"/>
      <x:c r="G120" s="35"/>
      <x:c r="H120" s="35"/>
      <x:c r="I120" s="35"/>
    </x:row>
    <x:row r="121">
      <x:c r="A121" s="38" t="str"/>
      <x:c r="B121" s="38" t="str"/>
      <x:c r="C121" s="38"/>
      <x:c r="D121" s="39"/>
      <x:c r="E121" s="48" t="b">
        <x:v>0</x:v>
      </x:c>
      <x:c r="F121" s="38" t="str"/>
      <x:c r="G121" s="35"/>
      <x:c r="H121" s="35"/>
      <x:c r="I121" s="35"/>
    </x:row>
    <x:row r="122">
      <x:c r="A122" s="38" t="str"/>
      <x:c r="B122" s="38" t="str"/>
      <x:c r="C122" s="38"/>
      <x:c r="D122" s="39"/>
      <x:c r="E122" s="48" t="b">
        <x:v>0</x:v>
      </x:c>
      <x:c r="F122" s="38" t="str"/>
      <x:c r="G122" s="35"/>
      <x:c r="H122" s="35"/>
      <x:c r="I122" s="35"/>
    </x:row>
    <x:row r="123">
      <x:c r="A123" s="38" t="str"/>
      <x:c r="B123" s="38" t="str"/>
      <x:c r="C123" s="38"/>
      <x:c r="D123" s="39"/>
      <x:c r="E123" s="48" t="b">
        <x:v>0</x:v>
      </x:c>
      <x:c r="F123" s="38" t="str"/>
      <x:c r="G123" s="35"/>
      <x:c r="H123" s="35"/>
      <x:c r="I123" s="35"/>
    </x:row>
    <x:row r="124">
      <x:c r="A124" s="38" t="str"/>
      <x:c r="B124" s="38" t="str"/>
      <x:c r="C124" s="38"/>
      <x:c r="D124" s="39"/>
      <x:c r="E124" s="48" t="b">
        <x:v>0</x:v>
      </x:c>
      <x:c r="F124" s="38" t="str"/>
      <x:c r="G124" s="35"/>
      <x:c r="H124" s="35"/>
      <x:c r="I124" s="35"/>
    </x:row>
    <x:row r="125">
      <x:c r="A125" s="38" t="str"/>
      <x:c r="B125" s="38" t="str"/>
      <x:c r="C125" s="38"/>
      <x:c r="D125" s="39"/>
      <x:c r="E125" s="48" t="b">
        <x:v>0</x:v>
      </x:c>
      <x:c r="F125" s="38" t="str"/>
      <x:c r="G125" s="35"/>
      <x:c r="H125" s="35"/>
      <x:c r="I125" s="35"/>
    </x:row>
    <x:row r="126">
      <x:c r="A126" s="38" t="str"/>
      <x:c r="B126" s="38" t="str"/>
      <x:c r="C126" s="38"/>
      <x:c r="D126" s="39"/>
      <x:c r="E126" s="48" t="b">
        <x:v>0</x:v>
      </x:c>
      <x:c r="F126" s="38" t="str"/>
      <x:c r="G126" s="35"/>
      <x:c r="H126" s="35"/>
      <x:c r="I126" s="35"/>
    </x:row>
    <x:row r="127">
      <x:c r="A127" s="38" t="str"/>
      <x:c r="B127" s="38" t="str"/>
      <x:c r="C127" s="38"/>
      <x:c r="D127" s="39"/>
      <x:c r="E127" s="48" t="b">
        <x:v>0</x:v>
      </x:c>
      <x:c r="F127" s="38" t="str"/>
      <x:c r="G127" s="35"/>
      <x:c r="H127" s="35"/>
      <x:c r="I127" s="35"/>
    </x:row>
    <x:row r="128">
      <x:c r="A128" s="38" t="str"/>
      <x:c r="B128" s="38" t="str"/>
      <x:c r="C128" s="38"/>
      <x:c r="D128" s="39"/>
      <x:c r="E128" s="48" t="b">
        <x:v>0</x:v>
      </x:c>
      <x:c r="F128" s="38" t="str"/>
      <x:c r="G128" s="35"/>
      <x:c r="H128" s="35"/>
      <x:c r="I128" s="35"/>
    </x:row>
    <x:row r="129">
      <x:c r="A129" s="38" t="str"/>
      <x:c r="B129" s="38" t="str"/>
      <x:c r="C129" s="38"/>
      <x:c r="D129" s="39"/>
      <x:c r="E129" s="48" t="b">
        <x:v>0</x:v>
      </x:c>
      <x:c r="F129" s="38" t="str"/>
      <x:c r="G129" s="35"/>
      <x:c r="H129" s="35"/>
      <x:c r="I129" s="35"/>
    </x:row>
    <x:row r="130">
      <x:c r="A130" s="38" t="str"/>
      <x:c r="B130" s="38" t="str"/>
      <x:c r="C130" s="38"/>
      <x:c r="D130" s="39"/>
      <x:c r="E130" s="48" t="b">
        <x:v>0</x:v>
      </x:c>
      <x:c r="F130" s="38" t="str"/>
      <x:c r="G130" s="35"/>
      <x:c r="H130" s="35"/>
      <x:c r="I130" s="35"/>
    </x:row>
    <x:row r="131">
      <x:c r="A131" s="38" t="str"/>
      <x:c r="B131" s="38" t="str"/>
      <x:c r="C131" s="38"/>
      <x:c r="D131" s="39"/>
      <x:c r="E131" s="48" t="b">
        <x:v>0</x:v>
      </x:c>
      <x:c r="F131" s="38" t="str"/>
      <x:c r="G131" s="35"/>
      <x:c r="H131" s="35"/>
      <x:c r="I131" s="35"/>
    </x:row>
    <x:row r="132">
      <x:c r="A132" s="38" t="str"/>
      <x:c r="B132" s="38" t="str"/>
      <x:c r="C132" s="38"/>
      <x:c r="D132" s="39"/>
      <x:c r="E132" s="48" t="b">
        <x:v>0</x:v>
      </x:c>
      <x:c r="F132" s="38" t="str"/>
      <x:c r="G132" s="35"/>
      <x:c r="H132" s="35"/>
      <x:c r="I132" s="35"/>
    </x:row>
    <x:row r="133">
      <x:c r="A133" s="38" t="str"/>
      <x:c r="B133" s="38" t="str"/>
      <x:c r="C133" s="38"/>
      <x:c r="D133" s="39"/>
      <x:c r="E133" s="48" t="b">
        <x:v>0</x:v>
      </x:c>
      <x:c r="F133" s="38" t="str"/>
      <x:c r="G133" s="35"/>
      <x:c r="H133" s="35"/>
      <x:c r="I133" s="35"/>
    </x:row>
    <x:row r="134">
      <x:c r="A134" s="38" t="str"/>
      <x:c r="B134" s="38" t="str"/>
      <x:c r="C134" s="38"/>
      <x:c r="D134" s="39"/>
      <x:c r="E134" s="48" t="b">
        <x:v>0</x:v>
      </x:c>
      <x:c r="F134" s="38" t="str"/>
      <x:c r="G134" s="35"/>
      <x:c r="H134" s="35"/>
      <x:c r="I134" s="35"/>
    </x:row>
    <x:row r="135">
      <x:c r="A135" s="38" t="str"/>
      <x:c r="B135" s="38" t="str"/>
      <x:c r="C135" s="38"/>
      <x:c r="D135" s="39"/>
      <x:c r="E135" s="48" t="b">
        <x:v>0</x:v>
      </x:c>
      <x:c r="F135" s="38" t="str"/>
      <x:c r="G135" s="35"/>
      <x:c r="H135" s="35"/>
      <x:c r="I135" s="35"/>
    </x:row>
    <x:row r="136">
      <x:c r="A136" s="38" t="str"/>
      <x:c r="B136" s="38" t="str"/>
      <x:c r="C136" s="38"/>
      <x:c r="D136" s="39"/>
      <x:c r="E136" s="48" t="b">
        <x:v>0</x:v>
      </x:c>
      <x:c r="F136" s="38" t="str"/>
      <x:c r="G136" s="35"/>
      <x:c r="H136" s="35"/>
      <x:c r="I136" s="35"/>
    </x:row>
    <x:row r="137">
      <x:c r="A137" s="38" t="str"/>
      <x:c r="B137" s="38" t="str"/>
      <x:c r="C137" s="38"/>
      <x:c r="D137" s="39"/>
      <x:c r="E137" s="48" t="b">
        <x:v>0</x:v>
      </x:c>
      <x:c r="F137" s="38" t="str"/>
      <x:c r="G137" s="35"/>
      <x:c r="H137" s="35"/>
      <x:c r="I137" s="35"/>
    </x:row>
    <x:row r="138">
      <x:c r="A138" s="38" t="str"/>
      <x:c r="B138" s="38" t="str"/>
      <x:c r="C138" s="38"/>
      <x:c r="D138" s="39"/>
      <x:c r="E138" s="48" t="b">
        <x:v>0</x:v>
      </x:c>
      <x:c r="F138" s="38" t="str"/>
      <x:c r="G138" s="35"/>
      <x:c r="H138" s="35"/>
      <x:c r="I138" s="35"/>
    </x:row>
    <x:row r="139">
      <x:c r="A139" s="38" t="str"/>
      <x:c r="B139" s="38" t="str"/>
      <x:c r="C139" s="38"/>
      <x:c r="D139" s="39"/>
      <x:c r="E139" s="48" t="b">
        <x:v>0</x:v>
      </x:c>
      <x:c r="F139" s="38" t="str"/>
      <x:c r="G139" s="35"/>
      <x:c r="H139" s="35"/>
      <x:c r="I139" s="35"/>
    </x:row>
    <x:row r="140">
      <x:c r="A140" s="38" t="str"/>
      <x:c r="B140" s="38" t="str"/>
      <x:c r="C140" s="38"/>
      <x:c r="D140" s="39"/>
      <x:c r="E140" s="48" t="b">
        <x:v>0</x:v>
      </x:c>
      <x:c r="F140" s="38" t="str"/>
      <x:c r="G140" s="35"/>
      <x:c r="H140" s="35"/>
      <x:c r="I140" s="35"/>
    </x:row>
    <x:row r="141">
      <x:c r="A141" s="38" t="str"/>
      <x:c r="B141" s="38" t="str"/>
      <x:c r="C141" s="38"/>
      <x:c r="D141" s="39"/>
      <x:c r="E141" s="48" t="b">
        <x:v>0</x:v>
      </x:c>
      <x:c r="F141" s="38" t="str"/>
      <x:c r="G141" s="35"/>
      <x:c r="H141" s="35"/>
      <x:c r="I141" s="35"/>
    </x:row>
    <x:row r="142">
      <x:c r="A142" s="38" t="str"/>
      <x:c r="B142" s="38" t="str"/>
      <x:c r="C142" s="38"/>
      <x:c r="D142" s="39"/>
      <x:c r="E142" s="48" t="b">
        <x:v>0</x:v>
      </x:c>
      <x:c r="F142" s="38" t="str"/>
      <x:c r="G142" s="35"/>
      <x:c r="H142" s="35"/>
      <x:c r="I142" s="35"/>
    </x:row>
    <x:row r="143">
      <x:c r="A143" s="38" t="str"/>
      <x:c r="B143" s="38" t="str"/>
      <x:c r="C143" s="38"/>
      <x:c r="D143" s="39"/>
      <x:c r="E143" s="48" t="b">
        <x:v>0</x:v>
      </x:c>
      <x:c r="F143" s="38" t="str"/>
      <x:c r="G143" s="35"/>
      <x:c r="H143" s="35"/>
      <x:c r="I143" s="35"/>
    </x:row>
    <x:row r="144">
      <x:c r="A144" s="38" t="str"/>
      <x:c r="B144" s="38" t="str"/>
      <x:c r="C144" s="38"/>
      <x:c r="D144" s="39"/>
      <x:c r="E144" s="48" t="b">
        <x:v>0</x:v>
      </x:c>
      <x:c r="F144" s="38" t="str"/>
      <x:c r="G144" s="35"/>
      <x:c r="H144" s="35"/>
      <x:c r="I144" s="35"/>
    </x:row>
    <x:row r="145">
      <x:c r="A145" s="38" t="str"/>
      <x:c r="B145" s="38" t="str"/>
      <x:c r="C145" s="38"/>
      <x:c r="D145" s="39"/>
      <x:c r="E145" s="48" t="b">
        <x:v>0</x:v>
      </x:c>
      <x:c r="F145" s="38" t="str"/>
      <x:c r="G145" s="35"/>
      <x:c r="H145" s="35"/>
      <x:c r="I145" s="35"/>
    </x:row>
    <x:row r="146">
      <x:c r="A146" s="38" t="str"/>
      <x:c r="B146" s="38" t="str"/>
      <x:c r="C146" s="38"/>
      <x:c r="D146" s="39"/>
      <x:c r="E146" s="48" t="b">
        <x:v>0</x:v>
      </x:c>
      <x:c r="F146" s="38" t="str"/>
      <x:c r="G146" s="35"/>
      <x:c r="H146" s="35"/>
      <x:c r="I146" s="35"/>
    </x:row>
    <x:row r="147">
      <x:c r="A147" s="38" t="str"/>
      <x:c r="B147" s="38" t="str"/>
      <x:c r="C147" s="38"/>
      <x:c r="D147" s="39"/>
      <x:c r="E147" s="48" t="b">
        <x:v>0</x:v>
      </x:c>
      <x:c r="F147" s="38" t="str"/>
      <x:c r="G147" s="35"/>
      <x:c r="H147" s="35"/>
      <x:c r="I147" s="35"/>
    </x:row>
    <x:row r="148">
      <x:c r="A148" s="38" t="str"/>
      <x:c r="B148" s="38" t="str"/>
      <x:c r="C148" s="38"/>
      <x:c r="D148" s="39"/>
      <x:c r="E148" s="48" t="b">
        <x:v>0</x:v>
      </x:c>
      <x:c r="F148" s="38" t="str"/>
      <x:c r="G148" s="35"/>
      <x:c r="H148" s="35"/>
      <x:c r="I148" s="35"/>
    </x:row>
    <x:row r="149">
      <x:c r="A149" s="38" t="str"/>
      <x:c r="B149" s="38" t="str"/>
      <x:c r="C149" s="38"/>
      <x:c r="D149" s="39"/>
      <x:c r="E149" s="48" t="b">
        <x:v>0</x:v>
      </x:c>
      <x:c r="F149" s="38" t="str"/>
      <x:c r="G149" s="35"/>
      <x:c r="H149" s="35"/>
      <x:c r="I149" s="35"/>
    </x:row>
    <x:row r="150">
      <x:c r="A150" s="38" t="str"/>
      <x:c r="B150" s="38" t="str"/>
      <x:c r="C150" s="38"/>
      <x:c r="D150" s="39"/>
      <x:c r="E150" s="48" t="b">
        <x:v>0</x:v>
      </x:c>
      <x:c r="F150" s="38" t="str"/>
      <x:c r="G150" s="35"/>
      <x:c r="H150" s="35"/>
      <x:c r="I150" s="35"/>
    </x:row>
    <x:row r="151">
      <x:c r="A151" s="38" t="str"/>
      <x:c r="B151" s="38" t="str"/>
      <x:c r="C151" s="38"/>
      <x:c r="D151" s="39"/>
      <x:c r="E151" s="48" t="b">
        <x:v>0</x:v>
      </x:c>
      <x:c r="F151" s="38" t="str"/>
      <x:c r="G151" s="35"/>
      <x:c r="H151" s="35"/>
      <x:c r="I151" s="35"/>
    </x:row>
    <x:row r="152">
      <x:c r="A152" s="38" t="str"/>
      <x:c r="B152" s="38" t="str"/>
      <x:c r="C152" s="38"/>
      <x:c r="D152" s="39"/>
      <x:c r="E152" s="48" t="b">
        <x:v>0</x:v>
      </x:c>
      <x:c r="F152" s="38" t="str"/>
      <x:c r="G152" s="35"/>
      <x:c r="H152" s="35"/>
      <x:c r="I152" s="35"/>
    </x:row>
    <x:row r="153">
      <x:c r="A153" s="38" t="str"/>
      <x:c r="B153" s="38" t="str"/>
      <x:c r="C153" s="38"/>
      <x:c r="D153" s="39"/>
      <x:c r="E153" s="48" t="b">
        <x:v>0</x:v>
      </x:c>
      <x:c r="F153" s="38" t="str"/>
      <x:c r="G153" s="35"/>
      <x:c r="H153" s="35"/>
      <x:c r="I153" s="35"/>
    </x:row>
    <x:row r="154">
      <x:c r="A154" s="38" t="str"/>
      <x:c r="B154" s="38" t="str"/>
      <x:c r="C154" s="38"/>
      <x:c r="D154" s="39"/>
      <x:c r="E154" s="48" t="b">
        <x:v>0</x:v>
      </x:c>
      <x:c r="F154" s="38" t="str"/>
      <x:c r="G154" s="35"/>
      <x:c r="H154" s="35"/>
      <x:c r="I154" s="35"/>
    </x:row>
    <x:row r="155">
      <x:c r="A155" s="38" t="str"/>
      <x:c r="B155" s="38" t="str"/>
      <x:c r="C155" s="38"/>
      <x:c r="D155" s="39"/>
      <x:c r="E155" s="48" t="b">
        <x:v>0</x:v>
      </x:c>
      <x:c r="F155" s="38" t="str"/>
      <x:c r="G155" s="35"/>
      <x:c r="H155" s="35"/>
      <x:c r="I155" s="35"/>
    </x:row>
    <x:row r="156">
      <x:c r="A156" s="38" t="str"/>
      <x:c r="B156" s="38" t="str"/>
      <x:c r="C156" s="38"/>
      <x:c r="D156" s="39"/>
      <x:c r="E156" s="48" t="b">
        <x:v>0</x:v>
      </x:c>
      <x:c r="F156" s="38" t="str"/>
      <x:c r="G156" s="35"/>
      <x:c r="H156" s="35"/>
      <x:c r="I156" s="35"/>
    </x:row>
    <x:row r="157">
      <x:c r="A157" s="38" t="str"/>
      <x:c r="B157" s="38" t="str"/>
      <x:c r="C157" s="38"/>
      <x:c r="D157" s="39"/>
      <x:c r="E157" s="48" t="b">
        <x:v>0</x:v>
      </x:c>
      <x:c r="F157" s="38" t="str"/>
      <x:c r="G157" s="35"/>
      <x:c r="H157" s="35"/>
      <x:c r="I157" s="35"/>
    </x:row>
    <x:row r="158">
      <x:c r="A158" s="38" t="str"/>
      <x:c r="B158" s="38" t="str"/>
      <x:c r="C158" s="38"/>
      <x:c r="D158" s="39"/>
      <x:c r="E158" s="48" t="b">
        <x:v>0</x:v>
      </x:c>
      <x:c r="F158" s="38" t="str"/>
      <x:c r="G158" s="35"/>
      <x:c r="H158" s="35"/>
      <x:c r="I158" s="35"/>
    </x:row>
    <x:row r="159">
      <x:c r="A159" s="38" t="str"/>
      <x:c r="B159" s="38" t="str"/>
      <x:c r="C159" s="38"/>
      <x:c r="D159" s="39"/>
      <x:c r="E159" s="48" t="b">
        <x:v>0</x:v>
      </x:c>
      <x:c r="F159" s="38" t="str"/>
      <x:c r="G159" s="35"/>
      <x:c r="H159" s="35"/>
      <x:c r="I159" s="35"/>
    </x:row>
    <x:row r="160">
      <x:c r="A160" s="38" t="str"/>
      <x:c r="B160" s="38" t="str"/>
      <x:c r="C160" s="38"/>
      <x:c r="D160" s="39"/>
      <x:c r="E160" s="48" t="b">
        <x:v>0</x:v>
      </x:c>
      <x:c r="F160" s="38" t="str"/>
      <x:c r="G160" s="35"/>
      <x:c r="H160" s="35"/>
      <x:c r="I160" s="35"/>
    </x:row>
    <x:row r="161">
      <x:c r="A161" s="38" t="str"/>
      <x:c r="B161" s="38" t="str"/>
      <x:c r="C161" s="38"/>
      <x:c r="D161" s="39"/>
      <x:c r="E161" s="48" t="b">
        <x:v>0</x:v>
      </x:c>
      <x:c r="F161" s="38" t="str"/>
      <x:c r="G161" s="35"/>
      <x:c r="H161" s="35"/>
      <x:c r="I161" s="35"/>
    </x:row>
    <x:row r="162">
      <x:c r="A162" s="38" t="str"/>
      <x:c r="B162" s="38" t="str"/>
      <x:c r="C162" s="38"/>
      <x:c r="D162" s="39"/>
      <x:c r="E162" s="48" t="b">
        <x:v>0</x:v>
      </x:c>
      <x:c r="F162" s="38" t="str"/>
      <x:c r="G162" s="35"/>
      <x:c r="H162" s="35"/>
      <x:c r="I162" s="35"/>
    </x:row>
    <x:row r="163">
      <x:c r="A163" s="38" t="str"/>
      <x:c r="B163" s="38" t="str"/>
      <x:c r="C163" s="38"/>
      <x:c r="D163" s="39"/>
      <x:c r="E163" s="48" t="b">
        <x:v>0</x:v>
      </x:c>
      <x:c r="F163" s="38" t="str"/>
      <x:c r="G163" s="35"/>
      <x:c r="H163" s="35"/>
      <x:c r="I163" s="35"/>
    </x:row>
    <x:row r="164">
      <x:c r="A164" s="38" t="str"/>
      <x:c r="B164" s="38" t="str"/>
      <x:c r="C164" s="38"/>
      <x:c r="D164" s="39"/>
      <x:c r="E164" s="48" t="b">
        <x:v>0</x:v>
      </x:c>
      <x:c r="F164" s="38" t="str"/>
      <x:c r="G164" s="35"/>
      <x:c r="H164" s="35"/>
      <x:c r="I164" s="35"/>
    </x:row>
    <x:row r="165">
      <x:c r="A165" s="38" t="str"/>
      <x:c r="B165" s="38" t="str"/>
      <x:c r="C165" s="38"/>
      <x:c r="D165" s="39"/>
      <x:c r="E165" s="48" t="b">
        <x:v>0</x:v>
      </x:c>
      <x:c r="F165" s="38" t="str"/>
      <x:c r="G165" s="35"/>
      <x:c r="H165" s="35"/>
      <x:c r="I165" s="35"/>
    </x:row>
    <x:row r="166">
      <x:c r="A166" s="38" t="str"/>
      <x:c r="B166" s="38" t="str"/>
      <x:c r="C166" s="38"/>
      <x:c r="D166" s="39"/>
      <x:c r="E166" s="48" t="b">
        <x:v>0</x:v>
      </x:c>
      <x:c r="F166" s="38" t="str"/>
      <x:c r="G166" s="35"/>
      <x:c r="H166" s="35"/>
      <x:c r="I166" s="35"/>
    </x:row>
    <x:row r="167">
      <x:c r="A167" s="38" t="str"/>
      <x:c r="B167" s="38" t="str"/>
      <x:c r="C167" s="38"/>
      <x:c r="D167" s="39"/>
      <x:c r="E167" s="48" t="b">
        <x:v>0</x:v>
      </x:c>
      <x:c r="F167" s="38" t="str"/>
      <x:c r="G167" s="35"/>
      <x:c r="H167" s="35"/>
      <x:c r="I167" s="35"/>
    </x:row>
    <x:row r="168">
      <x:c r="A168" s="38" t="str"/>
      <x:c r="B168" s="38" t="str"/>
      <x:c r="C168" s="38"/>
      <x:c r="D168" s="39"/>
      <x:c r="E168" s="48" t="b">
        <x:v>0</x:v>
      </x:c>
      <x:c r="F168" s="38" t="str"/>
      <x:c r="G168" s="35"/>
      <x:c r="H168" s="35"/>
      <x:c r="I168" s="35"/>
    </x:row>
    <x:row r="169">
      <x:c r="A169" s="38" t="str"/>
      <x:c r="B169" s="38" t="str"/>
      <x:c r="C169" s="38"/>
      <x:c r="D169" s="39"/>
      <x:c r="E169" s="48" t="b">
        <x:v>0</x:v>
      </x:c>
      <x:c r="F169" s="38" t="str"/>
      <x:c r="G169" s="35"/>
      <x:c r="H169" s="35"/>
      <x:c r="I169" s="35"/>
    </x:row>
    <x:row r="170">
      <x:c r="A170" s="38" t="str"/>
      <x:c r="B170" s="38" t="str"/>
      <x:c r="C170" s="38"/>
      <x:c r="D170" s="39"/>
      <x:c r="E170" s="48" t="b">
        <x:v>0</x:v>
      </x:c>
      <x:c r="F170" s="38" t="str"/>
      <x:c r="G170" s="35"/>
      <x:c r="H170" s="35"/>
      <x:c r="I170" s="35"/>
    </x:row>
    <x:row r="171">
      <x:c r="A171" s="38" t="str"/>
      <x:c r="B171" s="38" t="str"/>
      <x:c r="C171" s="38"/>
      <x:c r="D171" s="39"/>
      <x:c r="E171" s="48" t="b">
        <x:v>0</x:v>
      </x:c>
      <x:c r="F171" s="38" t="str"/>
      <x:c r="G171" s="35"/>
      <x:c r="H171" s="35"/>
      <x:c r="I171" s="35"/>
    </x:row>
    <x:row r="172">
      <x:c r="A172" s="38" t="str"/>
      <x:c r="B172" s="38" t="str"/>
      <x:c r="C172" s="38"/>
      <x:c r="D172" s="39"/>
      <x:c r="E172" s="48" t="b">
        <x:v>0</x:v>
      </x:c>
      <x:c r="F172" s="38" t="str"/>
      <x:c r="G172" s="35"/>
      <x:c r="H172" s="35"/>
      <x:c r="I172" s="35"/>
    </x:row>
    <x:row r="173">
      <x:c r="A173" s="38" t="str"/>
      <x:c r="B173" s="38" t="str"/>
      <x:c r="C173" s="38"/>
      <x:c r="D173" s="39"/>
      <x:c r="E173" s="48" t="b">
        <x:v>0</x:v>
      </x:c>
      <x:c r="F173" s="38" t="str"/>
      <x:c r="G173" s="35"/>
      <x:c r="H173" s="35"/>
      <x:c r="I173" s="35"/>
    </x:row>
    <x:row r="174">
      <x:c r="A174" s="38" t="str"/>
      <x:c r="B174" s="38" t="str"/>
      <x:c r="C174" s="38"/>
      <x:c r="D174" s="39"/>
      <x:c r="E174" s="48" t="b">
        <x:v>0</x:v>
      </x:c>
      <x:c r="F174" s="38" t="str"/>
      <x:c r="G174" s="35"/>
      <x:c r="H174" s="35"/>
      <x:c r="I174" s="35"/>
    </x:row>
    <x:row r="175">
      <x:c r="A175" s="38" t="str"/>
      <x:c r="B175" s="38" t="str"/>
      <x:c r="C175" s="38"/>
      <x:c r="D175" s="39"/>
      <x:c r="E175" s="48" t="b">
        <x:v>0</x:v>
      </x:c>
      <x:c r="F175" s="38" t="str"/>
      <x:c r="G175" s="35"/>
      <x:c r="H175" s="35"/>
      <x:c r="I175" s="35"/>
    </x:row>
    <x:row r="176">
      <x:c r="A176" s="38" t="str"/>
      <x:c r="B176" s="38" t="str"/>
      <x:c r="C176" s="38"/>
      <x:c r="D176" s="39"/>
      <x:c r="E176" s="48" t="b">
        <x:v>0</x:v>
      </x:c>
      <x:c r="F176" s="38" t="str"/>
      <x:c r="G176" s="35"/>
      <x:c r="H176" s="35"/>
      <x:c r="I176" s="35"/>
    </x:row>
    <x:row r="177">
      <x:c r="A177" s="38" t="str"/>
      <x:c r="B177" s="38" t="str"/>
      <x:c r="C177" s="38"/>
      <x:c r="D177" s="39"/>
      <x:c r="E177" s="48" t="b">
        <x:v>0</x:v>
      </x:c>
      <x:c r="F177" s="38" t="str"/>
      <x:c r="G177" s="35"/>
      <x:c r="H177" s="35"/>
      <x:c r="I177" s="35"/>
    </x:row>
    <x:row r="178">
      <x:c r="A178" s="38" t="str"/>
      <x:c r="B178" s="38" t="str"/>
      <x:c r="C178" s="38"/>
      <x:c r="D178" s="39"/>
      <x:c r="E178" s="48" t="b">
        <x:v>0</x:v>
      </x:c>
      <x:c r="F178" s="38" t="str"/>
      <x:c r="G178" s="35"/>
      <x:c r="H178" s="35"/>
      <x:c r="I178" s="35"/>
    </x:row>
    <x:row r="179">
      <x:c r="A179" s="38" t="str"/>
      <x:c r="B179" s="38" t="str"/>
      <x:c r="C179" s="38"/>
      <x:c r="D179" s="39"/>
      <x:c r="E179" s="48" t="b">
        <x:v>0</x:v>
      </x:c>
      <x:c r="F179" s="38" t="str"/>
      <x:c r="G179" s="35"/>
      <x:c r="H179" s="35"/>
      <x:c r="I179" s="35"/>
    </x:row>
    <x:row r="180">
      <x:c r="A180" s="38" t="str"/>
      <x:c r="B180" s="38" t="str"/>
      <x:c r="C180" s="38"/>
      <x:c r="D180" s="39"/>
      <x:c r="E180" s="48" t="b">
        <x:v>0</x:v>
      </x:c>
      <x:c r="F180" s="38" t="str"/>
      <x:c r="G180" s="35"/>
      <x:c r="H180" s="35"/>
      <x:c r="I180" s="35"/>
    </x:row>
    <x:row r="181">
      <x:c r="A181" s="38" t="str"/>
      <x:c r="B181" s="38" t="str"/>
      <x:c r="C181" s="38"/>
      <x:c r="D181" s="39"/>
      <x:c r="E181" s="48" t="b">
        <x:v>0</x:v>
      </x:c>
      <x:c r="F181" s="38" t="str"/>
      <x:c r="G181" s="35"/>
      <x:c r="H181" s="35"/>
      <x:c r="I181" s="35"/>
    </x:row>
    <x:row r="182">
      <x:c r="A182" s="38" t="str"/>
      <x:c r="B182" s="38" t="str"/>
      <x:c r="C182" s="38"/>
      <x:c r="D182" s="39"/>
      <x:c r="E182" s="48" t="b">
        <x:v>0</x:v>
      </x:c>
      <x:c r="F182" s="38" t="str"/>
      <x:c r="G182" s="35"/>
      <x:c r="H182" s="35"/>
      <x:c r="I182" s="35"/>
    </x:row>
    <x:row r="183">
      <x:c r="A183" s="38" t="str"/>
      <x:c r="B183" s="38" t="str"/>
      <x:c r="C183" s="38"/>
      <x:c r="D183" s="39"/>
      <x:c r="E183" s="48" t="b">
        <x:v>0</x:v>
      </x:c>
      <x:c r="F183" s="38" t="str"/>
      <x:c r="G183" s="35"/>
      <x:c r="H183" s="35"/>
      <x:c r="I183" s="35"/>
    </x:row>
    <x:row r="184">
      <x:c r="A184" s="38" t="str"/>
      <x:c r="B184" s="38" t="str"/>
      <x:c r="C184" s="38"/>
      <x:c r="D184" s="39"/>
      <x:c r="E184" s="48" t="b">
        <x:v>0</x:v>
      </x:c>
      <x:c r="F184" s="38" t="str"/>
      <x:c r="G184" s="35"/>
      <x:c r="H184" s="35"/>
      <x:c r="I184" s="35"/>
    </x:row>
    <x:row r="185">
      <x:c r="A185" s="38" t="str"/>
      <x:c r="B185" s="38" t="str"/>
      <x:c r="C185" s="38"/>
      <x:c r="D185" s="39"/>
      <x:c r="E185" s="48" t="b">
        <x:v>0</x:v>
      </x:c>
      <x:c r="F185" s="38" t="str"/>
      <x:c r="G185" s="35"/>
      <x:c r="H185" s="35"/>
      <x:c r="I185" s="35"/>
    </x:row>
    <x:row r="186">
      <x:c r="A186" s="38" t="str"/>
      <x:c r="B186" s="38" t="str"/>
      <x:c r="C186" s="38"/>
      <x:c r="D186" s="39"/>
      <x:c r="E186" s="48" t="b">
        <x:v>0</x:v>
      </x:c>
      <x:c r="F186" s="38" t="str"/>
      <x:c r="G186" s="35"/>
      <x:c r="H186" s="35"/>
      <x:c r="I186" s="35"/>
    </x:row>
    <x:row r="187">
      <x:c r="A187" s="38" t="str"/>
      <x:c r="B187" s="38" t="str"/>
      <x:c r="C187" s="38"/>
      <x:c r="D187" s="39"/>
      <x:c r="E187" s="48" t="b">
        <x:v>0</x:v>
      </x:c>
      <x:c r="F187" s="38" t="str"/>
      <x:c r="G187" s="35"/>
      <x:c r="H187" s="35"/>
      <x:c r="I187" s="35"/>
    </x:row>
    <x:row r="188">
      <x:c r="A188" s="38" t="str"/>
      <x:c r="B188" s="38" t="str"/>
      <x:c r="C188" s="38"/>
      <x:c r="D188" s="39"/>
      <x:c r="E188" s="48" t="b">
        <x:v>0</x:v>
      </x:c>
      <x:c r="F188" s="38" t="str"/>
      <x:c r="G188" s="35"/>
      <x:c r="H188" s="35"/>
      <x:c r="I188" s="35"/>
    </x:row>
    <x:row r="189">
      <x:c r="A189" s="38" t="str"/>
      <x:c r="B189" s="38" t="str"/>
      <x:c r="C189" s="38"/>
      <x:c r="D189" s="39"/>
      <x:c r="E189" s="48" t="b">
        <x:v>0</x:v>
      </x:c>
      <x:c r="F189" s="38" t="str"/>
      <x:c r="G189" s="35"/>
      <x:c r="H189" s="35"/>
      <x:c r="I189" s="35"/>
    </x:row>
    <x:row r="190">
      <x:c r="A190" s="38" t="str"/>
      <x:c r="B190" s="38" t="str"/>
      <x:c r="C190" s="38"/>
      <x:c r="D190" s="39"/>
      <x:c r="E190" s="48" t="b">
        <x:v>0</x:v>
      </x:c>
      <x:c r="F190" s="38" t="str"/>
      <x:c r="G190" s="35"/>
      <x:c r="H190" s="35"/>
      <x:c r="I190" s="35"/>
    </x:row>
    <x:row r="191">
      <x:c r="A191" s="38" t="str"/>
      <x:c r="B191" s="38" t="str"/>
      <x:c r="C191" s="38"/>
      <x:c r="D191" s="39"/>
      <x:c r="E191" s="48" t="b">
        <x:v>0</x:v>
      </x:c>
      <x:c r="F191" s="38" t="str"/>
      <x:c r="G191" s="35"/>
      <x:c r="H191" s="35"/>
      <x:c r="I191" s="35"/>
    </x:row>
    <x:row r="192">
      <x:c r="A192" s="38" t="str"/>
      <x:c r="B192" s="38" t="str"/>
      <x:c r="C192" s="38"/>
      <x:c r="D192" s="39"/>
      <x:c r="E192" s="48" t="b">
        <x:v>0</x:v>
      </x:c>
      <x:c r="F192" s="38" t="str"/>
      <x:c r="G192" s="35"/>
      <x:c r="H192" s="35"/>
      <x:c r="I192" s="35"/>
    </x:row>
    <x:row r="193">
      <x:c r="A193" s="38" t="str"/>
      <x:c r="B193" s="38" t="str"/>
      <x:c r="C193" s="38"/>
      <x:c r="D193" s="39"/>
      <x:c r="E193" s="48" t="b">
        <x:v>0</x:v>
      </x:c>
      <x:c r="F193" s="38" t="str"/>
      <x:c r="G193" s="35"/>
      <x:c r="H193" s="35"/>
      <x:c r="I193" s="35"/>
    </x:row>
    <x:row r="194">
      <x:c r="A194" s="38" t="str"/>
      <x:c r="B194" s="38" t="str"/>
      <x:c r="C194" s="38"/>
      <x:c r="D194" s="39"/>
      <x:c r="E194" s="48" t="b">
        <x:v>0</x:v>
      </x:c>
      <x:c r="F194" s="38" t="str"/>
      <x:c r="G194" s="35"/>
      <x:c r="H194" s="35"/>
      <x:c r="I194" s="35"/>
    </x:row>
    <x:row r="195">
      <x:c r="A195" s="38" t="str"/>
      <x:c r="B195" s="38" t="str"/>
      <x:c r="C195" s="38"/>
      <x:c r="D195" s="39"/>
      <x:c r="E195" s="48" t="b">
        <x:v>0</x:v>
      </x:c>
      <x:c r="F195" s="38" t="str"/>
      <x:c r="G195" s="35"/>
      <x:c r="H195" s="35"/>
      <x:c r="I195" s="35"/>
    </x:row>
    <x:row r="196">
      <x:c r="A196" s="38" t="str"/>
      <x:c r="B196" s="38" t="str"/>
      <x:c r="C196" s="38"/>
      <x:c r="D196" s="39"/>
      <x:c r="E196" s="48" t="b">
        <x:v>0</x:v>
      </x:c>
      <x:c r="F196" s="38" t="str"/>
      <x:c r="G196" s="35"/>
      <x:c r="H196" s="35"/>
      <x:c r="I196" s="35"/>
    </x:row>
    <x:row r="197">
      <x:c r="A197" s="38" t="str"/>
      <x:c r="B197" s="38" t="str"/>
      <x:c r="C197" s="38"/>
      <x:c r="D197" s="39"/>
      <x:c r="E197" s="48" t="b">
        <x:v>0</x:v>
      </x:c>
      <x:c r="F197" s="38" t="str"/>
      <x:c r="G197" s="35"/>
      <x:c r="H197" s="35"/>
      <x:c r="I197" s="35"/>
    </x:row>
    <x:row r="198">
      <x:c r="A198" s="38" t="str"/>
      <x:c r="B198" s="38" t="str"/>
      <x:c r="C198" s="38"/>
      <x:c r="D198" s="39"/>
      <x:c r="E198" s="48" t="b">
        <x:v>0</x:v>
      </x:c>
      <x:c r="F198" s="38" t="str"/>
      <x:c r="G198" s="35"/>
      <x:c r="H198" s="35"/>
      <x:c r="I198" s="35"/>
    </x:row>
    <x:row r="199">
      <x:c r="A199" s="38" t="str"/>
      <x:c r="B199" s="38" t="str"/>
      <x:c r="C199" s="38"/>
      <x:c r="D199" s="39"/>
      <x:c r="E199" s="48" t="b">
        <x:v>0</x:v>
      </x:c>
      <x:c r="F199" s="38" t="str"/>
      <x:c r="G199" s="35"/>
      <x:c r="H199" s="35"/>
      <x:c r="I199" s="35"/>
    </x:row>
    <x:row r="200">
      <x:c r="A200" s="38" t="str"/>
      <x:c r="B200" s="38" t="str"/>
      <x:c r="C200" s="38"/>
      <x:c r="D200" s="39"/>
      <x:c r="E200" s="48" t="b">
        <x:v>0</x:v>
      </x:c>
      <x:c r="F200" s="38" t="str"/>
      <x:c r="G200" s="35"/>
      <x:c r="H200" s="35"/>
      <x:c r="I200" s="35"/>
    </x:row>
    <x:row r="201">
      <x:c r="A201" s="38" t="str"/>
      <x:c r="B201" s="38" t="str"/>
      <x:c r="C201" s="38"/>
      <x:c r="D201" s="39"/>
      <x:c r="E201" s="48" t="b">
        <x:v>0</x:v>
      </x:c>
      <x:c r="F201" s="38" t="str"/>
      <x:c r="G201" s="35"/>
      <x:c r="H201" s="35"/>
      <x:c r="I201" s="35"/>
    </x:row>
    <x:row r="202">
      <x:c r="A202" s="38" t="str"/>
      <x:c r="B202" s="38" t="str"/>
      <x:c r="C202" s="38"/>
      <x:c r="D202" s="39"/>
      <x:c r="E202" s="48" t="b">
        <x:v>0</x:v>
      </x:c>
      <x:c r="F202" s="38" t="str"/>
      <x:c r="G202" s="35"/>
      <x:c r="H202" s="35"/>
      <x:c r="I202" s="35"/>
    </x:row>
    <x:row r="203">
      <x:c r="A203" s="38" t="str"/>
      <x:c r="B203" s="38" t="str"/>
      <x:c r="C203" s="38"/>
      <x:c r="D203" s="39"/>
      <x:c r="E203" s="48" t="b">
        <x:v>0</x:v>
      </x:c>
      <x:c r="F203" s="38" t="str"/>
      <x:c r="G203" s="35"/>
      <x:c r="H203" s="35"/>
      <x:c r="I203" s="35"/>
    </x:row>
    <x:row r="204">
      <x:c r="A204" s="38" t="str"/>
      <x:c r="B204" s="38" t="str"/>
      <x:c r="C204" s="38"/>
      <x:c r="D204" s="39"/>
      <x:c r="E204" s="48" t="b">
        <x:v>0</x:v>
      </x:c>
      <x:c r="F204" s="38" t="str"/>
      <x:c r="G204" s="35"/>
      <x:c r="H204" s="35"/>
      <x:c r="I204" s="35"/>
    </x:row>
    <x:row r="205">
      <x:c r="A205" s="38" t="str"/>
      <x:c r="B205" s="38" t="str"/>
      <x:c r="C205" s="38"/>
      <x:c r="D205" s="39"/>
      <x:c r="E205" s="48" t="b">
        <x:v>0</x:v>
      </x:c>
      <x:c r="F205" s="38" t="str"/>
      <x:c r="G205" s="35"/>
      <x:c r="H205" s="35"/>
      <x:c r="I205" s="35"/>
    </x:row>
    <x:row r="206">
      <x:c r="A206" s="38" t="str"/>
      <x:c r="B206" s="38" t="str"/>
      <x:c r="C206" s="38"/>
      <x:c r="D206" s="39"/>
      <x:c r="E206" s="48" t="b">
        <x:v>0</x:v>
      </x:c>
      <x:c r="F206" s="38" t="str"/>
      <x:c r="G206" s="35"/>
      <x:c r="H206" s="35"/>
      <x:c r="I206" s="35"/>
    </x:row>
    <x:row r="207">
      <x:c r="A207" s="38" t="str"/>
      <x:c r="B207" s="38" t="str"/>
      <x:c r="C207" s="38"/>
      <x:c r="D207" s="39"/>
      <x:c r="E207" s="48" t="b">
        <x:v>0</x:v>
      </x:c>
      <x:c r="F207" s="38" t="str"/>
      <x:c r="G207" s="35"/>
      <x:c r="H207" s="35"/>
      <x:c r="I207" s="35"/>
    </x:row>
    <x:row r="208">
      <x:c r="A208" s="38" t="str"/>
      <x:c r="B208" s="38" t="str"/>
      <x:c r="C208" s="38"/>
      <x:c r="D208" s="39"/>
      <x:c r="E208" s="48" t="b">
        <x:v>0</x:v>
      </x:c>
      <x:c r="F208" s="38" t="str"/>
      <x:c r="G208" s="35"/>
      <x:c r="H208" s="35"/>
      <x:c r="I208" s="35"/>
    </x:row>
    <x:row r="209">
      <x:c r="A209" s="38" t="str"/>
      <x:c r="B209" s="38" t="str"/>
      <x:c r="C209" s="38"/>
      <x:c r="D209" s="39"/>
      <x:c r="E209" s="48" t="b">
        <x:v>0</x:v>
      </x:c>
      <x:c r="F209" s="38" t="str"/>
      <x:c r="G209" s="35"/>
      <x:c r="H209" s="35"/>
      <x:c r="I209" s="35"/>
    </x:row>
    <x:row r="210">
      <x:c r="A210" s="38" t="str"/>
      <x:c r="B210" s="38" t="str"/>
      <x:c r="C210" s="38"/>
      <x:c r="D210" s="39"/>
      <x:c r="E210" s="48" t="b">
        <x:v>0</x:v>
      </x:c>
      <x:c r="F210" s="38" t="str"/>
      <x:c r="G210" s="35"/>
      <x:c r="H210" s="35"/>
      <x:c r="I210" s="35"/>
    </x:row>
    <x:row r="211">
      <x:c r="A211" s="38" t="str"/>
      <x:c r="B211" s="38" t="str"/>
      <x:c r="C211" s="38"/>
      <x:c r="D211" s="39"/>
      <x:c r="E211" s="48" t="b">
        <x:v>0</x:v>
      </x:c>
      <x:c r="F211" s="38" t="str"/>
      <x:c r="G211" s="35"/>
      <x:c r="H211" s="35"/>
      <x:c r="I211" s="35"/>
    </x:row>
    <x:row r="212">
      <x:c r="A212" s="38" t="str"/>
      <x:c r="B212" s="38" t="str"/>
      <x:c r="C212" s="38"/>
      <x:c r="D212" s="39"/>
      <x:c r="E212" s="48" t="b">
        <x:v>0</x:v>
      </x:c>
      <x:c r="F212" s="38" t="str"/>
      <x:c r="G212" s="35"/>
      <x:c r="H212" s="35"/>
      <x:c r="I212" s="35"/>
    </x:row>
    <x:row r="213">
      <x:c r="A213" s="38" t="str"/>
      <x:c r="B213" s="38" t="str"/>
      <x:c r="C213" s="38"/>
      <x:c r="D213" s="39"/>
      <x:c r="E213" s="48" t="b">
        <x:v>0</x:v>
      </x:c>
      <x:c r="F213" s="38" t="str"/>
      <x:c r="G213" s="35"/>
      <x:c r="H213" s="35"/>
      <x:c r="I213" s="35"/>
    </x:row>
    <x:row r="214">
      <x:c r="A214" s="38" t="str"/>
      <x:c r="B214" s="38" t="str"/>
      <x:c r="C214" s="38"/>
      <x:c r="D214" s="39"/>
      <x:c r="E214" s="48" t="b">
        <x:v>0</x:v>
      </x:c>
      <x:c r="F214" s="38" t="str"/>
      <x:c r="G214" s="35"/>
      <x:c r="H214" s="35"/>
      <x:c r="I214" s="35"/>
    </x:row>
    <x:row r="215">
      <x:c r="A215" s="38" t="str"/>
      <x:c r="B215" s="38" t="str"/>
      <x:c r="C215" s="38"/>
      <x:c r="D215" s="39"/>
      <x:c r="E215" s="48" t="b">
        <x:v>0</x:v>
      </x:c>
      <x:c r="F215" s="38" t="str"/>
      <x:c r="G215" s="35"/>
      <x:c r="H215" s="35"/>
      <x:c r="I215" s="35"/>
    </x:row>
    <x:row r="216">
      <x:c r="A216" s="38" t="str"/>
      <x:c r="B216" s="38" t="str"/>
      <x:c r="C216" s="38"/>
      <x:c r="D216" s="39"/>
      <x:c r="E216" s="48" t="b">
        <x:v>0</x:v>
      </x:c>
      <x:c r="F216" s="38" t="str"/>
      <x:c r="G216" s="35"/>
      <x:c r="H216" s="35"/>
      <x:c r="I216" s="35"/>
    </x:row>
    <x:row r="217">
      <x:c r="A217" s="38" t="str"/>
      <x:c r="B217" s="38" t="str"/>
      <x:c r="C217" s="38"/>
      <x:c r="D217" s="39"/>
      <x:c r="E217" s="48" t="b">
        <x:v>0</x:v>
      </x:c>
      <x:c r="F217" s="38" t="str"/>
      <x:c r="G217" s="35"/>
      <x:c r="H217" s="35"/>
      <x:c r="I217" s="35"/>
    </x:row>
    <x:row r="218">
      <x:c r="A218" s="38" t="str"/>
      <x:c r="B218" s="38" t="str"/>
      <x:c r="C218" s="38"/>
      <x:c r="D218" s="39"/>
      <x:c r="E218" s="48" t="b">
        <x:v>0</x:v>
      </x:c>
      <x:c r="F218" s="38" t="str"/>
      <x:c r="G218" s="35"/>
      <x:c r="H218" s="35"/>
      <x:c r="I218" s="35"/>
    </x:row>
    <x:row r="219">
      <x:c r="A219" s="38" t="str"/>
      <x:c r="B219" s="38" t="str"/>
      <x:c r="C219" s="38"/>
      <x:c r="D219" s="39"/>
      <x:c r="E219" s="48" t="b">
        <x:v>0</x:v>
      </x:c>
      <x:c r="F219" s="38" t="str"/>
      <x:c r="G219" s="35"/>
      <x:c r="H219" s="35"/>
      <x:c r="I219" s="35"/>
    </x:row>
    <x:row r="220">
      <x:c r="A220" s="38" t="str"/>
      <x:c r="B220" s="38" t="str"/>
      <x:c r="C220" s="38"/>
      <x:c r="D220" s="39"/>
      <x:c r="E220" s="48" t="b">
        <x:v>0</x:v>
      </x:c>
      <x:c r="F220" s="38" t="str"/>
      <x:c r="G220" s="35"/>
      <x:c r="H220" s="35"/>
      <x:c r="I220" s="35"/>
    </x:row>
    <x:row r="221">
      <x:c r="A221" s="38" t="str"/>
      <x:c r="B221" s="38" t="str"/>
      <x:c r="C221" s="38"/>
      <x:c r="D221" s="39"/>
      <x:c r="E221" s="48" t="b">
        <x:v>0</x:v>
      </x:c>
      <x:c r="F221" s="38" t="str"/>
      <x:c r="G221" s="35"/>
      <x:c r="H221" s="35"/>
      <x:c r="I221" s="35"/>
    </x:row>
    <x:row r="222">
      <x:c r="A222" s="38" t="str"/>
      <x:c r="B222" s="38" t="str"/>
      <x:c r="C222" s="38"/>
      <x:c r="D222" s="39"/>
      <x:c r="E222" s="48" t="b">
        <x:v>0</x:v>
      </x:c>
      <x:c r="F222" s="38" t="str"/>
      <x:c r="G222" s="35"/>
      <x:c r="H222" s="35"/>
      <x:c r="I222" s="35"/>
    </x:row>
    <x:row r="223">
      <x:c r="A223" s="38" t="str"/>
      <x:c r="B223" s="38" t="str"/>
      <x:c r="C223" s="38"/>
      <x:c r="D223" s="39"/>
      <x:c r="E223" s="48" t="b">
        <x:v>0</x:v>
      </x:c>
      <x:c r="F223" s="38" t="str"/>
      <x:c r="G223" s="35"/>
      <x:c r="H223" s="35"/>
      <x:c r="I223" s="35"/>
    </x:row>
    <x:row r="224">
      <x:c r="A224" s="38" t="str"/>
      <x:c r="B224" s="38" t="str"/>
      <x:c r="C224" s="38"/>
      <x:c r="D224" s="39"/>
      <x:c r="E224" s="48" t="b">
        <x:v>0</x:v>
      </x:c>
      <x:c r="F224" s="38" t="str"/>
      <x:c r="G224" s="35"/>
      <x:c r="H224" s="35"/>
      <x:c r="I224" s="35"/>
    </x:row>
    <x:row r="225">
      <x:c r="A225" s="38" t="str"/>
      <x:c r="B225" s="38" t="str"/>
      <x:c r="C225" s="38"/>
      <x:c r="D225" s="39"/>
      <x:c r="E225" s="48" t="b">
        <x:v>0</x:v>
      </x:c>
      <x:c r="F225" s="38" t="str"/>
      <x:c r="G225" s="35"/>
      <x:c r="H225" s="35"/>
      <x:c r="I225" s="35"/>
    </x:row>
    <x:row r="226">
      <x:c r="A226" s="38" t="str"/>
      <x:c r="B226" s="38" t="str"/>
      <x:c r="C226" s="38"/>
      <x:c r="D226" s="39"/>
      <x:c r="E226" s="48" t="b">
        <x:v>0</x:v>
      </x:c>
      <x:c r="F226" s="38" t="str"/>
      <x:c r="G226" s="35"/>
      <x:c r="H226" s="35"/>
      <x:c r="I226" s="35"/>
    </x:row>
    <x:row r="227">
      <x:c r="A227" s="38" t="str"/>
      <x:c r="B227" s="38" t="str"/>
      <x:c r="C227" s="38"/>
      <x:c r="D227" s="39"/>
      <x:c r="E227" s="48" t="b">
        <x:v>0</x:v>
      </x:c>
      <x:c r="F227" s="38" t="str"/>
      <x:c r="G227" s="35"/>
      <x:c r="H227" s="35"/>
      <x:c r="I227" s="35"/>
    </x:row>
    <x:row r="228">
      <x:c r="A228" s="38" t="str"/>
      <x:c r="B228" s="38" t="str"/>
      <x:c r="C228" s="38"/>
      <x:c r="D228" s="39"/>
      <x:c r="E228" s="48" t="b">
        <x:v>0</x:v>
      </x:c>
      <x:c r="F228" s="38" t="str"/>
      <x:c r="G228" s="35"/>
      <x:c r="H228" s="35"/>
      <x:c r="I228" s="35"/>
    </x:row>
    <x:row r="229">
      <x:c r="A229" s="38" t="str"/>
      <x:c r="B229" s="38" t="str"/>
      <x:c r="C229" s="38"/>
      <x:c r="D229" s="39"/>
      <x:c r="E229" s="48" t="b">
        <x:v>0</x:v>
      </x:c>
      <x:c r="F229" s="38" t="str"/>
      <x:c r="G229" s="35"/>
      <x:c r="H229" s="35"/>
      <x:c r="I229" s="35"/>
    </x:row>
    <x:row r="230">
      <x:c r="A230" s="38" t="str"/>
      <x:c r="B230" s="38" t="str"/>
      <x:c r="C230" s="38"/>
      <x:c r="D230" s="39"/>
      <x:c r="E230" s="48" t="b">
        <x:v>0</x:v>
      </x:c>
      <x:c r="F230" s="38" t="str"/>
      <x:c r="G230" s="35"/>
      <x:c r="H230" s="35"/>
      <x:c r="I230" s="35"/>
    </x:row>
    <x:row r="231">
      <x:c r="A231" s="38" t="str"/>
      <x:c r="B231" s="38" t="str"/>
      <x:c r="C231" s="38"/>
      <x:c r="D231" s="39"/>
      <x:c r="E231" s="48" t="b">
        <x:v>0</x:v>
      </x:c>
      <x:c r="F231" s="38" t="str"/>
      <x:c r="G231" s="35"/>
      <x:c r="H231" s="35"/>
      <x:c r="I231" s="35"/>
    </x:row>
    <x:row r="232">
      <x:c r="A232" s="38" t="str"/>
      <x:c r="B232" s="38" t="str"/>
      <x:c r="C232" s="38"/>
      <x:c r="D232" s="39"/>
      <x:c r="E232" s="48" t="b">
        <x:v>0</x:v>
      </x:c>
      <x:c r="F232" s="38" t="str"/>
      <x:c r="G232" s="35"/>
      <x:c r="H232" s="35"/>
      <x:c r="I232" s="35"/>
    </x:row>
    <x:row r="233">
      <x:c r="A233" s="38" t="str"/>
      <x:c r="B233" s="38" t="str"/>
      <x:c r="C233" s="38"/>
      <x:c r="D233" s="39"/>
      <x:c r="E233" s="48" t="b">
        <x:v>0</x:v>
      </x:c>
      <x:c r="F233" s="38" t="str"/>
      <x:c r="G233" s="35"/>
      <x:c r="H233" s="35"/>
      <x:c r="I233" s="35"/>
    </x:row>
    <x:row r="234">
      <x:c r="A234" s="38" t="str"/>
      <x:c r="B234" s="38" t="str"/>
      <x:c r="C234" s="38"/>
      <x:c r="D234" s="39"/>
      <x:c r="E234" s="48" t="b">
        <x:v>0</x:v>
      </x:c>
      <x:c r="F234" s="38" t="str"/>
      <x:c r="G234" s="35"/>
      <x:c r="H234" s="35"/>
      <x:c r="I234" s="35"/>
    </x:row>
    <x:row r="235">
      <x:c r="A235" s="38" t="str"/>
      <x:c r="B235" s="38" t="str"/>
      <x:c r="C235" s="38"/>
      <x:c r="D235" s="39"/>
      <x:c r="E235" s="48" t="b">
        <x:v>0</x:v>
      </x:c>
      <x:c r="F235" s="38" t="str"/>
      <x:c r="G235" s="35"/>
      <x:c r="H235" s="35"/>
      <x:c r="I235" s="35"/>
    </x:row>
    <x:row r="236">
      <x:c r="A236" s="38" t="str"/>
      <x:c r="B236" s="38" t="str"/>
      <x:c r="C236" s="38"/>
      <x:c r="D236" s="39"/>
      <x:c r="E236" s="48" t="b">
        <x:v>0</x:v>
      </x:c>
      <x:c r="F236" s="38" t="str"/>
      <x:c r="G236" s="35"/>
      <x:c r="H236" s="35"/>
      <x:c r="I236" s="35"/>
    </x:row>
    <x:row r="237">
      <x:c r="A237" s="38" t="str"/>
      <x:c r="B237" s="38" t="str"/>
      <x:c r="C237" s="38"/>
      <x:c r="D237" s="39"/>
      <x:c r="E237" s="48" t="b">
        <x:v>0</x:v>
      </x:c>
      <x:c r="F237" s="38" t="str"/>
      <x:c r="G237" s="35"/>
      <x:c r="H237" s="35"/>
      <x:c r="I237" s="35"/>
    </x:row>
    <x:row r="238">
      <x:c r="A238" s="38" t="str"/>
      <x:c r="B238" s="38" t="str"/>
      <x:c r="C238" s="38"/>
      <x:c r="D238" s="39"/>
      <x:c r="E238" s="48" t="b">
        <x:v>0</x:v>
      </x:c>
      <x:c r="F238" s="38" t="str"/>
      <x:c r="G238" s="35"/>
      <x:c r="H238" s="35"/>
      <x:c r="I238" s="35"/>
    </x:row>
    <x:row r="239">
      <x:c r="A239" s="38" t="str"/>
      <x:c r="B239" s="38" t="str"/>
      <x:c r="C239" s="38"/>
      <x:c r="D239" s="39"/>
      <x:c r="E239" s="48" t="b">
        <x:v>0</x:v>
      </x:c>
      <x:c r="F239" s="38" t="str"/>
      <x:c r="G239" s="35"/>
      <x:c r="H239" s="35"/>
      <x:c r="I239" s="35"/>
    </x:row>
    <x:row r="240">
      <x:c r="A240" s="38" t="str"/>
      <x:c r="B240" s="38" t="str"/>
      <x:c r="C240" s="38"/>
      <x:c r="D240" s="39"/>
      <x:c r="E240" s="48" t="b">
        <x:v>0</x:v>
      </x:c>
      <x:c r="F240" s="38" t="str"/>
      <x:c r="G240" s="35"/>
      <x:c r="H240" s="35"/>
      <x:c r="I240" s="35"/>
    </x:row>
    <x:row r="241">
      <x:c r="A241" s="38" t="str"/>
      <x:c r="B241" s="38" t="str"/>
      <x:c r="C241" s="38"/>
      <x:c r="D241" s="39"/>
      <x:c r="E241" s="48" t="b">
        <x:v>0</x:v>
      </x:c>
      <x:c r="F241" s="38" t="str"/>
      <x:c r="G241" s="35"/>
      <x:c r="H241" s="35"/>
      <x:c r="I241" s="35"/>
    </x:row>
    <x:row r="242">
      <x:c r="A242" s="38" t="str"/>
      <x:c r="B242" s="38" t="str"/>
      <x:c r="C242" s="38"/>
      <x:c r="D242" s="39"/>
      <x:c r="E242" s="48" t="b">
        <x:v>0</x:v>
      </x:c>
      <x:c r="F242" s="38" t="str"/>
      <x:c r="G242" s="35"/>
      <x:c r="H242" s="35"/>
      <x:c r="I242" s="35"/>
    </x:row>
    <x:row r="243">
      <x:c r="A243" s="38" t="str"/>
      <x:c r="B243" s="38" t="str"/>
      <x:c r="C243" s="38"/>
      <x:c r="D243" s="39"/>
      <x:c r="E243" s="48" t="b">
        <x:v>0</x:v>
      </x:c>
      <x:c r="F243" s="38" t="str"/>
      <x:c r="G243" s="35"/>
      <x:c r="H243" s="35"/>
      <x:c r="I243" s="35"/>
    </x:row>
    <x:row r="244">
      <x:c r="A244" s="38" t="str"/>
      <x:c r="B244" s="38" t="str"/>
      <x:c r="C244" s="38"/>
      <x:c r="D244" s="39"/>
      <x:c r="E244" s="48" t="b">
        <x:v>0</x:v>
      </x:c>
      <x:c r="F244" s="38" t="str"/>
      <x:c r="G244" s="35"/>
      <x:c r="H244" s="35"/>
      <x:c r="I244" s="35"/>
    </x:row>
    <x:row r="245">
      <x:c r="A245" s="38" t="str"/>
      <x:c r="B245" s="38" t="str"/>
      <x:c r="C245" s="38"/>
      <x:c r="D245" s="39"/>
      <x:c r="E245" s="48" t="b">
        <x:v>0</x:v>
      </x:c>
      <x:c r="F245" s="38" t="str"/>
      <x:c r="G245" s="35"/>
      <x:c r="H245" s="35"/>
      <x:c r="I245" s="35"/>
    </x:row>
    <x:row r="246">
      <x:c r="A246" s="38" t="str"/>
      <x:c r="B246" s="38" t="str"/>
      <x:c r="C246" s="38"/>
      <x:c r="D246" s="39"/>
      <x:c r="E246" s="48" t="b">
        <x:v>0</x:v>
      </x:c>
      <x:c r="F246" s="38" t="str"/>
      <x:c r="G246" s="35"/>
      <x:c r="H246" s="35"/>
      <x:c r="I246" s="35"/>
    </x:row>
    <x:row r="247">
      <x:c r="A247" s="38" t="str"/>
      <x:c r="B247" s="38" t="str"/>
      <x:c r="C247" s="38"/>
      <x:c r="D247" s="39"/>
      <x:c r="E247" s="48" t="b">
        <x:v>0</x:v>
      </x:c>
      <x:c r="F247" s="38" t="str"/>
      <x:c r="G247" s="35"/>
      <x:c r="H247" s="35"/>
      <x:c r="I247" s="35"/>
    </x:row>
    <x:row r="248">
      <x:c r="A248" s="38" t="str"/>
      <x:c r="B248" s="38" t="str"/>
      <x:c r="C248" s="38"/>
      <x:c r="D248" s="39"/>
      <x:c r="E248" s="48" t="b">
        <x:v>0</x:v>
      </x:c>
      <x:c r="F248" s="38" t="str"/>
      <x:c r="G248" s="35"/>
      <x:c r="H248" s="35"/>
      <x:c r="I248" s="35"/>
    </x:row>
    <x:row r="249">
      <x:c r="A249" s="38" t="str"/>
      <x:c r="B249" s="38" t="str"/>
      <x:c r="C249" s="38"/>
      <x:c r="D249" s="39"/>
      <x:c r="E249" s="48" t="b">
        <x:v>0</x:v>
      </x:c>
      <x:c r="F249" s="38" t="str"/>
      <x:c r="G249" s="35"/>
      <x:c r="H249" s="35"/>
      <x:c r="I249" s="35"/>
    </x:row>
    <x:row r="250">
      <x:c r="A250" s="38" t="str"/>
      <x:c r="B250" s="38" t="str"/>
      <x:c r="C250" s="38"/>
      <x:c r="D250" s="39"/>
      <x:c r="E250" s="48" t="b">
        <x:v>0</x:v>
      </x:c>
      <x:c r="F250" s="38" t="str"/>
      <x:c r="G250" s="35"/>
      <x:c r="H250" s="35"/>
      <x:c r="I250" s="35"/>
    </x:row>
    <x:row r="251">
      <x:c r="A251" s="38" t="str"/>
      <x:c r="B251" s="38" t="str"/>
      <x:c r="C251" s="38"/>
      <x:c r="D251" s="39"/>
      <x:c r="E251" s="48" t="b">
        <x:v>0</x:v>
      </x:c>
      <x:c r="F251" s="38" t="str"/>
      <x:c r="G251" s="35"/>
      <x:c r="H251" s="35"/>
      <x:c r="I251" s="35"/>
    </x:row>
    <x:row r="252">
      <x:c r="A252" s="38" t="str"/>
      <x:c r="B252" s="38" t="str"/>
      <x:c r="C252" s="38"/>
      <x:c r="D252" s="39"/>
      <x:c r="E252" s="48" t="b">
        <x:v>0</x:v>
      </x:c>
      <x:c r="F252" s="38" t="str"/>
      <x:c r="G252" s="35"/>
      <x:c r="H252" s="35"/>
      <x:c r="I252" s="35"/>
    </x:row>
    <x:row r="253">
      <x:c r="A253" s="38" t="str"/>
      <x:c r="B253" s="38" t="str"/>
      <x:c r="C253" s="38"/>
      <x:c r="D253" s="39"/>
      <x:c r="E253" s="48" t="b">
        <x:v>0</x:v>
      </x:c>
      <x:c r="F253" s="38" t="str"/>
      <x:c r="G253" s="35"/>
      <x:c r="H253" s="35"/>
      <x:c r="I253" s="35"/>
    </x:row>
    <x:row r="254">
      <x:c r="A254" s="38" t="str"/>
      <x:c r="B254" s="38" t="str"/>
      <x:c r="C254" s="38"/>
      <x:c r="D254" s="39"/>
      <x:c r="E254" s="48" t="b">
        <x:v>0</x:v>
      </x:c>
      <x:c r="F254" s="38" t="str"/>
      <x:c r="G254" s="35"/>
      <x:c r="H254" s="35"/>
      <x:c r="I254" s="35"/>
    </x:row>
    <x:row r="255">
      <x:c r="A255" s="38" t="str"/>
      <x:c r="B255" s="38" t="str"/>
      <x:c r="C255" s="38"/>
      <x:c r="D255" s="39"/>
      <x:c r="E255" s="48" t="b">
        <x:v>0</x:v>
      </x:c>
      <x:c r="F255" s="38" t="str"/>
      <x:c r="G255" s="35"/>
      <x:c r="H255" s="35"/>
      <x:c r="I255" s="35"/>
    </x:row>
    <x:row r="256">
      <x:c r="A256" s="38" t="str"/>
      <x:c r="B256" s="38" t="str"/>
      <x:c r="C256" s="38"/>
      <x:c r="D256" s="39"/>
      <x:c r="E256" s="48" t="b">
        <x:v>0</x:v>
      </x:c>
      <x:c r="F256" s="38" t="str"/>
      <x:c r="G256" s="35"/>
      <x:c r="H256" s="35"/>
      <x:c r="I256" s="35"/>
    </x:row>
    <x:row r="257">
      <x:c r="A257" s="38" t="str"/>
      <x:c r="B257" s="38" t="str"/>
      <x:c r="C257" s="38"/>
      <x:c r="D257" s="39"/>
      <x:c r="E257" s="48" t="b">
        <x:v>0</x:v>
      </x:c>
      <x:c r="F257" s="38" t="str"/>
      <x:c r="G257" s="35"/>
      <x:c r="H257" s="35"/>
      <x:c r="I257" s="35"/>
    </x:row>
    <x:row r="258">
      <x:c r="A258" s="38" t="str"/>
      <x:c r="B258" s="38" t="str"/>
      <x:c r="C258" s="38"/>
      <x:c r="D258" s="39"/>
      <x:c r="E258" s="48" t="b">
        <x:v>0</x:v>
      </x:c>
      <x:c r="F258" s="38" t="str"/>
      <x:c r="G258" s="35"/>
      <x:c r="H258" s="35"/>
      <x:c r="I258" s="35"/>
    </x:row>
    <x:row r="259">
      <x:c r="A259" s="38" t="str"/>
      <x:c r="B259" s="38" t="str"/>
      <x:c r="C259" s="38"/>
      <x:c r="D259" s="39"/>
      <x:c r="E259" s="48" t="b">
        <x:v>0</x:v>
      </x:c>
      <x:c r="F259" s="38" t="str"/>
      <x:c r="G259" s="35"/>
      <x:c r="H259" s="35"/>
      <x:c r="I259" s="35"/>
    </x:row>
    <x:row r="260">
      <x:c r="A260" s="38" t="str"/>
      <x:c r="B260" s="38" t="str"/>
      <x:c r="C260" s="38"/>
      <x:c r="D260" s="39"/>
      <x:c r="E260" s="48" t="b">
        <x:v>0</x:v>
      </x:c>
      <x:c r="F260" s="38" t="str"/>
      <x:c r="G260" s="35"/>
      <x:c r="H260" s="35"/>
      <x:c r="I260" s="35"/>
    </x:row>
    <x:row r="261">
      <x:c r="A261" s="38" t="str"/>
      <x:c r="B261" s="38" t="str"/>
      <x:c r="C261" s="38"/>
      <x:c r="D261" s="39"/>
      <x:c r="E261" s="48" t="b">
        <x:v>0</x:v>
      </x:c>
      <x:c r="F261" s="38" t="str"/>
      <x:c r="G261" s="35"/>
      <x:c r="H261" s="35"/>
      <x:c r="I261" s="35"/>
    </x:row>
    <x:row r="262">
      <x:c r="A262" s="38" t="str"/>
      <x:c r="B262" s="38" t="str"/>
      <x:c r="C262" s="38"/>
      <x:c r="D262" s="39"/>
      <x:c r="E262" s="48" t="b">
        <x:v>0</x:v>
      </x:c>
      <x:c r="F262" s="38" t="str"/>
      <x:c r="G262" s="35"/>
      <x:c r="H262" s="35"/>
      <x:c r="I262" s="35"/>
    </x:row>
    <x:row r="263">
      <x:c r="A263" s="38" t="str"/>
      <x:c r="B263" s="38" t="str"/>
      <x:c r="C263" s="38"/>
      <x:c r="D263" s="39"/>
      <x:c r="E263" s="48" t="b">
        <x:v>0</x:v>
      </x:c>
      <x:c r="F263" s="38" t="str"/>
      <x:c r="G263" s="35"/>
      <x:c r="H263" s="35"/>
      <x:c r="I263" s="35"/>
    </x:row>
    <x:row r="264">
      <x:c r="A264" s="38" t="str"/>
      <x:c r="B264" s="38" t="str"/>
      <x:c r="C264" s="38"/>
      <x:c r="D264" s="39"/>
      <x:c r="E264" s="48" t="b">
        <x:v>0</x:v>
      </x:c>
      <x:c r="F264" s="38" t="str"/>
      <x:c r="G264" s="35"/>
      <x:c r="H264" s="35"/>
      <x:c r="I264" s="35"/>
    </x:row>
    <x:row r="265">
      <x:c r="A265" s="38" t="str"/>
      <x:c r="B265" s="38" t="str"/>
      <x:c r="C265" s="38"/>
      <x:c r="D265" s="39"/>
      <x:c r="E265" s="48" t="b">
        <x:v>0</x:v>
      </x:c>
      <x:c r="F265" s="38" t="str"/>
      <x:c r="G265" s="35"/>
      <x:c r="H265" s="35"/>
      <x:c r="I265" s="35"/>
    </x:row>
    <x:row r="266">
      <x:c r="A266" s="38" t="str"/>
      <x:c r="B266" s="38" t="str"/>
      <x:c r="C266" s="38"/>
      <x:c r="D266" s="39"/>
      <x:c r="E266" s="48" t="b">
        <x:v>0</x:v>
      </x:c>
      <x:c r="F266" s="38" t="str"/>
      <x:c r="G266" s="35"/>
      <x:c r="H266" s="35"/>
      <x:c r="I266" s="35"/>
    </x:row>
    <x:row r="267">
      <x:c r="A267" s="38" t="str"/>
      <x:c r="B267" s="38" t="str"/>
      <x:c r="C267" s="38"/>
      <x:c r="D267" s="39"/>
      <x:c r="E267" s="48" t="b">
        <x:v>0</x:v>
      </x:c>
      <x:c r="F267" s="38" t="str"/>
      <x:c r="G267" s="35"/>
      <x:c r="H267" s="35"/>
      <x:c r="I267" s="35"/>
    </x:row>
    <x:row r="268">
      <x:c r="A268" s="38" t="str"/>
      <x:c r="B268" s="38" t="str"/>
      <x:c r="C268" s="38"/>
      <x:c r="D268" s="39"/>
      <x:c r="E268" s="48" t="b">
        <x:v>0</x:v>
      </x:c>
      <x:c r="F268" s="38" t="str"/>
      <x:c r="G268" s="35"/>
      <x:c r="H268" s="35"/>
      <x:c r="I268" s="35"/>
    </x:row>
    <x:row r="269">
      <x:c r="A269" s="38" t="str"/>
      <x:c r="B269" s="38" t="str"/>
      <x:c r="C269" s="38"/>
      <x:c r="D269" s="39"/>
      <x:c r="E269" s="48" t="b">
        <x:v>0</x:v>
      </x:c>
      <x:c r="F269" s="38" t="str"/>
      <x:c r="G269" s="35"/>
      <x:c r="H269" s="35"/>
      <x:c r="I269" s="35"/>
    </x:row>
    <x:row r="270">
      <x:c r="A270" s="38" t="str"/>
      <x:c r="B270" s="38" t="str"/>
      <x:c r="C270" s="38"/>
      <x:c r="D270" s="39"/>
      <x:c r="E270" s="48" t="b">
        <x:v>0</x:v>
      </x:c>
      <x:c r="F270" s="38" t="str"/>
      <x:c r="G270" s="35"/>
      <x:c r="H270" s="35"/>
      <x:c r="I270" s="35"/>
    </x:row>
    <x:row r="271">
      <x:c r="A271" s="38" t="str"/>
      <x:c r="B271" s="38" t="str"/>
      <x:c r="C271" s="38"/>
      <x:c r="D271" s="39"/>
      <x:c r="E271" s="48" t="b">
        <x:v>0</x:v>
      </x:c>
      <x:c r="F271" s="38" t="str"/>
      <x:c r="G271" s="35"/>
      <x:c r="H271" s="35"/>
      <x:c r="I271" s="35"/>
    </x:row>
    <x:row r="272">
      <x:c r="A272" s="38" t="str"/>
      <x:c r="B272" s="38" t="str"/>
      <x:c r="C272" s="38"/>
      <x:c r="D272" s="39"/>
      <x:c r="E272" s="48" t="b">
        <x:v>0</x:v>
      </x:c>
      <x:c r="F272" s="38" t="str"/>
      <x:c r="G272" s="35"/>
      <x:c r="H272" s="35"/>
      <x:c r="I272" s="35"/>
    </x:row>
    <x:row r="273">
      <x:c r="A273" s="38" t="str"/>
      <x:c r="B273" s="38" t="str"/>
      <x:c r="C273" s="38"/>
      <x:c r="D273" s="39"/>
      <x:c r="E273" s="48" t="b">
        <x:v>0</x:v>
      </x:c>
      <x:c r="F273" s="38" t="str"/>
      <x:c r="G273" s="35"/>
      <x:c r="H273" s="35"/>
      <x:c r="I273" s="35"/>
    </x:row>
    <x:row r="274">
      <x:c r="A274" s="38" t="str"/>
      <x:c r="B274" s="38" t="str"/>
      <x:c r="C274" s="38"/>
      <x:c r="D274" s="39"/>
      <x:c r="E274" s="48" t="b">
        <x:v>0</x:v>
      </x:c>
      <x:c r="F274" s="38" t="str"/>
      <x:c r="G274" s="35"/>
      <x:c r="H274" s="35"/>
      <x:c r="I274" s="35"/>
    </x:row>
    <x:row r="275">
      <x:c r="A275" s="38" t="str"/>
      <x:c r="B275" s="38" t="str"/>
      <x:c r="C275" s="38"/>
      <x:c r="D275" s="39"/>
      <x:c r="E275" s="48" t="b">
        <x:v>0</x:v>
      </x:c>
      <x:c r="F275" s="38" t="str"/>
      <x:c r="G275" s="35"/>
      <x:c r="H275" s="35"/>
      <x:c r="I275" s="35"/>
    </x:row>
    <x:row r="276">
      <x:c r="A276" s="38" t="str"/>
      <x:c r="B276" s="38" t="str"/>
      <x:c r="C276" s="38"/>
      <x:c r="D276" s="39"/>
      <x:c r="E276" s="48" t="b">
        <x:v>0</x:v>
      </x:c>
      <x:c r="F276" s="38" t="str"/>
      <x:c r="G276" s="35"/>
      <x:c r="H276" s="35"/>
      <x:c r="I276" s="35"/>
    </x:row>
    <x:row r="277">
      <x:c r="A277" s="38" t="str"/>
      <x:c r="B277" s="38" t="str"/>
      <x:c r="C277" s="38"/>
      <x:c r="D277" s="39"/>
      <x:c r="E277" s="48" t="b">
        <x:v>0</x:v>
      </x:c>
      <x:c r="F277" s="38" t="str"/>
      <x:c r="G277" s="35"/>
      <x:c r="H277" s="35"/>
      <x:c r="I277" s="35"/>
    </x:row>
    <x:row r="278">
      <x:c r="A278" s="38" t="str"/>
      <x:c r="B278" s="38" t="str"/>
      <x:c r="C278" s="38"/>
      <x:c r="D278" s="39"/>
      <x:c r="E278" s="48" t="b">
        <x:v>0</x:v>
      </x:c>
      <x:c r="F278" s="38" t="str"/>
      <x:c r="G278" s="35"/>
      <x:c r="H278" s="35"/>
      <x:c r="I278" s="35"/>
    </x:row>
    <x:row r="279">
      <x:c r="A279" s="38" t="str"/>
      <x:c r="B279" s="38" t="str"/>
      <x:c r="C279" s="38"/>
      <x:c r="D279" s="39"/>
      <x:c r="E279" s="48" t="b">
        <x:v>0</x:v>
      </x:c>
      <x:c r="F279" s="38" t="str"/>
      <x:c r="G279" s="35"/>
      <x:c r="H279" s="35"/>
      <x:c r="I279" s="35"/>
    </x:row>
    <x:row r="280">
      <x:c r="A280" s="38" t="str"/>
      <x:c r="B280" s="38" t="str"/>
      <x:c r="C280" s="38"/>
      <x:c r="D280" s="39"/>
      <x:c r="E280" s="48" t="b">
        <x:v>0</x:v>
      </x:c>
      <x:c r="F280" s="38" t="str"/>
      <x:c r="G280" s="35"/>
      <x:c r="H280" s="35"/>
      <x:c r="I280" s="35"/>
    </x:row>
    <x:row r="281">
      <x:c r="A281" s="38" t="str"/>
      <x:c r="B281" s="38" t="str"/>
      <x:c r="C281" s="38"/>
      <x:c r="D281" s="39"/>
      <x:c r="E281" s="48" t="b">
        <x:v>0</x:v>
      </x:c>
      <x:c r="F281" s="38" t="str"/>
      <x:c r="G281" s="35"/>
      <x:c r="H281" s="35"/>
      <x:c r="I281" s="35"/>
    </x:row>
    <x:row r="282">
      <x:c r="A282" s="38" t="str"/>
      <x:c r="B282" s="38" t="str"/>
      <x:c r="C282" s="38"/>
      <x:c r="D282" s="39"/>
      <x:c r="E282" s="48" t="b">
        <x:v>0</x:v>
      </x:c>
      <x:c r="F282" s="38" t="str"/>
      <x:c r="G282" s="35"/>
      <x:c r="H282" s="35"/>
      <x:c r="I282" s="35"/>
    </x:row>
    <x:row r="283">
      <x:c r="A283" s="38" t="str"/>
      <x:c r="B283" s="38" t="str"/>
      <x:c r="C283" s="38"/>
      <x:c r="D283" s="39"/>
      <x:c r="E283" s="48" t="b">
        <x:v>0</x:v>
      </x:c>
      <x:c r="F283" s="38" t="str"/>
      <x:c r="G283" s="35"/>
      <x:c r="H283" s="35"/>
      <x:c r="I283" s="35"/>
    </x:row>
    <x:row r="284">
      <x:c r="A284" s="38" t="str"/>
      <x:c r="B284" s="38" t="str"/>
      <x:c r="C284" s="38"/>
      <x:c r="D284" s="39"/>
      <x:c r="E284" s="48" t="b">
        <x:v>0</x:v>
      </x:c>
      <x:c r="F284" s="38" t="str"/>
      <x:c r="G284" s="35"/>
      <x:c r="H284" s="35"/>
      <x:c r="I284" s="35"/>
    </x:row>
    <x:row r="285">
      <x:c r="A285" s="38" t="str"/>
      <x:c r="B285" s="38" t="str"/>
      <x:c r="C285" s="38"/>
      <x:c r="D285" s="39"/>
      <x:c r="E285" s="48" t="b">
        <x:v>0</x:v>
      </x:c>
      <x:c r="F285" s="38" t="str"/>
      <x:c r="G285" s="35"/>
      <x:c r="H285" s="35"/>
      <x:c r="I285" s="35"/>
    </x:row>
    <x:row r="286">
      <x:c r="A286" s="38" t="str"/>
      <x:c r="B286" s="38" t="str"/>
      <x:c r="C286" s="38"/>
      <x:c r="D286" s="39"/>
      <x:c r="E286" s="48" t="b">
        <x:v>0</x:v>
      </x:c>
      <x:c r="F286" s="38" t="str"/>
      <x:c r="G286" s="35"/>
      <x:c r="H286" s="35"/>
      <x:c r="I286" s="35"/>
    </x:row>
    <x:row r="287">
      <x:c r="A287" s="38" t="str"/>
      <x:c r="B287" s="38" t="str"/>
      <x:c r="C287" s="38"/>
      <x:c r="D287" s="39"/>
      <x:c r="E287" s="48" t="b">
        <x:v>0</x:v>
      </x:c>
      <x:c r="F287" s="38" t="str"/>
      <x:c r="G287" s="35"/>
      <x:c r="H287" s="35"/>
      <x:c r="I287" s="35"/>
    </x:row>
    <x:row r="288">
      <x:c r="A288" s="38" t="str"/>
      <x:c r="B288" s="38" t="str"/>
      <x:c r="C288" s="38"/>
      <x:c r="D288" s="39"/>
      <x:c r="E288" s="48" t="b">
        <x:v>0</x:v>
      </x:c>
      <x:c r="F288" s="38" t="str"/>
      <x:c r="G288" s="35"/>
      <x:c r="H288" s="35"/>
      <x:c r="I288" s="35"/>
    </x:row>
    <x:row r="289">
      <x:c r="A289" s="38" t="str"/>
      <x:c r="B289" s="38" t="str"/>
      <x:c r="C289" s="38"/>
      <x:c r="D289" s="39"/>
      <x:c r="E289" s="48" t="b">
        <x:v>0</x:v>
      </x:c>
      <x:c r="F289" s="38" t="str"/>
      <x:c r="G289" s="35"/>
      <x:c r="H289" s="35"/>
      <x:c r="I289" s="35"/>
    </x:row>
    <x:row r="290">
      <x:c r="A290" s="38" t="str"/>
      <x:c r="B290" s="38" t="str"/>
      <x:c r="C290" s="38"/>
      <x:c r="D290" s="39"/>
      <x:c r="E290" s="48" t="b">
        <x:v>0</x:v>
      </x:c>
      <x:c r="F290" s="38" t="str"/>
      <x:c r="G290" s="35"/>
      <x:c r="H290" s="35"/>
      <x:c r="I290" s="35"/>
    </x:row>
    <x:row r="291">
      <x:c r="A291" s="38" t="str"/>
      <x:c r="B291" s="38" t="str"/>
      <x:c r="C291" s="38"/>
      <x:c r="D291" s="39"/>
      <x:c r="E291" s="48" t="b">
        <x:v>0</x:v>
      </x:c>
      <x:c r="F291" s="38" t="str"/>
      <x:c r="G291" s="35"/>
      <x:c r="H291" s="35"/>
      <x:c r="I291" s="35"/>
    </x:row>
    <x:row r="292">
      <x:c r="A292" s="38" t="str"/>
      <x:c r="B292" s="38" t="str"/>
      <x:c r="C292" s="38"/>
      <x:c r="D292" s="39"/>
      <x:c r="E292" s="48" t="b">
        <x:v>0</x:v>
      </x:c>
      <x:c r="F292" s="38" t="str"/>
      <x:c r="G292" s="35"/>
      <x:c r="H292" s="35"/>
      <x:c r="I292" s="35"/>
    </x:row>
    <x:row r="293">
      <x:c r="A293" s="38" t="str"/>
      <x:c r="B293" s="38" t="str"/>
      <x:c r="C293" s="38"/>
      <x:c r="D293" s="39"/>
      <x:c r="E293" s="48" t="b">
        <x:v>0</x:v>
      </x:c>
      <x:c r="F293" s="38" t="str"/>
      <x:c r="G293" s="35"/>
      <x:c r="H293" s="35"/>
      <x:c r="I293" s="35"/>
    </x:row>
    <x:row r="294">
      <x:c r="A294" s="38" t="str"/>
      <x:c r="B294" s="38" t="str"/>
      <x:c r="C294" s="38"/>
      <x:c r="D294" s="39"/>
      <x:c r="E294" s="48" t="b">
        <x:v>0</x:v>
      </x:c>
      <x:c r="F294" s="38" t="str"/>
      <x:c r="G294" s="35"/>
      <x:c r="H294" s="35"/>
      <x:c r="I294" s="35"/>
    </x:row>
    <x:row r="295">
      <x:c r="A295" s="38" t="str"/>
      <x:c r="B295" s="38" t="str"/>
      <x:c r="C295" s="38"/>
      <x:c r="D295" s="39"/>
      <x:c r="E295" s="48" t="b">
        <x:v>0</x:v>
      </x:c>
      <x:c r="F295" s="38" t="str"/>
      <x:c r="G295" s="35"/>
      <x:c r="H295" s="35"/>
      <x:c r="I295" s="35"/>
    </x:row>
    <x:row r="296">
      <x:c r="A296" s="38" t="str"/>
      <x:c r="B296" s="38" t="str"/>
      <x:c r="C296" s="38"/>
      <x:c r="D296" s="39"/>
      <x:c r="E296" s="48" t="b">
        <x:v>0</x:v>
      </x:c>
      <x:c r="F296" s="38" t="str"/>
      <x:c r="G296" s="35"/>
      <x:c r="H296" s="35"/>
      <x:c r="I296" s="35"/>
    </x:row>
    <x:row r="297">
      <x:c r="A297" s="38" t="str"/>
      <x:c r="B297" s="38" t="str"/>
      <x:c r="C297" s="38"/>
      <x:c r="D297" s="39"/>
      <x:c r="E297" s="48" t="b">
        <x:v>0</x:v>
      </x:c>
      <x:c r="F297" s="38" t="str"/>
      <x:c r="G297" s="35"/>
      <x:c r="H297" s="35"/>
      <x:c r="I297" s="35"/>
    </x:row>
    <x:row r="298">
      <x:c r="A298" s="38" t="str"/>
      <x:c r="B298" s="38" t="str"/>
      <x:c r="C298" s="38"/>
      <x:c r="D298" s="39"/>
      <x:c r="E298" s="48" t="b">
        <x:v>0</x:v>
      </x:c>
      <x:c r="F298" s="38" t="str"/>
      <x:c r="G298" s="35"/>
      <x:c r="H298" s="35"/>
      <x:c r="I298" s="35"/>
    </x:row>
    <x:row r="299">
      <x:c r="A299" s="38" t="str"/>
      <x:c r="B299" s="38" t="str"/>
      <x:c r="C299" s="38"/>
      <x:c r="D299" s="39"/>
      <x:c r="E299" s="48" t="b">
        <x:v>0</x:v>
      </x:c>
      <x:c r="F299" s="38" t="str"/>
      <x:c r="G299" s="35"/>
      <x:c r="H299" s="35"/>
      <x:c r="I299" s="35"/>
    </x:row>
    <x:row r="300">
      <x:c r="A300" s="38" t="str"/>
      <x:c r="B300" s="38" t="str"/>
      <x:c r="C300" s="38"/>
      <x:c r="D300" s="39"/>
      <x:c r="E300" s="48" t="b">
        <x:v>0</x:v>
      </x:c>
      <x:c r="F300" s="38" t="str"/>
      <x:c r="G300" s="35"/>
      <x:c r="H300" s="35"/>
      <x:c r="I300" s="35"/>
    </x:row>
    <x:row r="301">
      <x:c r="A301" s="38" t="str"/>
      <x:c r="B301" s="38" t="str"/>
      <x:c r="C301" s="38"/>
      <x:c r="D301" s="39"/>
      <x:c r="E301" s="48" t="b">
        <x:v>0</x:v>
      </x:c>
      <x:c r="F301" s="38" t="str"/>
      <x:c r="G301" s="35"/>
      <x:c r="H301" s="35"/>
      <x:c r="I301" s="35"/>
    </x:row>
    <x:row r="302">
      <x:c r="A302" s="38" t="str"/>
      <x:c r="B302" s="38" t="str"/>
      <x:c r="C302" s="38"/>
      <x:c r="D302" s="39"/>
      <x:c r="E302" s="48" t="b">
        <x:v>0</x:v>
      </x:c>
      <x:c r="F302" s="38" t="str"/>
      <x:c r="G302" s="35"/>
      <x:c r="H302" s="35"/>
      <x:c r="I302" s="35"/>
    </x:row>
    <x:row r="303">
      <x:c r="A303" s="38" t="str"/>
      <x:c r="B303" s="38" t="str"/>
      <x:c r="C303" s="38"/>
      <x:c r="D303" s="39"/>
      <x:c r="E303" s="48" t="b">
        <x:v>0</x:v>
      </x:c>
      <x:c r="F303" s="38" t="str"/>
      <x:c r="G303" s="35"/>
      <x:c r="H303" s="35"/>
      <x:c r="I303" s="35"/>
    </x:row>
    <x:row r="304">
      <x:c r="A304" s="38" t="str"/>
      <x:c r="B304" s="38" t="str"/>
      <x:c r="C304" s="38"/>
      <x:c r="D304" s="39"/>
      <x:c r="E304" s="48" t="b">
        <x:v>0</x:v>
      </x:c>
      <x:c r="F304" s="38" t="str"/>
      <x:c r="G304" s="35"/>
      <x:c r="H304" s="35"/>
      <x:c r="I304" s="35"/>
    </x:row>
    <x:row r="305">
      <x:c r="A305" s="38" t="str"/>
      <x:c r="B305" s="38" t="str"/>
      <x:c r="C305" s="38"/>
      <x:c r="D305" s="39"/>
      <x:c r="E305" s="48" t="b">
        <x:v>0</x:v>
      </x:c>
      <x:c r="F305" s="38" t="str"/>
      <x:c r="G305" s="35"/>
      <x:c r="H305" s="35"/>
      <x:c r="I305" s="35"/>
    </x:row>
    <x:row r="306">
      <x:c r="A306" s="38" t="str"/>
      <x:c r="B306" s="38" t="str"/>
      <x:c r="C306" s="38"/>
      <x:c r="D306" s="39"/>
      <x:c r="E306" s="48" t="b">
        <x:v>0</x:v>
      </x:c>
      <x:c r="F306" s="38" t="str"/>
      <x:c r="G306" s="35"/>
      <x:c r="H306" s="35"/>
      <x:c r="I306" s="35"/>
    </x:row>
    <x:row r="307">
      <x:c r="A307" s="38" t="str"/>
      <x:c r="B307" s="38" t="str"/>
      <x:c r="C307" s="38"/>
      <x:c r="D307" s="39"/>
      <x:c r="E307" s="48" t="b">
        <x:v>0</x:v>
      </x:c>
      <x:c r="F307" s="38" t="str"/>
      <x:c r="G307" s="35"/>
      <x:c r="H307" s="35"/>
      <x:c r="I307" s="35"/>
    </x:row>
    <x:row r="308">
      <x:c r="A308" s="38" t="str"/>
      <x:c r="B308" s="38" t="str"/>
      <x:c r="C308" s="38"/>
      <x:c r="D308" s="39"/>
      <x:c r="E308" s="48" t="b">
        <x:v>0</x:v>
      </x:c>
      <x:c r="F308" s="38" t="str"/>
      <x:c r="G308" s="35"/>
      <x:c r="H308" s="35"/>
      <x:c r="I308" s="35"/>
    </x:row>
    <x:row r="309">
      <x:c r="A309" s="38" t="str"/>
      <x:c r="B309" s="38" t="str"/>
      <x:c r="C309" s="38"/>
      <x:c r="D309" s="39"/>
      <x:c r="E309" s="48" t="b">
        <x:v>0</x:v>
      </x:c>
      <x:c r="F309" s="38" t="str"/>
      <x:c r="G309" s="35"/>
      <x:c r="H309" s="35"/>
      <x:c r="I309" s="35"/>
    </x:row>
    <x:row r="310">
      <x:c r="A310" s="38" t="str"/>
      <x:c r="B310" s="38" t="str"/>
      <x:c r="C310" s="38"/>
      <x:c r="D310" s="39"/>
      <x:c r="E310" s="48" t="b">
        <x:v>0</x:v>
      </x:c>
      <x:c r="F310" s="38" t="str"/>
      <x:c r="G310" s="35"/>
      <x:c r="H310" s="35"/>
      <x:c r="I310" s="35"/>
    </x:row>
    <x:row r="311">
      <x:c r="A311" s="38" t="str"/>
      <x:c r="B311" s="38" t="str"/>
      <x:c r="C311" s="38"/>
      <x:c r="D311" s="39"/>
      <x:c r="E311" s="48" t="b">
        <x:v>0</x:v>
      </x:c>
      <x:c r="F311" s="38" t="str"/>
      <x:c r="G311" s="35"/>
      <x:c r="H311" s="35"/>
      <x:c r="I311" s="35"/>
    </x:row>
    <x:row r="312">
      <x:c r="A312" s="38" t="str"/>
      <x:c r="B312" s="38" t="str"/>
      <x:c r="C312" s="38"/>
      <x:c r="D312" s="39"/>
      <x:c r="E312" s="48" t="b">
        <x:v>0</x:v>
      </x:c>
      <x:c r="F312" s="38" t="str"/>
      <x:c r="G312" s="35"/>
      <x:c r="H312" s="35"/>
      <x:c r="I312" s="35"/>
    </x:row>
    <x:row r="313">
      <x:c r="A313" s="38" t="str"/>
      <x:c r="B313" s="38" t="str"/>
      <x:c r="C313" s="38"/>
      <x:c r="D313" s="39"/>
      <x:c r="E313" s="48" t="b">
        <x:v>0</x:v>
      </x:c>
      <x:c r="F313" s="38" t="str"/>
      <x:c r="G313" s="35"/>
      <x:c r="H313" s="35"/>
      <x:c r="I313" s="35"/>
    </x:row>
    <x:row r="314">
      <x:c r="A314" s="38" t="str"/>
      <x:c r="B314" s="38" t="str"/>
      <x:c r="C314" s="38"/>
      <x:c r="D314" s="39"/>
      <x:c r="E314" s="48" t="b">
        <x:v>0</x:v>
      </x:c>
      <x:c r="F314" s="38" t="str"/>
      <x:c r="G314" s="35"/>
      <x:c r="H314" s="35"/>
      <x:c r="I314" s="35"/>
    </x:row>
    <x:row r="315">
      <x:c r="A315" s="38" t="str"/>
      <x:c r="B315" s="38" t="str"/>
      <x:c r="C315" s="38"/>
      <x:c r="D315" s="39"/>
      <x:c r="E315" s="48" t="b">
        <x:v>0</x:v>
      </x:c>
      <x:c r="F315" s="38" t="str"/>
      <x:c r="G315" s="35"/>
      <x:c r="H315" s="35"/>
      <x:c r="I315" s="35"/>
    </x:row>
    <x:row r="316">
      <x:c r="A316" s="38" t="str"/>
      <x:c r="B316" s="38" t="str"/>
      <x:c r="C316" s="38"/>
      <x:c r="D316" s="39"/>
      <x:c r="E316" s="48" t="b">
        <x:v>0</x:v>
      </x:c>
      <x:c r="F316" s="38" t="str"/>
      <x:c r="G316" s="35"/>
      <x:c r="H316" s="35"/>
      <x:c r="I316" s="35"/>
    </x:row>
    <x:row r="317">
      <x:c r="A317" s="38" t="str"/>
      <x:c r="B317" s="38" t="str"/>
      <x:c r="C317" s="38"/>
      <x:c r="D317" s="39"/>
      <x:c r="E317" s="48" t="b">
        <x:v>0</x:v>
      </x:c>
      <x:c r="F317" s="38" t="str"/>
      <x:c r="G317" s="35"/>
      <x:c r="H317" s="35"/>
      <x:c r="I317" s="35"/>
    </x:row>
    <x:row r="318">
      <x:c r="A318" s="38" t="str"/>
      <x:c r="B318" s="38" t="str"/>
      <x:c r="C318" s="38"/>
      <x:c r="D318" s="39"/>
      <x:c r="E318" s="48" t="b">
        <x:v>0</x:v>
      </x:c>
      <x:c r="F318" s="38" t="str"/>
      <x:c r="G318" s="35"/>
      <x:c r="H318" s="35"/>
      <x:c r="I318" s="35"/>
    </x:row>
    <x:row r="319">
      <x:c r="A319" s="38" t="str"/>
      <x:c r="B319" s="38" t="str"/>
      <x:c r="C319" s="38"/>
      <x:c r="D319" s="39"/>
      <x:c r="E319" s="48" t="b">
        <x:v>0</x:v>
      </x:c>
      <x:c r="F319" s="38" t="str"/>
      <x:c r="G319" s="35"/>
      <x:c r="H319" s="35"/>
      <x:c r="I319" s="35"/>
    </x:row>
    <x:row r="320">
      <x:c r="A320" s="38" t="str"/>
      <x:c r="B320" s="38" t="str"/>
      <x:c r="C320" s="38"/>
      <x:c r="D320" s="39"/>
      <x:c r="E320" s="48" t="b">
        <x:v>0</x:v>
      </x:c>
      <x:c r="F320" s="38" t="str"/>
      <x:c r="G320" s="35"/>
      <x:c r="H320" s="35"/>
      <x:c r="I320" s="35"/>
    </x:row>
    <x:row r="321">
      <x:c r="A321" s="38" t="str"/>
      <x:c r="B321" s="38" t="str"/>
      <x:c r="C321" s="38"/>
      <x:c r="D321" s="39"/>
      <x:c r="E321" s="48" t="b">
        <x:v>0</x:v>
      </x:c>
      <x:c r="F321" s="38" t="str"/>
      <x:c r="G321" s="35"/>
      <x:c r="H321" s="35"/>
      <x:c r="I321" s="35"/>
    </x:row>
    <x:row r="322">
      <x:c r="A322" s="38" t="str"/>
      <x:c r="B322" s="38" t="str"/>
      <x:c r="C322" s="38"/>
      <x:c r="D322" s="39"/>
      <x:c r="E322" s="48" t="b">
        <x:v>0</x:v>
      </x:c>
      <x:c r="F322" s="38" t="str"/>
      <x:c r="G322" s="35"/>
      <x:c r="H322" s="35"/>
      <x:c r="I322" s="35"/>
    </x:row>
    <x:row r="323">
      <x:c r="A323" s="38" t="str"/>
      <x:c r="B323" s="38" t="str"/>
      <x:c r="C323" s="38"/>
      <x:c r="D323" s="39"/>
      <x:c r="E323" s="48" t="b">
        <x:v>0</x:v>
      </x:c>
      <x:c r="F323" s="38" t="str"/>
      <x:c r="G323" s="35"/>
      <x:c r="H323" s="35"/>
      <x:c r="I323" s="35"/>
    </x:row>
    <x:row r="324">
      <x:c r="A324" s="38" t="str"/>
      <x:c r="B324" s="38" t="str"/>
      <x:c r="C324" s="38"/>
      <x:c r="D324" s="39"/>
      <x:c r="E324" s="48" t="b">
        <x:v>0</x:v>
      </x:c>
      <x:c r="F324" s="38" t="str"/>
      <x:c r="G324" s="35"/>
      <x:c r="H324" s="35"/>
      <x:c r="I324" s="35"/>
    </x:row>
    <x:row r="325">
      <x:c r="A325" s="38" t="str"/>
      <x:c r="B325" s="38" t="str"/>
      <x:c r="C325" s="38"/>
      <x:c r="D325" s="39"/>
      <x:c r="E325" s="48" t="b">
        <x:v>0</x:v>
      </x:c>
      <x:c r="F325" s="38" t="str"/>
      <x:c r="G325" s="35"/>
      <x:c r="H325" s="35"/>
      <x:c r="I325" s="35"/>
    </x:row>
    <x:row r="326">
      <x:c r="A326" s="38" t="str"/>
      <x:c r="B326" s="38" t="str"/>
      <x:c r="C326" s="38"/>
      <x:c r="D326" s="39"/>
      <x:c r="E326" s="48" t="b">
        <x:v>0</x:v>
      </x:c>
      <x:c r="F326" s="38" t="str"/>
      <x:c r="G326" s="35"/>
      <x:c r="H326" s="35"/>
      <x:c r="I326" s="35"/>
    </x:row>
    <x:row r="327">
      <x:c r="A327" s="38" t="str"/>
      <x:c r="B327" s="38" t="str"/>
      <x:c r="C327" s="38"/>
      <x:c r="D327" s="39"/>
      <x:c r="E327" s="48" t="b">
        <x:v>0</x:v>
      </x:c>
      <x:c r="F327" s="38" t="str"/>
      <x:c r="G327" s="35"/>
      <x:c r="H327" s="35"/>
      <x:c r="I327" s="35"/>
    </x:row>
    <x:row r="328">
      <x:c r="A328" s="38" t="str"/>
      <x:c r="B328" s="38" t="str"/>
      <x:c r="C328" s="38"/>
      <x:c r="D328" s="39"/>
      <x:c r="E328" s="48" t="b">
        <x:v>0</x:v>
      </x:c>
      <x:c r="F328" s="38" t="str"/>
      <x:c r="G328" s="35"/>
      <x:c r="H328" s="35"/>
      <x:c r="I328" s="35"/>
    </x:row>
    <x:row r="329">
      <x:c r="A329" s="38" t="str"/>
      <x:c r="B329" s="38" t="str"/>
      <x:c r="C329" s="38"/>
      <x:c r="D329" s="39"/>
      <x:c r="E329" s="48" t="b">
        <x:v>0</x:v>
      </x:c>
      <x:c r="F329" s="38" t="str"/>
      <x:c r="G329" s="35"/>
      <x:c r="H329" s="35"/>
      <x:c r="I329" s="35"/>
    </x:row>
    <x:row r="330">
      <x:c r="A330" s="38" t="str"/>
      <x:c r="B330" s="38" t="str"/>
      <x:c r="C330" s="38"/>
      <x:c r="D330" s="39"/>
      <x:c r="E330" s="48" t="b">
        <x:v>0</x:v>
      </x:c>
      <x:c r="F330" s="38" t="str"/>
      <x:c r="G330" s="35"/>
      <x:c r="H330" s="35"/>
      <x:c r="I330" s="35"/>
    </x:row>
    <x:row r="331">
      <x:c r="A331" s="38" t="str"/>
      <x:c r="B331" s="38" t="str"/>
      <x:c r="C331" s="38"/>
      <x:c r="D331" s="39"/>
      <x:c r="E331" s="48" t="b">
        <x:v>0</x:v>
      </x:c>
      <x:c r="F331" s="38" t="str"/>
      <x:c r="G331" s="35"/>
      <x:c r="H331" s="35"/>
      <x:c r="I331" s="35"/>
    </x:row>
    <x:row r="332">
      <x:c r="A332" s="38" t="str"/>
      <x:c r="B332" s="38" t="str"/>
      <x:c r="C332" s="38"/>
      <x:c r="D332" s="39"/>
      <x:c r="E332" s="48" t="b">
        <x:v>0</x:v>
      </x:c>
      <x:c r="F332" s="38" t="str"/>
      <x:c r="G332" s="35"/>
      <x:c r="H332" s="35"/>
      <x:c r="I332" s="35"/>
    </x:row>
    <x:row r="333">
      <x:c r="A333" s="38" t="str"/>
      <x:c r="B333" s="38" t="str"/>
      <x:c r="C333" s="38"/>
      <x:c r="D333" s="39"/>
      <x:c r="E333" s="48" t="b">
        <x:v>0</x:v>
      </x:c>
      <x:c r="F333" s="38" t="str"/>
      <x:c r="G333" s="35"/>
      <x:c r="H333" s="35"/>
      <x:c r="I333" s="35"/>
    </x:row>
    <x:row r="334">
      <x:c r="A334" s="38" t="str"/>
      <x:c r="B334" s="38" t="str"/>
      <x:c r="C334" s="38"/>
      <x:c r="D334" s="39"/>
      <x:c r="E334" s="48" t="b">
        <x:v>0</x:v>
      </x:c>
      <x:c r="F334" s="38" t="str"/>
      <x:c r="G334" s="35"/>
      <x:c r="H334" s="35"/>
      <x:c r="I334" s="35"/>
    </x:row>
    <x:row r="335">
      <x:c r="A335" s="38" t="str"/>
      <x:c r="B335" s="38" t="str"/>
      <x:c r="C335" s="38"/>
      <x:c r="D335" s="39"/>
      <x:c r="E335" s="48" t="b">
        <x:v>0</x:v>
      </x:c>
      <x:c r="F335" s="38" t="str"/>
      <x:c r="G335" s="35"/>
      <x:c r="H335" s="35"/>
      <x:c r="I335" s="35"/>
    </x:row>
    <x:row r="336">
      <x:c r="A336" s="38" t="str"/>
      <x:c r="B336" s="38" t="str"/>
      <x:c r="C336" s="38"/>
      <x:c r="D336" s="39"/>
      <x:c r="E336" s="48" t="b">
        <x:v>0</x:v>
      </x:c>
      <x:c r="F336" s="38" t="str"/>
      <x:c r="G336" s="35"/>
      <x:c r="H336" s="35"/>
      <x:c r="I336" s="35"/>
    </x:row>
    <x:row r="337">
      <x:c r="A337" s="38" t="str"/>
      <x:c r="B337" s="38" t="str"/>
      <x:c r="C337" s="38"/>
      <x:c r="D337" s="39"/>
      <x:c r="E337" s="48" t="b">
        <x:v>0</x:v>
      </x:c>
      <x:c r="F337" s="38" t="str"/>
      <x:c r="G337" s="35"/>
      <x:c r="H337" s="35"/>
      <x:c r="I337" s="35"/>
    </x:row>
    <x:row r="338">
      <x:c r="A338" s="38" t="str"/>
      <x:c r="B338" s="38" t="str"/>
      <x:c r="C338" s="38"/>
      <x:c r="D338" s="39"/>
      <x:c r="E338" s="48" t="b">
        <x:v>0</x:v>
      </x:c>
      <x:c r="F338" s="38" t="str"/>
      <x:c r="G338" s="35"/>
      <x:c r="H338" s="35"/>
      <x:c r="I338" s="35"/>
    </x:row>
    <x:row r="339">
      <x:c r="A339" s="38" t="str"/>
      <x:c r="B339" s="38" t="str"/>
      <x:c r="C339" s="38"/>
      <x:c r="D339" s="39"/>
      <x:c r="E339" s="48" t="b">
        <x:v>0</x:v>
      </x:c>
      <x:c r="F339" s="38" t="str"/>
      <x:c r="G339" s="35"/>
      <x:c r="H339" s="35"/>
      <x:c r="I339" s="35"/>
    </x:row>
    <x:row r="340">
      <x:c r="A340" s="38" t="str"/>
      <x:c r="B340" s="38" t="str"/>
      <x:c r="C340" s="38"/>
      <x:c r="D340" s="39"/>
      <x:c r="E340" s="48" t="b">
        <x:v>0</x:v>
      </x:c>
      <x:c r="F340" s="38" t="str"/>
      <x:c r="G340" s="35"/>
      <x:c r="H340" s="35"/>
      <x:c r="I340" s="35"/>
    </x:row>
    <x:row r="341">
      <x:c r="A341" s="38" t="str"/>
      <x:c r="B341" s="38" t="str"/>
      <x:c r="C341" s="38"/>
      <x:c r="D341" s="39"/>
      <x:c r="E341" s="48" t="b">
        <x:v>0</x:v>
      </x:c>
      <x:c r="F341" s="38" t="str"/>
      <x:c r="G341" s="35"/>
      <x:c r="H341" s="35"/>
      <x:c r="I341" s="35"/>
    </x:row>
    <x:row r="342">
      <x:c r="A342" s="38" t="str"/>
      <x:c r="B342" s="38" t="str"/>
      <x:c r="C342" s="38"/>
      <x:c r="D342" s="39"/>
      <x:c r="E342" s="48" t="b">
        <x:v>0</x:v>
      </x:c>
      <x:c r="F342" s="38" t="str"/>
      <x:c r="G342" s="35"/>
      <x:c r="H342" s="35"/>
      <x:c r="I342" s="35"/>
    </x:row>
    <x:row r="343">
      <x:c r="A343" s="38" t="str"/>
      <x:c r="B343" s="38" t="str"/>
      <x:c r="C343" s="38"/>
      <x:c r="D343" s="39"/>
      <x:c r="E343" s="48" t="b">
        <x:v>0</x:v>
      </x:c>
      <x:c r="F343" s="38" t="str"/>
      <x:c r="G343" s="35"/>
      <x:c r="H343" s="35"/>
      <x:c r="I343" s="35"/>
    </x:row>
    <x:row r="344">
      <x:c r="A344" s="38" t="str"/>
      <x:c r="B344" s="38" t="str"/>
      <x:c r="C344" s="38"/>
      <x:c r="D344" s="39"/>
      <x:c r="E344" s="48" t="b">
        <x:v>0</x:v>
      </x:c>
      <x:c r="F344" s="38" t="str"/>
      <x:c r="G344" s="35"/>
      <x:c r="H344" s="35"/>
      <x:c r="I344" s="35"/>
    </x:row>
    <x:row r="345">
      <x:c r="A345" s="38" t="str"/>
      <x:c r="B345" s="38" t="str"/>
      <x:c r="C345" s="38"/>
      <x:c r="D345" s="39"/>
      <x:c r="E345" s="48" t="b">
        <x:v>0</x:v>
      </x:c>
      <x:c r="F345" s="38" t="str"/>
      <x:c r="G345" s="35"/>
      <x:c r="H345" s="35"/>
      <x:c r="I345" s="35"/>
    </x:row>
    <x:row r="346">
      <x:c r="A346" s="38" t="str"/>
      <x:c r="B346" s="38" t="str"/>
      <x:c r="C346" s="38"/>
      <x:c r="D346" s="39"/>
      <x:c r="E346" s="48" t="b">
        <x:v>0</x:v>
      </x:c>
      <x:c r="F346" s="38" t="str"/>
      <x:c r="G346" s="35"/>
      <x:c r="H346" s="35"/>
      <x:c r="I346" s="35"/>
    </x:row>
    <x:row r="347">
      <x:c r="A347" s="38" t="str"/>
      <x:c r="B347" s="38" t="str"/>
      <x:c r="C347" s="38"/>
      <x:c r="D347" s="39"/>
      <x:c r="E347" s="48" t="b">
        <x:v>0</x:v>
      </x:c>
      <x:c r="F347" s="38" t="str"/>
      <x:c r="G347" s="35"/>
      <x:c r="H347" s="35"/>
      <x:c r="I347" s="35"/>
    </x:row>
    <x:row r="348">
      <x:c r="A348" s="38" t="str"/>
      <x:c r="B348" s="38" t="str"/>
      <x:c r="C348" s="38"/>
      <x:c r="D348" s="39"/>
      <x:c r="E348" s="48" t="b">
        <x:v>0</x:v>
      </x:c>
      <x:c r="F348" s="38" t="str"/>
      <x:c r="G348" s="35"/>
      <x:c r="H348" s="35"/>
      <x:c r="I348" s="35"/>
    </x:row>
    <x:row r="349">
      <x:c r="A349" s="38" t="str"/>
      <x:c r="B349" s="38" t="str"/>
      <x:c r="C349" s="38"/>
      <x:c r="D349" s="39"/>
      <x:c r="E349" s="48" t="b">
        <x:v>0</x:v>
      </x:c>
      <x:c r="F349" s="38" t="str"/>
      <x:c r="G349" s="35"/>
      <x:c r="H349" s="35"/>
      <x:c r="I349" s="35"/>
    </x:row>
    <x:row r="350">
      <x:c r="A350" s="38" t="str"/>
      <x:c r="B350" s="38" t="str"/>
      <x:c r="C350" s="38"/>
      <x:c r="D350" s="39"/>
      <x:c r="E350" s="48" t="b">
        <x:v>0</x:v>
      </x:c>
      <x:c r="F350" s="38" t="str"/>
      <x:c r="G350" s="35"/>
      <x:c r="H350" s="35"/>
      <x:c r="I350" s="35"/>
    </x:row>
    <x:row r="351">
      <x:c r="A351" s="38" t="str"/>
      <x:c r="B351" s="38" t="str"/>
      <x:c r="C351" s="38"/>
      <x:c r="D351" s="39"/>
      <x:c r="E351" s="48" t="b">
        <x:v>0</x:v>
      </x:c>
      <x:c r="F351" s="38" t="str"/>
      <x:c r="G351" s="35"/>
      <x:c r="H351" s="35"/>
      <x:c r="I351" s="35"/>
    </x:row>
    <x:row r="352">
      <x:c r="A352" s="38" t="str"/>
      <x:c r="B352" s="38" t="str"/>
      <x:c r="C352" s="38"/>
      <x:c r="D352" s="39"/>
      <x:c r="E352" s="48" t="b">
        <x:v>0</x:v>
      </x:c>
      <x:c r="F352" s="38" t="str"/>
      <x:c r="G352" s="35"/>
      <x:c r="H352" s="35"/>
      <x:c r="I352" s="35"/>
    </x:row>
    <x:row r="353">
      <x:c r="A353" s="38" t="str"/>
      <x:c r="B353" s="38" t="str"/>
      <x:c r="C353" s="38"/>
      <x:c r="D353" s="39"/>
      <x:c r="E353" s="48" t="b">
        <x:v>0</x:v>
      </x:c>
      <x:c r="F353" s="38" t="str"/>
      <x:c r="G353" s="35"/>
      <x:c r="H353" s="35"/>
      <x:c r="I353" s="35"/>
    </x:row>
    <x:row r="354">
      <x:c r="A354" s="38" t="str"/>
      <x:c r="B354" s="38" t="str"/>
      <x:c r="C354" s="38"/>
      <x:c r="D354" s="39"/>
      <x:c r="E354" s="48" t="b">
        <x:v>0</x:v>
      </x:c>
      <x:c r="F354" s="38" t="str"/>
      <x:c r="G354" s="35"/>
      <x:c r="H354" s="35"/>
      <x:c r="I354" s="35"/>
    </x:row>
    <x:row r="355">
      <x:c r="A355" s="38" t="str"/>
      <x:c r="B355" s="38" t="str"/>
      <x:c r="C355" s="38"/>
      <x:c r="D355" s="39"/>
      <x:c r="E355" s="48" t="b">
        <x:v>0</x:v>
      </x:c>
      <x:c r="F355" s="38" t="str"/>
      <x:c r="G355" s="35"/>
      <x:c r="H355" s="35"/>
      <x:c r="I355" s="35"/>
    </x:row>
    <x:row r="356">
      <x:c r="A356" s="38" t="str"/>
      <x:c r="B356" s="38" t="str"/>
      <x:c r="C356" s="38"/>
      <x:c r="D356" s="39"/>
      <x:c r="E356" s="48" t="b">
        <x:v>0</x:v>
      </x:c>
      <x:c r="F356" s="38" t="str"/>
      <x:c r="G356" s="35"/>
      <x:c r="H356" s="35"/>
      <x:c r="I356" s="35"/>
    </x:row>
    <x:row r="357">
      <x:c r="A357" s="38" t="str"/>
      <x:c r="B357" s="38" t="str"/>
      <x:c r="C357" s="38"/>
      <x:c r="D357" s="39"/>
      <x:c r="E357" s="48" t="b">
        <x:v>0</x:v>
      </x:c>
      <x:c r="F357" s="38" t="str"/>
      <x:c r="G357" s="35"/>
      <x:c r="H357" s="35"/>
      <x:c r="I357" s="35"/>
    </x:row>
    <x:row r="358">
      <x:c r="A358" s="38" t="str"/>
      <x:c r="B358" s="38" t="str"/>
      <x:c r="C358" s="38"/>
      <x:c r="D358" s="39"/>
      <x:c r="E358" s="48" t="b">
        <x:v>0</x:v>
      </x:c>
      <x:c r="F358" s="38" t="str"/>
      <x:c r="G358" s="35"/>
      <x:c r="H358" s="35"/>
      <x:c r="I358" s="35"/>
    </x:row>
    <x:row r="359">
      <x:c r="A359" s="38" t="str"/>
      <x:c r="B359" s="38" t="str"/>
      <x:c r="C359" s="38"/>
      <x:c r="D359" s="39"/>
      <x:c r="E359" s="48" t="b">
        <x:v>0</x:v>
      </x:c>
      <x:c r="F359" s="38" t="str"/>
      <x:c r="G359" s="35"/>
      <x:c r="H359" s="35"/>
      <x:c r="I359" s="35"/>
    </x:row>
    <x:row r="360">
      <x:c r="A360" s="38" t="str"/>
      <x:c r="B360" s="38" t="str"/>
      <x:c r="C360" s="38"/>
      <x:c r="D360" s="39"/>
      <x:c r="E360" s="48" t="b">
        <x:v>0</x:v>
      </x:c>
      <x:c r="F360" s="38" t="str"/>
      <x:c r="G360" s="35"/>
      <x:c r="H360" s="35"/>
      <x:c r="I360" s="35"/>
    </x:row>
    <x:row r="361">
      <x:c r="A361" s="38" t="str"/>
      <x:c r="B361" s="38" t="str"/>
      <x:c r="C361" s="38"/>
      <x:c r="D361" s="39"/>
      <x:c r="E361" s="48" t="b">
        <x:v>0</x:v>
      </x:c>
      <x:c r="F361" s="38" t="str"/>
      <x:c r="G361" s="35"/>
      <x:c r="H361" s="35"/>
      <x:c r="I361" s="35"/>
    </x:row>
    <x:row r="362">
      <x:c r="A362" s="38" t="str"/>
      <x:c r="B362" s="38" t="str"/>
      <x:c r="C362" s="38"/>
      <x:c r="D362" s="39"/>
      <x:c r="E362" s="48" t="b">
        <x:v>0</x:v>
      </x:c>
      <x:c r="F362" s="38" t="str"/>
      <x:c r="G362" s="35"/>
      <x:c r="H362" s="35"/>
      <x:c r="I362" s="35"/>
    </x:row>
    <x:row r="363">
      <x:c r="A363" s="38" t="str"/>
      <x:c r="B363" s="38" t="str"/>
      <x:c r="C363" s="38"/>
      <x:c r="D363" s="39"/>
      <x:c r="E363" s="48" t="b">
        <x:v>0</x:v>
      </x:c>
      <x:c r="F363" s="38" t="str"/>
      <x:c r="G363" s="35"/>
      <x:c r="H363" s="35"/>
      <x:c r="I363" s="35"/>
    </x:row>
    <x:row r="364">
      <x:c r="A364" s="38" t="str"/>
      <x:c r="B364" s="38" t="str"/>
      <x:c r="C364" s="38"/>
      <x:c r="D364" s="39"/>
      <x:c r="E364" s="48" t="b">
        <x:v>0</x:v>
      </x:c>
      <x:c r="F364" s="38" t="str"/>
      <x:c r="G364" s="35"/>
      <x:c r="H364" s="35"/>
      <x:c r="I364" s="35"/>
    </x:row>
    <x:row r="365">
      <x:c r="A365" s="38" t="str"/>
      <x:c r="B365" s="38" t="str"/>
      <x:c r="C365" s="38"/>
      <x:c r="D365" s="39"/>
      <x:c r="E365" s="48" t="b">
        <x:v>0</x:v>
      </x:c>
      <x:c r="F365" s="38" t="str"/>
      <x:c r="G365" s="35"/>
      <x:c r="H365" s="35"/>
      <x:c r="I365" s="35"/>
    </x:row>
    <x:row r="366">
      <x:c r="A366" s="38" t="str"/>
      <x:c r="B366" s="38" t="str"/>
      <x:c r="C366" s="38"/>
      <x:c r="D366" s="39"/>
      <x:c r="E366" s="48" t="b">
        <x:v>0</x:v>
      </x:c>
      <x:c r="F366" s="38" t="str"/>
      <x:c r="G366" s="35"/>
      <x:c r="H366" s="35"/>
      <x:c r="I366" s="35"/>
    </x:row>
    <x:row r="367">
      <x:c r="A367" s="38" t="str"/>
      <x:c r="B367" s="38" t="str"/>
      <x:c r="C367" s="38"/>
      <x:c r="D367" s="39"/>
      <x:c r="E367" s="48" t="b">
        <x:v>0</x:v>
      </x:c>
      <x:c r="F367" s="38" t="str"/>
      <x:c r="G367" s="35"/>
      <x:c r="H367" s="35"/>
      <x:c r="I367" s="35"/>
    </x:row>
    <x:row r="368">
      <x:c r="A368" s="38" t="str"/>
      <x:c r="B368" s="38" t="str"/>
      <x:c r="C368" s="38"/>
      <x:c r="D368" s="39"/>
      <x:c r="E368" s="48" t="b">
        <x:v>0</x:v>
      </x:c>
      <x:c r="F368" s="38" t="str"/>
      <x:c r="G368" s="35"/>
      <x:c r="H368" s="35"/>
      <x:c r="I368" s="35"/>
    </x:row>
    <x:row r="369">
      <x:c r="A369" s="38" t="str"/>
      <x:c r="B369" s="38" t="str"/>
      <x:c r="C369" s="38"/>
      <x:c r="D369" s="39"/>
      <x:c r="E369" s="48" t="b">
        <x:v>0</x:v>
      </x:c>
      <x:c r="F369" s="38" t="str"/>
      <x:c r="G369" s="35"/>
      <x:c r="H369" s="35"/>
      <x:c r="I369" s="35"/>
    </x:row>
    <x:row r="370">
      <x:c r="A370" s="38" t="str"/>
      <x:c r="B370" s="38" t="str"/>
      <x:c r="C370" s="38"/>
      <x:c r="D370" s="39"/>
      <x:c r="E370" s="48" t="b">
        <x:v>0</x:v>
      </x:c>
      <x:c r="F370" s="38" t="str"/>
      <x:c r="G370" s="35"/>
      <x:c r="H370" s="35"/>
      <x:c r="I370" s="35"/>
    </x:row>
    <x:row r="371">
      <x:c r="A371" s="38" t="str"/>
      <x:c r="B371" s="38" t="str"/>
      <x:c r="C371" s="38"/>
      <x:c r="D371" s="39"/>
      <x:c r="E371" s="48" t="b">
        <x:v>0</x:v>
      </x:c>
      <x:c r="F371" s="38" t="str"/>
      <x:c r="G371" s="35"/>
      <x:c r="H371" s="35"/>
      <x:c r="I371" s="35"/>
    </x:row>
    <x:row r="372">
      <x:c r="A372" s="38" t="str"/>
      <x:c r="B372" s="38" t="str"/>
      <x:c r="C372" s="38"/>
      <x:c r="D372" s="39"/>
      <x:c r="E372" s="48" t="b">
        <x:v>0</x:v>
      </x:c>
      <x:c r="F372" s="38" t="str"/>
      <x:c r="G372" s="35"/>
      <x:c r="H372" s="35"/>
      <x:c r="I372" s="35"/>
    </x:row>
    <x:row r="373">
      <x:c r="A373" s="38" t="str"/>
      <x:c r="B373" s="38" t="str"/>
      <x:c r="C373" s="38"/>
      <x:c r="D373" s="39"/>
      <x:c r="E373" s="48" t="b">
        <x:v>0</x:v>
      </x:c>
      <x:c r="F373" s="38" t="str"/>
      <x:c r="G373" s="35"/>
      <x:c r="H373" s="35"/>
      <x:c r="I373" s="35"/>
    </x:row>
    <x:row r="374">
      <x:c r="A374" s="38" t="str"/>
      <x:c r="B374" s="38" t="str"/>
      <x:c r="C374" s="38"/>
      <x:c r="D374" s="39"/>
      <x:c r="E374" s="48" t="b">
        <x:v>0</x:v>
      </x:c>
      <x:c r="F374" s="38" t="str"/>
      <x:c r="G374" s="35"/>
      <x:c r="H374" s="35"/>
      <x:c r="I374" s="35"/>
    </x:row>
    <x:row r="375">
      <x:c r="A375" s="38" t="str"/>
      <x:c r="B375" s="38" t="str"/>
      <x:c r="C375" s="38"/>
      <x:c r="D375" s="39"/>
      <x:c r="E375" s="48" t="b">
        <x:v>0</x:v>
      </x:c>
      <x:c r="F375" s="38" t="str"/>
      <x:c r="G375" s="35"/>
      <x:c r="H375" s="35"/>
      <x:c r="I375" s="35"/>
    </x:row>
    <x:row r="376">
      <x:c r="A376" s="38" t="str"/>
      <x:c r="B376" s="38" t="str"/>
      <x:c r="C376" s="38"/>
      <x:c r="D376" s="39"/>
      <x:c r="E376" s="48" t="b">
        <x:v>0</x:v>
      </x:c>
      <x:c r="F376" s="38" t="str"/>
      <x:c r="G376" s="35"/>
      <x:c r="H376" s="35"/>
      <x:c r="I376" s="35"/>
    </x:row>
    <x:row r="377">
      <x:c r="A377" s="38" t="str"/>
      <x:c r="B377" s="38" t="str"/>
      <x:c r="C377" s="38"/>
      <x:c r="D377" s="39"/>
      <x:c r="E377" s="48" t="b">
        <x:v>0</x:v>
      </x:c>
      <x:c r="F377" s="38" t="str"/>
      <x:c r="G377" s="35"/>
      <x:c r="H377" s="35"/>
      <x:c r="I377" s="35"/>
    </x:row>
    <x:row r="378">
      <x:c r="A378" s="38" t="str"/>
      <x:c r="B378" s="38" t="str"/>
      <x:c r="C378" s="38"/>
      <x:c r="D378" s="39"/>
      <x:c r="E378" s="48" t="b">
        <x:v>0</x:v>
      </x:c>
      <x:c r="F378" s="38" t="str"/>
      <x:c r="G378" s="35"/>
      <x:c r="H378" s="35"/>
      <x:c r="I378" s="35"/>
    </x:row>
    <x:row r="379">
      <x:c r="A379" s="38" t="str"/>
      <x:c r="B379" s="38" t="str"/>
      <x:c r="C379" s="38"/>
      <x:c r="D379" s="39"/>
      <x:c r="E379" s="48" t="b">
        <x:v>0</x:v>
      </x:c>
      <x:c r="F379" s="38" t="str"/>
      <x:c r="G379" s="35"/>
      <x:c r="H379" s="35"/>
      <x:c r="I379" s="35"/>
    </x:row>
    <x:row r="380">
      <x:c r="A380" s="38" t="str"/>
      <x:c r="B380" s="38" t="str"/>
      <x:c r="C380" s="38"/>
      <x:c r="D380" s="39"/>
      <x:c r="E380" s="48" t="b">
        <x:v>0</x:v>
      </x:c>
      <x:c r="F380" s="38" t="str"/>
      <x:c r="G380" s="35"/>
      <x:c r="H380" s="35"/>
      <x:c r="I380" s="35"/>
    </x:row>
    <x:row r="381">
      <x:c r="A381" s="38" t="str"/>
      <x:c r="B381" s="38" t="str"/>
      <x:c r="C381" s="38"/>
      <x:c r="D381" s="39"/>
      <x:c r="E381" s="48" t="b">
        <x:v>0</x:v>
      </x:c>
      <x:c r="F381" s="38" t="str"/>
      <x:c r="G381" s="35"/>
      <x:c r="H381" s="35"/>
      <x:c r="I381" s="35"/>
    </x:row>
    <x:row r="382">
      <x:c r="A382" s="38" t="str"/>
      <x:c r="B382" s="38" t="str"/>
      <x:c r="C382" s="38"/>
      <x:c r="D382" s="39"/>
      <x:c r="E382" s="48" t="b">
        <x:v>0</x:v>
      </x:c>
      <x:c r="F382" s="38" t="str"/>
      <x:c r="G382" s="35"/>
      <x:c r="H382" s="35"/>
      <x:c r="I382" s="35"/>
    </x:row>
    <x:row r="383">
      <x:c r="A383" s="38" t="str"/>
      <x:c r="B383" s="38" t="str"/>
      <x:c r="C383" s="38"/>
      <x:c r="D383" s="39"/>
      <x:c r="E383" s="48" t="b">
        <x:v>0</x:v>
      </x:c>
      <x:c r="F383" s="38" t="str"/>
      <x:c r="G383" s="35"/>
      <x:c r="H383" s="35"/>
      <x:c r="I383" s="35"/>
    </x:row>
    <x:row r="384">
      <x:c r="A384" s="38" t="str"/>
      <x:c r="B384" s="38" t="str"/>
      <x:c r="C384" s="38"/>
      <x:c r="D384" s="39"/>
      <x:c r="E384" s="48" t="b">
        <x:v>0</x:v>
      </x:c>
      <x:c r="F384" s="38" t="str"/>
      <x:c r="G384" s="35"/>
      <x:c r="H384" s="35"/>
      <x:c r="I384" s="35"/>
    </x:row>
    <x:row r="385">
      <x:c r="A385" s="38" t="str"/>
      <x:c r="B385" s="38" t="str"/>
      <x:c r="C385" s="38"/>
      <x:c r="D385" s="39"/>
      <x:c r="E385" s="48" t="b">
        <x:v>0</x:v>
      </x:c>
      <x:c r="F385" s="38" t="str"/>
      <x:c r="G385" s="35"/>
      <x:c r="H385" s="35"/>
      <x:c r="I385" s="35"/>
    </x:row>
    <x:row r="386">
      <x:c r="A386" s="38" t="str"/>
      <x:c r="B386" s="38" t="str"/>
      <x:c r="C386" s="38"/>
      <x:c r="D386" s="39"/>
      <x:c r="E386" s="48" t="b">
        <x:v>0</x:v>
      </x:c>
      <x:c r="F386" s="38" t="str"/>
      <x:c r="G386" s="35"/>
      <x:c r="H386" s="35"/>
      <x:c r="I386" s="35"/>
    </x:row>
    <x:row r="387">
      <x:c r="A387" s="38" t="str"/>
      <x:c r="B387" s="38" t="str"/>
      <x:c r="C387" s="38"/>
      <x:c r="D387" s="39"/>
      <x:c r="E387" s="48" t="b">
        <x:v>0</x:v>
      </x:c>
      <x:c r="F387" s="38" t="str"/>
      <x:c r="G387" s="35"/>
      <x:c r="H387" s="35"/>
      <x:c r="I387" s="35"/>
    </x:row>
    <x:row r="388">
      <x:c r="A388" s="38" t="str"/>
      <x:c r="B388" s="38" t="str"/>
      <x:c r="C388" s="38"/>
      <x:c r="D388" s="39"/>
      <x:c r="E388" s="48" t="b">
        <x:v>0</x:v>
      </x:c>
      <x:c r="F388" s="38" t="str"/>
      <x:c r="G388" s="35"/>
      <x:c r="H388" s="35"/>
      <x:c r="I388" s="35"/>
    </x:row>
    <x:row r="389">
      <x:c r="A389" s="38" t="str"/>
      <x:c r="B389" s="38" t="str"/>
      <x:c r="C389" s="38"/>
      <x:c r="D389" s="39"/>
      <x:c r="E389" s="48" t="b">
        <x:v>0</x:v>
      </x:c>
      <x:c r="F389" s="38" t="str"/>
      <x:c r="G389" s="35"/>
      <x:c r="H389" s="35"/>
      <x:c r="I389" s="35"/>
    </x:row>
    <x:row r="390">
      <x:c r="A390" s="38" t="str"/>
      <x:c r="B390" s="38" t="str"/>
      <x:c r="C390" s="38"/>
      <x:c r="D390" s="39"/>
      <x:c r="E390" s="48" t="b">
        <x:v>0</x:v>
      </x:c>
      <x:c r="F390" s="38" t="str"/>
      <x:c r="G390" s="35"/>
      <x:c r="H390" s="35"/>
      <x:c r="I390" s="35"/>
    </x:row>
    <x:row r="391">
      <x:c r="A391" s="38" t="str"/>
      <x:c r="B391" s="38" t="str"/>
      <x:c r="C391" s="38"/>
      <x:c r="D391" s="39"/>
      <x:c r="E391" s="48" t="b">
        <x:v>0</x:v>
      </x:c>
      <x:c r="F391" s="38" t="str"/>
      <x:c r="G391" s="35"/>
      <x:c r="H391" s="35"/>
      <x:c r="I391" s="35"/>
    </x:row>
    <x:row r="392">
      <x:c r="A392" s="38" t="str"/>
      <x:c r="B392" s="38" t="str"/>
      <x:c r="C392" s="38"/>
      <x:c r="D392" s="39"/>
      <x:c r="E392" s="48" t="b">
        <x:v>0</x:v>
      </x:c>
      <x:c r="F392" s="38" t="str"/>
      <x:c r="G392" s="35"/>
      <x:c r="H392" s="35"/>
      <x:c r="I392" s="35"/>
    </x:row>
    <x:row r="393">
      <x:c r="A393" s="38" t="str"/>
      <x:c r="B393" s="38" t="str"/>
      <x:c r="C393" s="38"/>
      <x:c r="D393" s="39"/>
      <x:c r="E393" s="48" t="b">
        <x:v>0</x:v>
      </x:c>
      <x:c r="F393" s="38" t="str"/>
      <x:c r="G393" s="35"/>
      <x:c r="H393" s="35"/>
      <x:c r="I393" s="35"/>
    </x:row>
    <x:row r="394">
      <x:c r="A394" s="38" t="str"/>
      <x:c r="B394" s="38" t="str"/>
      <x:c r="C394" s="38"/>
      <x:c r="D394" s="39"/>
      <x:c r="E394" s="48" t="b">
        <x:v>0</x:v>
      </x:c>
      <x:c r="F394" s="38" t="str"/>
      <x:c r="G394" s="35"/>
      <x:c r="H394" s="35"/>
      <x:c r="I394" s="35"/>
    </x:row>
    <x:row r="395">
      <x:c r="A395" s="38" t="str"/>
      <x:c r="B395" s="38" t="str"/>
      <x:c r="C395" s="38"/>
      <x:c r="D395" s="39"/>
      <x:c r="E395" s="48" t="b">
        <x:v>0</x:v>
      </x:c>
      <x:c r="F395" s="38" t="str"/>
      <x:c r="G395" s="35"/>
      <x:c r="H395" s="35"/>
      <x:c r="I395" s="35"/>
    </x:row>
    <x:row r="396">
      <x:c r="A396" s="38" t="str"/>
      <x:c r="B396" s="38" t="str"/>
      <x:c r="C396" s="38"/>
      <x:c r="D396" s="39"/>
      <x:c r="E396" s="48" t="b">
        <x:v>0</x:v>
      </x:c>
      <x:c r="F396" s="38" t="str"/>
      <x:c r="G396" s="35"/>
      <x:c r="H396" s="35"/>
      <x:c r="I396" s="35"/>
    </x:row>
    <x:row r="397">
      <x:c r="A397" s="38" t="str"/>
      <x:c r="B397" s="38" t="str"/>
      <x:c r="C397" s="38"/>
      <x:c r="D397" s="39"/>
      <x:c r="E397" s="48" t="b">
        <x:v>0</x:v>
      </x:c>
      <x:c r="F397" s="38" t="str"/>
      <x:c r="G397" s="35"/>
      <x:c r="H397" s="35"/>
      <x:c r="I397" s="35"/>
    </x:row>
    <x:row r="398">
      <x:c r="A398" s="38" t="str"/>
      <x:c r="B398" s="38" t="str"/>
      <x:c r="C398" s="38"/>
      <x:c r="D398" s="39"/>
      <x:c r="E398" s="48" t="b">
        <x:v>0</x:v>
      </x:c>
      <x:c r="F398" s="38" t="str"/>
      <x:c r="G398" s="35"/>
      <x:c r="H398" s="35"/>
      <x:c r="I398" s="35"/>
    </x:row>
    <x:row r="399">
      <x:c r="A399" s="38" t="str"/>
      <x:c r="B399" s="38" t="str"/>
      <x:c r="C399" s="38"/>
      <x:c r="D399" s="39"/>
      <x:c r="E399" s="48" t="b">
        <x:v>0</x:v>
      </x:c>
      <x:c r="F399" s="38" t="str"/>
      <x:c r="G399" s="35"/>
      <x:c r="H399" s="35"/>
      <x:c r="I399" s="35"/>
    </x:row>
    <x:row r="400">
      <x:c r="A400" s="38" t="str"/>
      <x:c r="B400" s="38" t="str"/>
      <x:c r="C400" s="38"/>
      <x:c r="D400" s="39"/>
      <x:c r="E400" s="48" t="b">
        <x:v>0</x:v>
      </x:c>
      <x:c r="F400" s="38" t="str"/>
      <x:c r="G400" s="35"/>
      <x:c r="H400" s="35"/>
      <x:c r="I400" s="35"/>
    </x:row>
    <x:row r="401">
      <x:c r="A401" s="38" t="str"/>
      <x:c r="B401" s="38" t="str"/>
      <x:c r="C401" s="38"/>
      <x:c r="D401" s="39"/>
      <x:c r="E401" s="48" t="b">
        <x:v>0</x:v>
      </x:c>
      <x:c r="F401" s="38" t="str"/>
      <x:c r="G401" s="35"/>
      <x:c r="H401" s="35"/>
      <x:c r="I401" s="35"/>
    </x:row>
    <x:row r="402">
      <x:c r="A402" s="38" t="str"/>
      <x:c r="B402" s="38" t="str"/>
      <x:c r="C402" s="38"/>
      <x:c r="D402" s="39"/>
      <x:c r="E402" s="48" t="b">
        <x:v>0</x:v>
      </x:c>
      <x:c r="F402" s="38" t="str"/>
      <x:c r="G402" s="35"/>
      <x:c r="H402" s="35"/>
      <x:c r="I402" s="35"/>
    </x:row>
    <x:row r="403">
      <x:c r="A403" s="38" t="str"/>
      <x:c r="B403" s="38" t="str"/>
      <x:c r="C403" s="38"/>
      <x:c r="D403" s="39"/>
      <x:c r="E403" s="48" t="b">
        <x:v>0</x:v>
      </x:c>
      <x:c r="F403" s="38" t="str"/>
      <x:c r="G403" s="35"/>
      <x:c r="H403" s="35"/>
      <x:c r="I403" s="35"/>
    </x:row>
    <x:row r="404">
      <x:c r="A404" s="38" t="str"/>
      <x:c r="B404" s="38" t="str"/>
      <x:c r="C404" s="38"/>
      <x:c r="D404" s="39"/>
      <x:c r="E404" s="48" t="b">
        <x:v>0</x:v>
      </x:c>
      <x:c r="F404" s="38" t="str"/>
      <x:c r="G404" s="35"/>
      <x:c r="H404" s="35"/>
      <x:c r="I404" s="35"/>
    </x:row>
    <x:row r="405">
      <x:c r="A405" s="38" t="str"/>
      <x:c r="B405" s="38" t="str"/>
      <x:c r="C405" s="38"/>
      <x:c r="D405" s="39"/>
      <x:c r="E405" s="48" t="b">
        <x:v>0</x:v>
      </x:c>
      <x:c r="F405" s="38" t="str"/>
      <x:c r="G405" s="35"/>
      <x:c r="H405" s="35"/>
      <x:c r="I405" s="35"/>
    </x:row>
    <x:row r="406">
      <x:c r="A406" s="38" t="str"/>
      <x:c r="B406" s="38" t="str"/>
      <x:c r="C406" s="38"/>
      <x:c r="D406" s="39"/>
      <x:c r="E406" s="48" t="b">
        <x:v>0</x:v>
      </x:c>
      <x:c r="F406" s="38" t="str"/>
      <x:c r="G406" s="35"/>
      <x:c r="H406" s="35"/>
      <x:c r="I406" s="35"/>
    </x:row>
    <x:row r="407">
      <x:c r="A407" s="38" t="str"/>
      <x:c r="B407" s="38" t="str"/>
      <x:c r="C407" s="38"/>
      <x:c r="D407" s="39"/>
      <x:c r="E407" s="48" t="b">
        <x:v>0</x:v>
      </x:c>
      <x:c r="F407" s="38" t="str"/>
      <x:c r="G407" s="35"/>
      <x:c r="H407" s="35"/>
      <x:c r="I407" s="35"/>
    </x:row>
    <x:row r="408">
      <x:c r="A408" s="38" t="str"/>
      <x:c r="B408" s="38" t="str"/>
      <x:c r="C408" s="38"/>
      <x:c r="D408" s="39"/>
      <x:c r="E408" s="48" t="b">
        <x:v>0</x:v>
      </x:c>
      <x:c r="F408" s="38" t="str"/>
      <x:c r="G408" s="35"/>
      <x:c r="H408" s="35"/>
      <x:c r="I408" s="35"/>
    </x:row>
    <x:row r="409">
      <x:c r="A409" s="38" t="str"/>
      <x:c r="B409" s="38" t="str"/>
      <x:c r="C409" s="38"/>
      <x:c r="D409" s="39"/>
      <x:c r="E409" s="48" t="b">
        <x:v>0</x:v>
      </x:c>
      <x:c r="F409" s="38" t="str"/>
      <x:c r="G409" s="35"/>
      <x:c r="H409" s="35"/>
      <x:c r="I409" s="35"/>
    </x:row>
    <x:row r="410">
      <x:c r="A410" s="38" t="str"/>
      <x:c r="B410" s="38" t="str"/>
      <x:c r="C410" s="38"/>
      <x:c r="D410" s="39"/>
      <x:c r="E410" s="48" t="b">
        <x:v>0</x:v>
      </x:c>
      <x:c r="F410" s="38" t="str"/>
      <x:c r="G410" s="35"/>
      <x:c r="H410" s="35"/>
      <x:c r="I410" s="35"/>
    </x:row>
    <x:row r="411">
      <x:c r="A411" s="38" t="str"/>
      <x:c r="B411" s="38" t="str"/>
      <x:c r="C411" s="38"/>
      <x:c r="D411" s="39"/>
      <x:c r="E411" s="48" t="b">
        <x:v>0</x:v>
      </x:c>
      <x:c r="F411" s="38" t="str"/>
      <x:c r="G411" s="35"/>
      <x:c r="H411" s="35"/>
      <x:c r="I411" s="35"/>
    </x:row>
    <x:row r="412">
      <x:c r="A412" s="38" t="str"/>
      <x:c r="B412" s="38" t="str"/>
      <x:c r="C412" s="38"/>
      <x:c r="D412" s="39"/>
      <x:c r="E412" s="48" t="b">
        <x:v>0</x:v>
      </x:c>
      <x:c r="F412" s="38" t="str"/>
      <x:c r="G412" s="35"/>
      <x:c r="H412" s="35"/>
      <x:c r="I412" s="35"/>
    </x:row>
    <x:row r="413">
      <x:c r="A413" s="38" t="str"/>
      <x:c r="B413" s="38" t="str"/>
      <x:c r="C413" s="38"/>
      <x:c r="D413" s="39"/>
      <x:c r="E413" s="48" t="b">
        <x:v>0</x:v>
      </x:c>
      <x:c r="F413" s="38" t="str"/>
      <x:c r="G413" s="35"/>
      <x:c r="H413" s="35"/>
      <x:c r="I413" s="35"/>
    </x:row>
    <x:row r="414">
      <x:c r="A414" s="38" t="str"/>
      <x:c r="B414" s="38" t="str"/>
      <x:c r="C414" s="38"/>
      <x:c r="D414" s="39"/>
      <x:c r="E414" s="48" t="b">
        <x:v>0</x:v>
      </x:c>
      <x:c r="F414" s="38" t="str"/>
      <x:c r="G414" s="35"/>
      <x:c r="H414" s="35"/>
      <x:c r="I414" s="35"/>
    </x:row>
    <x:row r="415">
      <x:c r="A415" s="38" t="str"/>
      <x:c r="B415" s="38" t="str"/>
      <x:c r="C415" s="38"/>
      <x:c r="D415" s="39"/>
      <x:c r="E415" s="48" t="b">
        <x:v>0</x:v>
      </x:c>
      <x:c r="F415" s="38" t="str"/>
      <x:c r="G415" s="35"/>
      <x:c r="H415" s="35"/>
      <x:c r="I415" s="35"/>
    </x:row>
    <x:row r="416">
      <x:c r="A416" s="38" t="str"/>
      <x:c r="B416" s="38" t="str"/>
      <x:c r="C416" s="38"/>
      <x:c r="D416" s="39"/>
      <x:c r="E416" s="48" t="b">
        <x:v>0</x:v>
      </x:c>
      <x:c r="F416" s="38" t="str"/>
      <x:c r="G416" s="35"/>
      <x:c r="H416" s="35"/>
      <x:c r="I416" s="35"/>
    </x:row>
    <x:row r="417">
      <x:c r="A417" s="38" t="str"/>
      <x:c r="B417" s="38" t="str"/>
      <x:c r="C417" s="38"/>
      <x:c r="D417" s="39"/>
      <x:c r="E417" s="48" t="b">
        <x:v>0</x:v>
      </x:c>
      <x:c r="F417" s="38" t="str"/>
      <x:c r="G417" s="35"/>
      <x:c r="H417" s="35"/>
      <x:c r="I417" s="35"/>
    </x:row>
    <x:row r="418">
      <x:c r="A418" s="38" t="str"/>
      <x:c r="B418" s="38" t="str"/>
      <x:c r="C418" s="38"/>
      <x:c r="D418" s="39"/>
      <x:c r="E418" s="48" t="b">
        <x:v>0</x:v>
      </x:c>
      <x:c r="F418" s="38" t="str"/>
      <x:c r="G418" s="35"/>
      <x:c r="H418" s="35"/>
      <x:c r="I418" s="35"/>
    </x:row>
    <x:row r="419">
      <x:c r="A419" s="38" t="str"/>
      <x:c r="B419" s="38" t="str"/>
      <x:c r="C419" s="38"/>
      <x:c r="D419" s="39"/>
      <x:c r="E419" s="48" t="b">
        <x:v>0</x:v>
      </x:c>
      <x:c r="F419" s="38" t="str"/>
      <x:c r="G419" s="35"/>
      <x:c r="H419" s="35"/>
      <x:c r="I419" s="35"/>
    </x:row>
    <x:row r="420">
      <x:c r="A420" s="38" t="str"/>
      <x:c r="B420" s="38" t="str"/>
      <x:c r="C420" s="38"/>
      <x:c r="D420" s="39"/>
      <x:c r="E420" s="48" t="b">
        <x:v>0</x:v>
      </x:c>
      <x:c r="F420" s="38" t="str"/>
      <x:c r="G420" s="35"/>
      <x:c r="H420" s="35"/>
      <x:c r="I420" s="35"/>
    </x:row>
    <x:row r="421">
      <x:c r="A421" s="38" t="str"/>
      <x:c r="B421" s="38" t="str"/>
      <x:c r="C421" s="38"/>
      <x:c r="D421" s="39"/>
      <x:c r="E421" s="48" t="b">
        <x:v>0</x:v>
      </x:c>
      <x:c r="F421" s="38" t="str"/>
      <x:c r="G421" s="35"/>
      <x:c r="H421" s="35"/>
      <x:c r="I421" s="35"/>
    </x:row>
    <x:row r="422">
      <x:c r="A422" s="38" t="str"/>
      <x:c r="B422" s="38" t="str"/>
      <x:c r="C422" s="38"/>
      <x:c r="D422" s="39"/>
      <x:c r="E422" s="48" t="b">
        <x:v>0</x:v>
      </x:c>
      <x:c r="F422" s="38" t="str"/>
      <x:c r="G422" s="35"/>
      <x:c r="H422" s="35"/>
      <x:c r="I422" s="35"/>
    </x:row>
    <x:row r="423">
      <x:c r="A423" s="38" t="str"/>
      <x:c r="B423" s="38" t="str"/>
      <x:c r="C423" s="38"/>
      <x:c r="D423" s="39"/>
      <x:c r="E423" s="48" t="b">
        <x:v>0</x:v>
      </x:c>
      <x:c r="F423" s="38" t="str"/>
      <x:c r="G423" s="35"/>
      <x:c r="H423" s="35"/>
      <x:c r="I423" s="35"/>
    </x:row>
    <x:row r="424">
      <x:c r="A424" s="38" t="str"/>
      <x:c r="B424" s="38" t="str"/>
      <x:c r="C424" s="38"/>
      <x:c r="D424" s="39"/>
      <x:c r="E424" s="48" t="b">
        <x:v>0</x:v>
      </x:c>
      <x:c r="F424" s="38" t="str"/>
      <x:c r="G424" s="35"/>
      <x:c r="H424" s="35"/>
      <x:c r="I424" s="35"/>
    </x:row>
    <x:row r="425">
      <x:c r="A425" s="38" t="str"/>
      <x:c r="B425" s="38" t="str"/>
      <x:c r="C425" s="38"/>
      <x:c r="D425" s="39"/>
      <x:c r="E425" s="48" t="b">
        <x:v>0</x:v>
      </x:c>
      <x:c r="F425" s="38" t="str"/>
      <x:c r="G425" s="35"/>
      <x:c r="H425" s="35"/>
      <x:c r="I425" s="35"/>
    </x:row>
    <x:row r="426">
      <x:c r="A426" s="38" t="str"/>
      <x:c r="B426" s="38" t="str"/>
      <x:c r="C426" s="38"/>
      <x:c r="D426" s="39"/>
      <x:c r="E426" s="48" t="b">
        <x:v>0</x:v>
      </x:c>
      <x:c r="F426" s="38" t="str"/>
      <x:c r="G426" s="35"/>
      <x:c r="H426" s="35"/>
      <x:c r="I426" s="35"/>
    </x:row>
    <x:row r="427">
      <x:c r="A427" s="38" t="str"/>
      <x:c r="B427" s="38" t="str"/>
      <x:c r="C427" s="38"/>
      <x:c r="D427" s="39"/>
      <x:c r="E427" s="48" t="b">
        <x:v>0</x:v>
      </x:c>
      <x:c r="F427" s="38" t="str"/>
      <x:c r="G427" s="35"/>
      <x:c r="H427" s="35"/>
      <x:c r="I427" s="35"/>
    </x:row>
    <x:row r="428">
      <x:c r="A428" s="38" t="str"/>
      <x:c r="B428" s="38" t="str"/>
      <x:c r="C428" s="38"/>
      <x:c r="D428" s="39"/>
      <x:c r="E428" s="48" t="b">
        <x:v>0</x:v>
      </x:c>
      <x:c r="F428" s="38" t="str"/>
      <x:c r="G428" s="35"/>
      <x:c r="H428" s="35"/>
      <x:c r="I428" s="35"/>
    </x:row>
    <x:row r="429">
      <x:c r="A429" s="38" t="str"/>
      <x:c r="B429" s="38" t="str"/>
      <x:c r="C429" s="38"/>
      <x:c r="D429" s="39"/>
      <x:c r="E429" s="48" t="b">
        <x:v>0</x:v>
      </x:c>
      <x:c r="F429" s="38" t="str"/>
      <x:c r="G429" s="35"/>
      <x:c r="H429" s="35"/>
      <x:c r="I429" s="35"/>
    </x:row>
    <x:row r="430">
      <x:c r="A430" s="38" t="str"/>
      <x:c r="B430" s="38" t="str"/>
      <x:c r="C430" s="38"/>
      <x:c r="D430" s="39"/>
      <x:c r="E430" s="48" t="b">
        <x:v>0</x:v>
      </x:c>
      <x:c r="F430" s="38" t="str"/>
      <x:c r="G430" s="35"/>
      <x:c r="H430" s="35"/>
      <x:c r="I430" s="35"/>
    </x:row>
    <x:row r="431">
      <x:c r="A431" s="38" t="str"/>
      <x:c r="B431" s="38" t="str"/>
      <x:c r="C431" s="38"/>
      <x:c r="D431" s="39"/>
      <x:c r="E431" s="48" t="b">
        <x:v>0</x:v>
      </x:c>
      <x:c r="F431" s="38" t="str"/>
      <x:c r="G431" s="35"/>
      <x:c r="H431" s="35"/>
      <x:c r="I431" s="35"/>
    </x:row>
    <x:row r="432">
      <x:c r="A432" s="38" t="str"/>
      <x:c r="B432" s="38" t="str"/>
      <x:c r="C432" s="38"/>
      <x:c r="D432" s="39"/>
      <x:c r="E432" s="48" t="b">
        <x:v>0</x:v>
      </x:c>
      <x:c r="F432" s="38" t="str"/>
      <x:c r="G432" s="35"/>
      <x:c r="H432" s="35"/>
      <x:c r="I432" s="35"/>
    </x:row>
    <x:row r="433">
      <x:c r="A433" s="38" t="str"/>
      <x:c r="B433" s="38" t="str"/>
      <x:c r="C433" s="38"/>
      <x:c r="D433" s="39"/>
      <x:c r="E433" s="48" t="b">
        <x:v>0</x:v>
      </x:c>
      <x:c r="F433" s="38" t="str"/>
      <x:c r="G433" s="35"/>
      <x:c r="H433" s="35"/>
      <x:c r="I433" s="35"/>
    </x:row>
    <x:row r="434">
      <x:c r="A434" s="38" t="str"/>
      <x:c r="B434" s="38" t="str"/>
      <x:c r="C434" s="38"/>
      <x:c r="D434" s="39"/>
      <x:c r="E434" s="48" t="b">
        <x:v>0</x:v>
      </x:c>
      <x:c r="F434" s="38" t="str"/>
      <x:c r="G434" s="35"/>
      <x:c r="H434" s="35"/>
      <x:c r="I434" s="35"/>
    </x:row>
    <x:row r="435">
      <x:c r="A435" s="38" t="str"/>
      <x:c r="B435" s="38" t="str"/>
      <x:c r="C435" s="38"/>
      <x:c r="D435" s="39"/>
      <x:c r="E435" s="48" t="b">
        <x:v>0</x:v>
      </x:c>
      <x:c r="F435" s="38" t="str"/>
      <x:c r="G435" s="35"/>
      <x:c r="H435" s="35"/>
      <x:c r="I435" s="35"/>
    </x:row>
    <x:row r="436">
      <x:c r="A436" s="38" t="str"/>
      <x:c r="B436" s="38" t="str"/>
      <x:c r="C436" s="38"/>
      <x:c r="D436" s="39"/>
      <x:c r="E436" s="48" t="b">
        <x:v>0</x:v>
      </x:c>
      <x:c r="F436" s="38" t="str"/>
      <x:c r="G436" s="35"/>
      <x:c r="H436" s="35"/>
      <x:c r="I436" s="35"/>
    </x:row>
    <x:row r="437">
      <x:c r="A437" s="38" t="str"/>
      <x:c r="B437" s="38" t="str"/>
      <x:c r="C437" s="38"/>
      <x:c r="D437" s="39"/>
      <x:c r="E437" s="48" t="b">
        <x:v>0</x:v>
      </x:c>
      <x:c r="F437" s="38" t="str"/>
      <x:c r="G437" s="35"/>
      <x:c r="H437" s="35"/>
      <x:c r="I437" s="35"/>
    </x:row>
    <x:row r="438">
      <x:c r="A438" s="38" t="str"/>
      <x:c r="B438" s="38" t="str"/>
      <x:c r="C438" s="38"/>
      <x:c r="D438" s="39"/>
      <x:c r="E438" s="48" t="b">
        <x:v>0</x:v>
      </x:c>
      <x:c r="F438" s="38" t="str"/>
      <x:c r="G438" s="35"/>
      <x:c r="H438" s="35"/>
      <x:c r="I438" s="35"/>
    </x:row>
    <x:row r="439">
      <x:c r="A439" s="38" t="str"/>
      <x:c r="B439" s="38" t="str"/>
      <x:c r="C439" s="38"/>
      <x:c r="D439" s="39"/>
      <x:c r="E439" s="48" t="b">
        <x:v>0</x:v>
      </x:c>
      <x:c r="F439" s="38" t="str"/>
      <x:c r="G439" s="35"/>
      <x:c r="H439" s="35"/>
      <x:c r="I439" s="35"/>
    </x:row>
    <x:row r="440">
      <x:c r="A440" s="38" t="str"/>
      <x:c r="B440" s="38" t="str"/>
      <x:c r="C440" s="38"/>
      <x:c r="D440" s="39"/>
      <x:c r="E440" s="48" t="b">
        <x:v>0</x:v>
      </x:c>
      <x:c r="F440" s="38" t="str"/>
      <x:c r="G440" s="35"/>
      <x:c r="H440" s="35"/>
      <x:c r="I440" s="35"/>
    </x:row>
    <x:row r="441">
      <x:c r="A441" s="38" t="str"/>
      <x:c r="B441" s="38" t="str"/>
      <x:c r="C441" s="38"/>
      <x:c r="D441" s="39"/>
      <x:c r="E441" s="48" t="b">
        <x:v>0</x:v>
      </x:c>
      <x:c r="F441" s="38" t="str"/>
      <x:c r="G441" s="35"/>
      <x:c r="H441" s="35"/>
      <x:c r="I441" s="35"/>
    </x:row>
    <x:row r="442">
      <x:c r="A442" s="38" t="str"/>
      <x:c r="B442" s="38" t="str"/>
      <x:c r="C442" s="38"/>
      <x:c r="D442" s="39"/>
      <x:c r="E442" s="48" t="b">
        <x:v>0</x:v>
      </x:c>
      <x:c r="F442" s="38" t="str"/>
      <x:c r="G442" s="35"/>
      <x:c r="H442" s="35"/>
      <x:c r="I442" s="35"/>
    </x:row>
    <x:row r="443">
      <x:c r="A443" s="38" t="str"/>
      <x:c r="B443" s="38" t="str"/>
      <x:c r="C443" s="38"/>
      <x:c r="D443" s="39"/>
      <x:c r="E443" s="48" t="b">
        <x:v>0</x:v>
      </x:c>
      <x:c r="F443" s="38" t="str"/>
      <x:c r="G443" s="35"/>
      <x:c r="H443" s="35"/>
      <x:c r="I443" s="35"/>
    </x:row>
    <x:row r="444">
      <x:c r="A444" s="38" t="str"/>
      <x:c r="B444" s="38" t="str"/>
      <x:c r="C444" s="38"/>
      <x:c r="D444" s="39"/>
      <x:c r="E444" s="48" t="b">
        <x:v>0</x:v>
      </x:c>
      <x:c r="F444" s="38" t="str"/>
      <x:c r="G444" s="35"/>
      <x:c r="H444" s="35"/>
      <x:c r="I444" s="35"/>
    </x:row>
    <x:row r="445">
      <x:c r="A445" s="38" t="str"/>
      <x:c r="B445" s="38" t="str"/>
      <x:c r="C445" s="38"/>
      <x:c r="D445" s="39"/>
      <x:c r="E445" s="48" t="b">
        <x:v>0</x:v>
      </x:c>
      <x:c r="F445" s="38" t="str"/>
      <x:c r="G445" s="35"/>
      <x:c r="H445" s="35"/>
      <x:c r="I445" s="35"/>
    </x:row>
    <x:row r="446">
      <x:c r="A446" s="38" t="str"/>
      <x:c r="B446" s="38" t="str"/>
      <x:c r="C446" s="38"/>
      <x:c r="D446" s="39"/>
      <x:c r="E446" s="48" t="b">
        <x:v>0</x:v>
      </x:c>
      <x:c r="F446" s="38" t="str"/>
      <x:c r="G446" s="35"/>
      <x:c r="H446" s="35"/>
      <x:c r="I446" s="35"/>
    </x:row>
    <x:row r="447">
      <x:c r="A447" s="38" t="str"/>
      <x:c r="B447" s="38" t="str"/>
      <x:c r="C447" s="38"/>
      <x:c r="D447" s="39"/>
      <x:c r="E447" s="48" t="b">
        <x:v>0</x:v>
      </x:c>
      <x:c r="F447" s="38" t="str"/>
      <x:c r="G447" s="35"/>
      <x:c r="H447" s="35"/>
      <x:c r="I447" s="35"/>
    </x:row>
    <x:row r="448">
      <x:c r="A448" s="38" t="str"/>
      <x:c r="B448" s="38" t="str"/>
      <x:c r="C448" s="38"/>
      <x:c r="D448" s="39"/>
      <x:c r="E448" s="48" t="b">
        <x:v>0</x:v>
      </x:c>
      <x:c r="F448" s="38" t="str"/>
      <x:c r="G448" s="35"/>
      <x:c r="H448" s="35"/>
      <x:c r="I448" s="35"/>
    </x:row>
    <x:row r="449">
      <x:c r="A449" s="38" t="str"/>
      <x:c r="B449" s="38" t="str"/>
      <x:c r="C449" s="38"/>
      <x:c r="D449" s="39"/>
      <x:c r="E449" s="48" t="b">
        <x:v>0</x:v>
      </x:c>
      <x:c r="F449" s="38" t="str"/>
      <x:c r="G449" s="35"/>
      <x:c r="H449" s="35"/>
      <x:c r="I449" s="35"/>
    </x:row>
    <x:row r="450">
      <x:c r="A450" s="38" t="str"/>
      <x:c r="B450" s="38" t="str"/>
      <x:c r="C450" s="38"/>
      <x:c r="D450" s="39"/>
      <x:c r="E450" s="48" t="b">
        <x:v>0</x:v>
      </x:c>
      <x:c r="F450" s="38" t="str"/>
      <x:c r="G450" s="35"/>
      <x:c r="H450" s="35"/>
      <x:c r="I450" s="35"/>
    </x:row>
    <x:row r="451">
      <x:c r="A451" s="38" t="str"/>
      <x:c r="B451" s="38" t="str"/>
      <x:c r="C451" s="38"/>
      <x:c r="D451" s="39"/>
      <x:c r="E451" s="48" t="b">
        <x:v>0</x:v>
      </x:c>
      <x:c r="F451" s="38" t="str"/>
      <x:c r="G451" s="35"/>
      <x:c r="H451" s="35"/>
      <x:c r="I451" s="35"/>
    </x:row>
    <x:row r="452">
      <x:c r="A452" s="38" t="str"/>
      <x:c r="B452" s="38" t="str"/>
      <x:c r="C452" s="38"/>
      <x:c r="D452" s="39"/>
      <x:c r="E452" s="48" t="b">
        <x:v>0</x:v>
      </x:c>
      <x:c r="F452" s="38" t="str"/>
      <x:c r="G452" s="35"/>
      <x:c r="H452" s="35"/>
      <x:c r="I452" s="35"/>
    </x:row>
    <x:row r="453">
      <x:c r="A453" s="38" t="str"/>
      <x:c r="B453" s="38" t="str"/>
      <x:c r="C453" s="38"/>
      <x:c r="D453" s="39"/>
      <x:c r="E453" s="48" t="b">
        <x:v>0</x:v>
      </x:c>
      <x:c r="F453" s="38" t="str"/>
      <x:c r="G453" s="35"/>
      <x:c r="H453" s="35"/>
      <x:c r="I453" s="35"/>
    </x:row>
    <x:row r="454">
      <x:c r="A454" s="38" t="str"/>
      <x:c r="B454" s="38" t="str"/>
      <x:c r="C454" s="38"/>
      <x:c r="D454" s="39"/>
      <x:c r="E454" s="48" t="b">
        <x:v>0</x:v>
      </x:c>
      <x:c r="F454" s="38" t="str"/>
      <x:c r="G454" s="35"/>
      <x:c r="H454" s="35"/>
      <x:c r="I454" s="35"/>
    </x:row>
    <x:row r="455">
      <x:c r="A455" s="38" t="str"/>
      <x:c r="B455" s="38" t="str"/>
      <x:c r="C455" s="38"/>
      <x:c r="D455" s="39"/>
      <x:c r="E455" s="48" t="b">
        <x:v>0</x:v>
      </x:c>
      <x:c r="F455" s="38" t="str"/>
      <x:c r="G455" s="35"/>
      <x:c r="H455" s="35"/>
      <x:c r="I455" s="35"/>
    </x:row>
    <x:row r="456">
      <x:c r="A456" s="38" t="str"/>
      <x:c r="B456" s="38" t="str"/>
      <x:c r="C456" s="38"/>
      <x:c r="D456" s="39"/>
      <x:c r="E456" s="48" t="b">
        <x:v>0</x:v>
      </x:c>
      <x:c r="F456" s="38" t="str"/>
      <x:c r="G456" s="35"/>
      <x:c r="H456" s="35"/>
      <x:c r="I456" s="35"/>
    </x:row>
    <x:row r="457">
      <x:c r="A457" s="38" t="str"/>
      <x:c r="B457" s="38" t="str"/>
      <x:c r="C457" s="38"/>
      <x:c r="D457" s="39"/>
      <x:c r="E457" s="48" t="b">
        <x:v>0</x:v>
      </x:c>
      <x:c r="F457" s="38" t="str"/>
      <x:c r="G457" s="35"/>
      <x:c r="H457" s="35"/>
      <x:c r="I457" s="35"/>
    </x:row>
    <x:row r="458">
      <x:c r="A458" s="38" t="str"/>
      <x:c r="B458" s="38" t="str"/>
      <x:c r="C458" s="38"/>
      <x:c r="D458" s="39"/>
      <x:c r="E458" s="48" t="b">
        <x:v>0</x:v>
      </x:c>
      <x:c r="F458" s="38" t="str"/>
      <x:c r="G458" s="35"/>
      <x:c r="H458" s="35"/>
      <x:c r="I458" s="35"/>
    </x:row>
    <x:row r="459">
      <x:c r="A459" s="38" t="str"/>
      <x:c r="B459" s="38" t="str"/>
      <x:c r="C459" s="38"/>
      <x:c r="D459" s="39"/>
      <x:c r="E459" s="48" t="b">
        <x:v>0</x:v>
      </x:c>
      <x:c r="F459" s="38" t="str"/>
      <x:c r="G459" s="35"/>
      <x:c r="H459" s="35"/>
      <x:c r="I459" s="35"/>
    </x:row>
    <x:row r="460">
      <x:c r="A460" s="38" t="str"/>
      <x:c r="B460" s="38" t="str"/>
      <x:c r="C460" s="38"/>
      <x:c r="D460" s="39"/>
      <x:c r="E460" s="48" t="b">
        <x:v>0</x:v>
      </x:c>
      <x:c r="F460" s="38" t="str"/>
      <x:c r="G460" s="35"/>
      <x:c r="H460" s="35"/>
      <x:c r="I460" s="35"/>
    </x:row>
    <x:row r="461">
      <x:c r="A461" s="38" t="str"/>
      <x:c r="B461" s="38" t="str"/>
      <x:c r="C461" s="38"/>
      <x:c r="D461" s="39"/>
      <x:c r="E461" s="48" t="b">
        <x:v>0</x:v>
      </x:c>
      <x:c r="F461" s="38" t="str"/>
      <x:c r="G461" s="35"/>
      <x:c r="H461" s="35"/>
      <x:c r="I461" s="35"/>
    </x:row>
    <x:row r="462">
      <x:c r="A462" s="38" t="str"/>
      <x:c r="B462" s="38" t="str"/>
      <x:c r="C462" s="38"/>
      <x:c r="D462" s="39"/>
      <x:c r="E462" s="48" t="b">
        <x:v>0</x:v>
      </x:c>
      <x:c r="F462" s="38" t="str"/>
      <x:c r="G462" s="35"/>
      <x:c r="H462" s="35"/>
      <x:c r="I462" s="35"/>
    </x:row>
    <x:row r="463">
      <x:c r="A463" s="38" t="str"/>
      <x:c r="B463" s="38" t="str"/>
      <x:c r="C463" s="38"/>
      <x:c r="D463" s="39"/>
      <x:c r="E463" s="48" t="b">
        <x:v>0</x:v>
      </x:c>
      <x:c r="F463" s="38" t="str"/>
      <x:c r="G463" s="35"/>
      <x:c r="H463" s="35"/>
      <x:c r="I463" s="35"/>
    </x:row>
    <x:row r="464">
      <x:c r="A464" s="38" t="str"/>
      <x:c r="B464" s="38" t="str"/>
      <x:c r="C464" s="38"/>
      <x:c r="D464" s="39"/>
      <x:c r="E464" s="48" t="b">
        <x:v>0</x:v>
      </x:c>
      <x:c r="F464" s="38" t="str"/>
      <x:c r="G464" s="35"/>
      <x:c r="H464" s="35"/>
      <x:c r="I464" s="35"/>
    </x:row>
    <x:row r="465">
      <x:c r="A465" s="38" t="str"/>
      <x:c r="B465" s="38" t="str"/>
      <x:c r="C465" s="38"/>
      <x:c r="D465" s="39"/>
      <x:c r="E465" s="48" t="b">
        <x:v>0</x:v>
      </x:c>
      <x:c r="F465" s="38" t="str"/>
      <x:c r="G465" s="35"/>
      <x:c r="H465" s="35"/>
      <x:c r="I465" s="35"/>
    </x:row>
    <x:row r="466">
      <x:c r="A466" s="38" t="str"/>
      <x:c r="B466" s="38" t="str"/>
      <x:c r="C466" s="38"/>
      <x:c r="D466" s="39"/>
      <x:c r="E466" s="48" t="b">
        <x:v>0</x:v>
      </x:c>
      <x:c r="F466" s="38" t="str"/>
      <x:c r="G466" s="35"/>
      <x:c r="H466" s="35"/>
      <x:c r="I466" s="35"/>
    </x:row>
    <x:row r="467">
      <x:c r="A467" s="38" t="str"/>
      <x:c r="B467" s="38" t="str"/>
      <x:c r="C467" s="38"/>
      <x:c r="D467" s="39"/>
      <x:c r="E467" s="48" t="b">
        <x:v>0</x:v>
      </x:c>
      <x:c r="F467" s="38" t="str"/>
      <x:c r="G467" s="35"/>
      <x:c r="H467" s="35"/>
      <x:c r="I467" s="35"/>
    </x:row>
    <x:row r="468">
      <x:c r="A468" s="38" t="str"/>
      <x:c r="B468" s="38" t="str"/>
      <x:c r="C468" s="38"/>
      <x:c r="D468" s="39"/>
      <x:c r="E468" s="48" t="b">
        <x:v>0</x:v>
      </x:c>
      <x:c r="F468" s="38" t="str"/>
      <x:c r="G468" s="35"/>
      <x:c r="H468" s="35"/>
      <x:c r="I468" s="35"/>
    </x:row>
    <x:row r="469">
      <x:c r="A469" s="38" t="str"/>
      <x:c r="B469" s="38" t="str"/>
      <x:c r="C469" s="38"/>
      <x:c r="D469" s="39"/>
      <x:c r="E469" s="48" t="b">
        <x:v>0</x:v>
      </x:c>
      <x:c r="F469" s="38" t="str"/>
      <x:c r="G469" s="35"/>
      <x:c r="H469" s="35"/>
      <x:c r="I469" s="35"/>
    </x:row>
    <x:row r="470">
      <x:c r="A470" s="38" t="str"/>
      <x:c r="B470" s="38" t="str"/>
      <x:c r="C470" s="38"/>
      <x:c r="D470" s="39"/>
      <x:c r="E470" s="48" t="b">
        <x:v>0</x:v>
      </x:c>
      <x:c r="F470" s="38" t="str"/>
      <x:c r="G470" s="35"/>
      <x:c r="H470" s="35"/>
      <x:c r="I470" s="35"/>
    </x:row>
    <x:row r="471">
      <x:c r="A471" s="38" t="str"/>
      <x:c r="B471" s="38" t="str"/>
      <x:c r="C471" s="38"/>
      <x:c r="D471" s="39"/>
      <x:c r="E471" s="48" t="b">
        <x:v>0</x:v>
      </x:c>
      <x:c r="F471" s="38" t="str"/>
      <x:c r="G471" s="35"/>
      <x:c r="H471" s="35"/>
      <x:c r="I471" s="35"/>
    </x:row>
    <x:row r="472">
      <x:c r="A472" s="38" t="str"/>
      <x:c r="B472" s="38" t="str"/>
      <x:c r="C472" s="38"/>
      <x:c r="D472" s="39"/>
      <x:c r="E472" s="48" t="b">
        <x:v>0</x:v>
      </x:c>
      <x:c r="F472" s="38" t="str"/>
      <x:c r="G472" s="35"/>
      <x:c r="H472" s="35"/>
      <x:c r="I472" s="35"/>
    </x:row>
    <x:row r="473">
      <x:c r="A473" s="38" t="str"/>
      <x:c r="B473" s="38" t="str"/>
      <x:c r="C473" s="38"/>
      <x:c r="D473" s="39"/>
      <x:c r="E473" s="48" t="b">
        <x:v>0</x:v>
      </x:c>
      <x:c r="F473" s="38" t="str"/>
      <x:c r="G473" s="35"/>
      <x:c r="H473" s="35"/>
      <x:c r="I473" s="35"/>
    </x:row>
    <x:row r="474">
      <x:c r="A474" s="38" t="str"/>
      <x:c r="B474" s="38" t="str"/>
      <x:c r="C474" s="38"/>
      <x:c r="D474" s="39"/>
      <x:c r="E474" s="48" t="b">
        <x:v>0</x:v>
      </x:c>
      <x:c r="F474" s="38" t="str"/>
      <x:c r="G474" s="35"/>
      <x:c r="H474" s="35"/>
      <x:c r="I474" s="35"/>
    </x:row>
    <x:row r="475">
      <x:c r="A475" s="38" t="str"/>
      <x:c r="B475" s="38" t="str"/>
      <x:c r="C475" s="38"/>
      <x:c r="D475" s="39"/>
      <x:c r="E475" s="48" t="b">
        <x:v>0</x:v>
      </x:c>
      <x:c r="F475" s="38" t="str"/>
      <x:c r="G475" s="35"/>
      <x:c r="H475" s="35"/>
      <x:c r="I475" s="35"/>
    </x:row>
    <x:row r="476">
      <x:c r="A476" s="38" t="str"/>
      <x:c r="B476" s="38" t="str"/>
      <x:c r="C476" s="38"/>
      <x:c r="D476" s="39"/>
      <x:c r="E476" s="48" t="b">
        <x:v>0</x:v>
      </x:c>
      <x:c r="F476" s="38" t="str"/>
      <x:c r="G476" s="35"/>
      <x:c r="H476" s="35"/>
      <x:c r="I476" s="35"/>
    </x:row>
    <x:row r="477">
      <x:c r="A477" s="38" t="str"/>
      <x:c r="B477" s="38" t="str"/>
      <x:c r="C477" s="38"/>
      <x:c r="D477" s="39"/>
      <x:c r="E477" s="48" t="b">
        <x:v>0</x:v>
      </x:c>
      <x:c r="F477" s="38" t="str"/>
      <x:c r="G477" s="35"/>
      <x:c r="H477" s="35"/>
      <x:c r="I477" s="35"/>
    </x:row>
    <x:row r="478">
      <x:c r="A478" s="38" t="str"/>
      <x:c r="B478" s="38" t="str"/>
      <x:c r="C478" s="38"/>
      <x:c r="D478" s="39"/>
      <x:c r="E478" s="48" t="b">
        <x:v>0</x:v>
      </x:c>
      <x:c r="F478" s="38" t="str"/>
      <x:c r="G478" s="35"/>
      <x:c r="H478" s="35"/>
      <x:c r="I478" s="35"/>
    </x:row>
    <x:row r="479">
      <x:c r="A479" s="38" t="str"/>
      <x:c r="B479" s="38" t="str"/>
      <x:c r="C479" s="38"/>
      <x:c r="D479" s="39"/>
      <x:c r="E479" s="48" t="b">
        <x:v>0</x:v>
      </x:c>
      <x:c r="F479" s="38" t="str"/>
      <x:c r="G479" s="35"/>
      <x:c r="H479" s="35"/>
      <x:c r="I479" s="35"/>
    </x:row>
    <x:row r="480">
      <x:c r="A480" s="38" t="str"/>
      <x:c r="B480" s="38" t="str"/>
      <x:c r="C480" s="38"/>
      <x:c r="D480" s="39"/>
      <x:c r="E480" s="48" t="b">
        <x:v>0</x:v>
      </x:c>
      <x:c r="F480" s="38" t="str"/>
      <x:c r="G480" s="35"/>
      <x:c r="H480" s="35"/>
      <x:c r="I480" s="35"/>
    </x:row>
    <x:row r="481">
      <x:c r="A481" s="38" t="str"/>
      <x:c r="B481" s="38" t="str"/>
      <x:c r="C481" s="38"/>
      <x:c r="D481" s="39"/>
      <x:c r="E481" s="48" t="b">
        <x:v>0</x:v>
      </x:c>
      <x:c r="F481" s="38" t="str"/>
      <x:c r="G481" s="35"/>
      <x:c r="H481" s="35"/>
      <x:c r="I481" s="35"/>
    </x:row>
    <x:row r="482">
      <x:c r="A482" s="38" t="str"/>
      <x:c r="B482" s="38" t="str"/>
      <x:c r="C482" s="38"/>
      <x:c r="D482" s="39"/>
      <x:c r="E482" s="48" t="b">
        <x:v>0</x:v>
      </x:c>
      <x:c r="F482" s="38" t="str"/>
      <x:c r="G482" s="35"/>
      <x:c r="H482" s="35"/>
      <x:c r="I482" s="35"/>
    </x:row>
    <x:row r="483">
      <x:c r="A483" s="38" t="str"/>
      <x:c r="B483" s="38" t="str"/>
      <x:c r="C483" s="38"/>
      <x:c r="D483" s="39"/>
      <x:c r="E483" s="48" t="b">
        <x:v>0</x:v>
      </x:c>
      <x:c r="F483" s="38" t="str"/>
      <x:c r="G483" s="35"/>
      <x:c r="H483" s="35"/>
      <x:c r="I483" s="35"/>
    </x:row>
    <x:row r="484">
      <x:c r="A484" s="38" t="str"/>
      <x:c r="B484" s="38" t="str"/>
      <x:c r="C484" s="38"/>
      <x:c r="D484" s="39"/>
      <x:c r="E484" s="48" t="b">
        <x:v>0</x:v>
      </x:c>
      <x:c r="F484" s="38" t="str"/>
      <x:c r="G484" s="35"/>
      <x:c r="H484" s="35"/>
      <x:c r="I484" s="35"/>
    </x:row>
    <x:row r="485">
      <x:c r="A485" s="38" t="str"/>
      <x:c r="B485" s="38" t="str"/>
      <x:c r="C485" s="38"/>
      <x:c r="D485" s="39"/>
      <x:c r="E485" s="48" t="b">
        <x:v>0</x:v>
      </x:c>
      <x:c r="F485" s="38" t="str"/>
      <x:c r="G485" s="35"/>
      <x:c r="H485" s="35"/>
      <x:c r="I485" s="35"/>
    </x:row>
    <x:row r="486">
      <x:c r="A486" s="38" t="str"/>
      <x:c r="B486" s="38" t="str"/>
      <x:c r="C486" s="38"/>
      <x:c r="D486" s="39"/>
      <x:c r="E486" s="48" t="b">
        <x:v>0</x:v>
      </x:c>
      <x:c r="F486" s="38" t="str"/>
      <x:c r="G486" s="35"/>
      <x:c r="H486" s="35"/>
      <x:c r="I486" s="35"/>
    </x:row>
    <x:row r="487">
      <x:c r="A487" s="38" t="str"/>
      <x:c r="B487" s="38" t="str"/>
      <x:c r="C487" s="38"/>
      <x:c r="D487" s="39"/>
      <x:c r="E487" s="48" t="b">
        <x:v>0</x:v>
      </x:c>
      <x:c r="F487" s="38" t="str"/>
      <x:c r="G487" s="35"/>
      <x:c r="H487" s="35"/>
      <x:c r="I487" s="35"/>
    </x:row>
    <x:row r="488">
      <x:c r="A488" s="38" t="str"/>
      <x:c r="B488" s="38" t="str"/>
      <x:c r="C488" s="38"/>
      <x:c r="D488" s="39"/>
      <x:c r="E488" s="48" t="b">
        <x:v>0</x:v>
      </x:c>
      <x:c r="F488" s="38" t="str"/>
      <x:c r="G488" s="35"/>
      <x:c r="H488" s="35"/>
      <x:c r="I488" s="35"/>
    </x:row>
    <x:row r="489">
      <x:c r="A489" s="38" t="str"/>
      <x:c r="B489" s="38" t="str"/>
      <x:c r="C489" s="38"/>
      <x:c r="D489" s="39"/>
      <x:c r="E489" s="48" t="b">
        <x:v>0</x:v>
      </x:c>
      <x:c r="F489" s="38" t="str"/>
      <x:c r="G489" s="35"/>
      <x:c r="H489" s="35"/>
      <x:c r="I489" s="35"/>
    </x:row>
    <x:row r="490">
      <x:c r="A490" s="38" t="str"/>
      <x:c r="B490" s="38" t="str"/>
      <x:c r="C490" s="38"/>
      <x:c r="D490" s="39"/>
      <x:c r="E490" s="48" t="b">
        <x:v>0</x:v>
      </x:c>
      <x:c r="F490" s="38" t="str"/>
      <x:c r="G490" s="35"/>
      <x:c r="H490" s="35"/>
      <x:c r="I490" s="35"/>
    </x:row>
    <x:row r="491">
      <x:c r="A491" s="38" t="str"/>
      <x:c r="B491" s="38" t="str"/>
      <x:c r="C491" s="38"/>
      <x:c r="D491" s="39"/>
      <x:c r="E491" s="48" t="b">
        <x:v>0</x:v>
      </x:c>
      <x:c r="F491" s="38" t="str"/>
      <x:c r="G491" s="35"/>
      <x:c r="H491" s="35"/>
      <x:c r="I491" s="35"/>
    </x:row>
    <x:row r="492">
      <x:c r="A492" s="38" t="str"/>
      <x:c r="B492" s="38" t="str"/>
      <x:c r="C492" s="38"/>
      <x:c r="D492" s="39"/>
      <x:c r="E492" s="48" t="b">
        <x:v>0</x:v>
      </x:c>
      <x:c r="F492" s="38" t="str"/>
      <x:c r="G492" s="35"/>
      <x:c r="H492" s="35"/>
      <x:c r="I492" s="35"/>
    </x:row>
    <x:row r="493">
      <x:c r="A493" s="38" t="str"/>
      <x:c r="B493" s="38" t="str"/>
      <x:c r="C493" s="38"/>
      <x:c r="D493" s="39"/>
      <x:c r="E493" s="48" t="b">
        <x:v>0</x:v>
      </x:c>
      <x:c r="F493" s="38" t="str"/>
      <x:c r="G493" s="35"/>
      <x:c r="H493" s="35"/>
      <x:c r="I493" s="35"/>
    </x:row>
    <x:row r="494">
      <x:c r="A494" s="38" t="str"/>
      <x:c r="B494" s="38" t="str"/>
      <x:c r="C494" s="38"/>
      <x:c r="D494" s="39"/>
      <x:c r="E494" s="48" t="b">
        <x:v>0</x:v>
      </x:c>
      <x:c r="F494" s="38" t="str"/>
      <x:c r="G494" s="35"/>
      <x:c r="H494" s="35"/>
      <x:c r="I494" s="35"/>
    </x:row>
    <x:row r="495">
      <x:c r="A495" s="38" t="str"/>
      <x:c r="B495" s="38" t="str"/>
      <x:c r="C495" s="38"/>
      <x:c r="D495" s="39"/>
      <x:c r="E495" s="48" t="b">
        <x:v>0</x:v>
      </x:c>
      <x:c r="F495" s="38" t="str"/>
      <x:c r="G495" s="35"/>
      <x:c r="H495" s="35"/>
      <x:c r="I495" s="35"/>
    </x:row>
    <x:row r="496">
      <x:c r="A496" s="38" t="str"/>
      <x:c r="B496" s="38" t="str"/>
      <x:c r="C496" s="38"/>
      <x:c r="D496" s="39"/>
      <x:c r="E496" s="48" t="b">
        <x:v>0</x:v>
      </x:c>
      <x:c r="F496" s="38" t="str"/>
      <x:c r="G496" s="35"/>
      <x:c r="H496" s="35"/>
      <x:c r="I496" s="35"/>
    </x:row>
    <x:row r="497">
      <x:c r="A497" s="38" t="str"/>
      <x:c r="B497" s="38" t="str"/>
      <x:c r="C497" s="38"/>
      <x:c r="D497" s="39"/>
      <x:c r="E497" s="48" t="b">
        <x:v>0</x:v>
      </x:c>
      <x:c r="F497" s="38" t="str"/>
      <x:c r="G497" s="35"/>
      <x:c r="H497" s="35"/>
      <x:c r="I497" s="35"/>
    </x:row>
    <x:row r="498">
      <x:c r="A498" s="38" t="str"/>
      <x:c r="B498" s="38" t="str"/>
      <x:c r="C498" s="38"/>
      <x:c r="D498" s="39"/>
      <x:c r="E498" s="48" t="b">
        <x:v>0</x:v>
      </x:c>
      <x:c r="F498" s="38" t="str"/>
      <x:c r="G498" s="35"/>
      <x:c r="H498" s="35"/>
      <x:c r="I498" s="35"/>
    </x:row>
    <x:row r="499">
      <x:c r="A499" s="38" t="str"/>
      <x:c r="B499" s="38" t="str"/>
      <x:c r="C499" s="38"/>
      <x:c r="D499" s="39"/>
      <x:c r="E499" s="48" t="b">
        <x:v>0</x:v>
      </x:c>
      <x:c r="F499" s="38" t="str"/>
      <x:c r="G499" s="35"/>
      <x:c r="H499" s="35"/>
      <x:c r="I499" s="35"/>
    </x:row>
    <x:row r="500">
      <x:c r="A500" s="38" t="str"/>
      <x:c r="B500" s="38" t="str"/>
      <x:c r="C500" s="38"/>
      <x:c r="D500" s="39"/>
      <x:c r="E500" s="48" t="b">
        <x:v>0</x:v>
      </x:c>
      <x:c r="F500" s="38" t="str"/>
      <x:c r="G500" s="35"/>
      <x:c r="H500" s="35"/>
      <x:c r="I500" s="35"/>
    </x:row>
    <x:row r="501">
      <x:c r="A501" s="38" t="str"/>
      <x:c r="B501" s="38" t="str"/>
      <x:c r="C501" s="38"/>
      <x:c r="D501" s="39"/>
      <x:c r="E501" s="48" t="b">
        <x:v>0</x:v>
      </x:c>
      <x:c r="F501" s="38" t="str"/>
      <x:c r="G501" s="35"/>
      <x:c r="H501" s="35"/>
      <x:c r="I501" s="35"/>
    </x:row>
    <x:row r="502">
      <x:c r="A502" s="38" t="str"/>
      <x:c r="B502" s="38" t="str"/>
      <x:c r="C502" s="38"/>
      <x:c r="D502" s="39"/>
      <x:c r="E502" s="48" t="b">
        <x:v>0</x:v>
      </x:c>
      <x:c r="F502" s="38" t="str"/>
      <x:c r="G502" s="35"/>
      <x:c r="H502" s="35"/>
      <x:c r="I502" s="35"/>
    </x:row>
    <x:row r="503">
      <x:c r="A503" s="38" t="str"/>
      <x:c r="B503" s="38" t="str"/>
      <x:c r="C503" s="38"/>
      <x:c r="D503" s="39"/>
      <x:c r="E503" s="48" t="b">
        <x:v>0</x:v>
      </x:c>
      <x:c r="F503" s="38" t="str"/>
      <x:c r="G503" s="35"/>
      <x:c r="H503" s="35"/>
      <x:c r="I503" s="35"/>
    </x:row>
    <x:row r="504">
      <x:c r="A504" s="38" t="str"/>
      <x:c r="B504" s="38" t="str"/>
      <x:c r="C504" s="38"/>
      <x:c r="D504" s="39"/>
      <x:c r="E504" s="48" t="b">
        <x:v>0</x:v>
      </x:c>
      <x:c r="F504" s="38" t="str"/>
      <x:c r="G504" s="35"/>
      <x:c r="H504" s="35"/>
      <x:c r="I504" s="35"/>
    </x:row>
    <x:row r="505">
      <x:c r="A505" s="38" t="str"/>
      <x:c r="B505" s="38" t="str"/>
      <x:c r="C505" s="38"/>
      <x:c r="D505" s="39"/>
      <x:c r="E505" s="48" t="b">
        <x:v>0</x:v>
      </x:c>
      <x:c r="F505" s="38" t="str"/>
      <x:c r="G505" s="35"/>
      <x:c r="H505" s="35"/>
      <x:c r="I505" s="35"/>
    </x:row>
  </x:sheetData>
  <x:mergeCells>
    <x:mergeCell ref="A1:F1"/>
    <x:mergeCell ref="A2:F2"/>
  </x:mergeCells>
  <x:dataValidations count="1">
    <x:dataValidation type="list" sqref="F6:F505">
      <x:formula1>'Configuración'!$H$5:$H$10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dbbbc8238c466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6.25" hidden="0" customWidth="1"/>
    <x:col min="3" max="3" width="15" hidden="0" customWidth="1"/>
    <x:col min="4" max="4" width="14.380000114440918" hidden="0" customWidth="1"/>
    <x:col min="5" max="5" width="11.880000114440918" hidden="0" customWidth="1"/>
    <x:col min="6" max="6" width="15" hidden="0" customWidth="1"/>
    <x:col min="7" max="7" width="3.75" hidden="0" customWidth="1"/>
    <x:col min="8" max="8" width="18.75" hidden="0" customWidth="1"/>
    <x:col min="9" max="9" width="11.25" hidden="0" customWidth="1"/>
  </x:cols>
  <x:sheetData>
    <x:row r="1" ht="28.5" customHeight="1">
      <x:c r="A1" s="34" t="str">
        <x:v>Tareas y Pendientes del Hogar</x:v>
      </x:c>
      <x:c r="B1" s="34" t="str">
        <x:v>Tareas y Pendientes del Hogar</x:v>
      </x:c>
      <x:c r="C1" s="34" t="str">
        <x:v>Tareas y Pendientes del Hogar</x:v>
      </x:c>
      <x:c r="D1" s="34" t="str">
        <x:v>Tareas y Pendientes del Hogar</x:v>
      </x:c>
      <x:c r="E1" s="34" t="str">
        <x:v>Tareas y Pendientes del Hogar</x:v>
      </x:c>
      <x:c r="F1" s="34" t="str">
        <x:v>Tareas y Pendientes del Hogar</x:v>
      </x:c>
      <x:c r="G1" s="35"/>
      <x:c r="H1" s="35"/>
      <x:c r="I1" s="35"/>
    </x:row>
    <x:row r="2" ht="19.5" customHeight="1">
      <x:c r="A2" s="36" t="str">
        <x:v>Tareas familiares, vencimientos y estado de avance.</x:v>
      </x:c>
      <x:c r="B2" s="36" t="str">
        <x:v>Tareas familiares, vencimientos y estado de avance.</x:v>
      </x:c>
      <x:c r="C2" s="36" t="str">
        <x:v>Tareas familiares, vencimientos y estado de avance.</x:v>
      </x:c>
      <x:c r="D2" s="36" t="str">
        <x:v>Tareas familiares, vencimientos y estado de avance.</x:v>
      </x:c>
      <x:c r="E2" s="36" t="str">
        <x:v>Tareas familiares, vencimientos y estado de avance.</x:v>
      </x:c>
      <x:c r="F2" s="36" t="str">
        <x:v>Tareas familiares, vencimientos y estado de avance.</x:v>
      </x:c>
      <x:c r="G2" s="35"/>
      <x:c r="H2" s="35"/>
      <x:c r="I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</x:row>
    <x:row r="5">
      <x:c r="A5" s="37" t="str">
        <x:v>Tarea</x:v>
      </x:c>
      <x:c r="B5" s="37" t="str">
        <x:v>Categoría</x:v>
      </x:c>
      <x:c r="C5" s="37" t="str">
        <x:v>Responsable</x:v>
      </x:c>
      <x:c r="D5" s="37" t="str">
        <x:v>Fecha límite</x:v>
      </x:c>
      <x:c r="E5" s="37" t="str">
        <x:v>Prioridad</x:v>
      </x:c>
      <x:c r="F5" s="37" t="str">
        <x:v>Estado</x:v>
      </x:c>
      <x:c r="G5" s="35"/>
      <x:c r="H5" s="37" t="str">
        <x:v>Indicador</x:v>
      </x:c>
      <x:c r="I5" s="37" t="str">
        <x:v>Valor</x:v>
      </x:c>
    </x:row>
    <x:row r="6">
      <x:c r="A6" s="38" t="str">
        <x:v>Revisar seguro</x:v>
      </x:c>
      <x:c r="B6" s="38" t="str">
        <x:v>Finanzas</x:v>
      </x:c>
      <x:c r="C6" s="38" t="str">
        <x:v>Persona 1</x:v>
      </x:c>
      <x:c r="D6" s="46" t="n">
        <x:v>46198</x:v>
      </x:c>
      <x:c r="E6" s="38" t="str">
        <x:v>Alta</x:v>
      </x:c>
      <x:c r="F6" s="38" t="str">
        <x:v>Pendiente</x:v>
      </x:c>
      <x:c r="G6" s="35"/>
      <x:c r="H6" s="38" t="str">
        <x:v>Pendientes</x:v>
      </x:c>
      <x:c r="I6" s="38" t="n">
        <x:f>COUNTIFS($F$6:$F$505,"&lt;&gt;Completada",$A$6:$A$505,"&lt;&gt;")</x:f>
        <x:v>499</x:v>
      </x:c>
    </x:row>
    <x:row r="7">
      <x:c r="A7" s="38" t="str">
        <x:v>Cambiar filtro</x:v>
      </x:c>
      <x:c r="B7" s="38" t="str">
        <x:v>Mantenimiento</x:v>
      </x:c>
      <x:c r="C7" s="38" t="str">
        <x:v>Persona 2</x:v>
      </x:c>
      <x:c r="D7" s="46" t="n">
        <x:v>46187</x:v>
      </x:c>
      <x:c r="E7" s="38" t="str">
        <x:v>Media</x:v>
      </x:c>
      <x:c r="F7" s="38" t="str">
        <x:v>En proceso</x:v>
      </x:c>
      <x:c r="G7" s="35"/>
      <x:c r="H7" s="38" t="str">
        <x:v>Completadas</x:v>
      </x:c>
      <x:c r="I7" s="38" t="n">
        <x:f>COUNTIF($F$6:$F$505,"Completada")</x:f>
        <x:v>1</x:v>
      </x:c>
    </x:row>
    <x:row r="8">
      <x:c r="A8" s="38" t="str">
        <x:v>Organizar recibos</x:v>
      </x:c>
      <x:c r="B8" s="38" t="str">
        <x:v>Administración</x:v>
      </x:c>
      <x:c r="C8" s="38" t="str">
        <x:v>Familia</x:v>
      </x:c>
      <x:c r="D8" s="46" t="n">
        <x:v>46182</x:v>
      </x:c>
      <x:c r="E8" s="38" t="str">
        <x:v>Baja</x:v>
      </x:c>
      <x:c r="F8" s="38" t="str">
        <x:v>Completada</x:v>
      </x:c>
      <x:c r="G8" s="35"/>
      <x:c r="H8" s="38" t="str">
        <x:v>Vencidas</x:v>
      </x:c>
      <x:c r="I8" s="38" t="n">
        <x:f>COUNTIFS($F$6:$F$505,"&lt;&gt;Completada",$D$6:$D$505,"&lt;"&amp;TODAY(),$D$6:$D$505,"&lt;&gt;")</x:f>
        <x:v>0</x:v>
      </x:c>
    </x:row>
    <x:row r="9">
      <x:c r="A9" s="38" t="str"/>
      <x:c r="B9" s="38" t="str"/>
      <x:c r="C9" s="38" t="str"/>
      <x:c r="D9" s="46"/>
      <x:c r="E9" s="38" t="str"/>
      <x:c r="F9" s="38" t="str"/>
      <x:c r="G9" s="35"/>
      <x:c r="H9" s="35"/>
      <x:c r="I9" s="35"/>
    </x:row>
    <x:row r="10">
      <x:c r="A10" s="38" t="str"/>
      <x:c r="B10" s="38" t="str"/>
      <x:c r="C10" s="38" t="str"/>
      <x:c r="D10" s="46"/>
      <x:c r="E10" s="38" t="str"/>
      <x:c r="F10" s="38" t="str"/>
      <x:c r="G10" s="35"/>
      <x:c r="H10" s="35"/>
      <x:c r="I10" s="35"/>
    </x:row>
    <x:row r="11">
      <x:c r="A11" s="38" t="str"/>
      <x:c r="B11" s="38" t="str"/>
      <x:c r="C11" s="38" t="str"/>
      <x:c r="D11" s="46"/>
      <x:c r="E11" s="38" t="str"/>
      <x:c r="F11" s="38" t="str"/>
      <x:c r="G11" s="35"/>
      <x:c r="H11" s="35"/>
      <x:c r="I11" s="35"/>
    </x:row>
    <x:row r="12">
      <x:c r="A12" s="38" t="str"/>
      <x:c r="B12" s="38" t="str"/>
      <x:c r="C12" s="38" t="str"/>
      <x:c r="D12" s="46"/>
      <x:c r="E12" s="38" t="str"/>
      <x:c r="F12" s="38" t="str"/>
      <x:c r="G12" s="35"/>
      <x:c r="H12" s="35"/>
      <x:c r="I12" s="35"/>
    </x:row>
    <x:row r="13">
      <x:c r="A13" s="38" t="str"/>
      <x:c r="B13" s="38" t="str"/>
      <x:c r="C13" s="38" t="str"/>
      <x:c r="D13" s="46"/>
      <x:c r="E13" s="38" t="str"/>
      <x:c r="F13" s="38" t="str"/>
      <x:c r="G13" s="35"/>
      <x:c r="H13" s="35"/>
      <x:c r="I13" s="35"/>
    </x:row>
    <x:row r="14">
      <x:c r="A14" s="38" t="str"/>
      <x:c r="B14" s="38" t="str"/>
      <x:c r="C14" s="38" t="str"/>
      <x:c r="D14" s="46"/>
      <x:c r="E14" s="38" t="str"/>
      <x:c r="F14" s="38" t="str"/>
      <x:c r="G14" s="35"/>
      <x:c r="H14" s="35"/>
      <x:c r="I14" s="35"/>
    </x:row>
    <x:row r="15">
      <x:c r="A15" s="38" t="str"/>
      <x:c r="B15" s="38" t="str"/>
      <x:c r="C15" s="38" t="str"/>
      <x:c r="D15" s="46"/>
      <x:c r="E15" s="38" t="str"/>
      <x:c r="F15" s="38" t="str"/>
      <x:c r="G15" s="35"/>
      <x:c r="H15" s="35"/>
      <x:c r="I15" s="35"/>
    </x:row>
    <x:row r="16">
      <x:c r="A16" s="38" t="str"/>
      <x:c r="B16" s="38" t="str"/>
      <x:c r="C16" s="38" t="str"/>
      <x:c r="D16" s="46"/>
      <x:c r="E16" s="38" t="str"/>
      <x:c r="F16" s="38" t="str"/>
      <x:c r="G16" s="35"/>
      <x:c r="H16" s="35"/>
      <x:c r="I16" s="35"/>
    </x:row>
    <x:row r="17">
      <x:c r="A17" s="38" t="str"/>
      <x:c r="B17" s="38" t="str"/>
      <x:c r="C17" s="38" t="str"/>
      <x:c r="D17" s="46"/>
      <x:c r="E17" s="38" t="str"/>
      <x:c r="F17" s="38" t="str"/>
      <x:c r="G17" s="35"/>
      <x:c r="H17" s="35"/>
      <x:c r="I17" s="35"/>
    </x:row>
    <x:row r="18">
      <x:c r="A18" s="38" t="str"/>
      <x:c r="B18" s="38" t="str"/>
      <x:c r="C18" s="38" t="str"/>
      <x:c r="D18" s="46"/>
      <x:c r="E18" s="38" t="str"/>
      <x:c r="F18" s="38" t="str"/>
      <x:c r="G18" s="35"/>
      <x:c r="H18" s="35"/>
      <x:c r="I18" s="35"/>
    </x:row>
    <x:row r="19">
      <x:c r="A19" s="38" t="str"/>
      <x:c r="B19" s="38" t="str"/>
      <x:c r="C19" s="38" t="str"/>
      <x:c r="D19" s="46"/>
      <x:c r="E19" s="38" t="str"/>
      <x:c r="F19" s="38" t="str"/>
      <x:c r="G19" s="35"/>
      <x:c r="H19" s="35"/>
      <x:c r="I19" s="35"/>
    </x:row>
    <x:row r="20">
      <x:c r="A20" s="38" t="str"/>
      <x:c r="B20" s="38" t="str"/>
      <x:c r="C20" s="38" t="str"/>
      <x:c r="D20" s="46"/>
      <x:c r="E20" s="38" t="str"/>
      <x:c r="F20" s="38" t="str"/>
      <x:c r="G20" s="35"/>
      <x:c r="H20" s="35"/>
      <x:c r="I20" s="35"/>
    </x:row>
    <x:row r="21">
      <x:c r="A21" s="38" t="str"/>
      <x:c r="B21" s="38" t="str"/>
      <x:c r="C21" s="38" t="str"/>
      <x:c r="D21" s="46"/>
      <x:c r="E21" s="38" t="str"/>
      <x:c r="F21" s="38" t="str"/>
      <x:c r="G21" s="35"/>
      <x:c r="H21" s="35"/>
      <x:c r="I21" s="35"/>
    </x:row>
    <x:row r="22">
      <x:c r="A22" s="38" t="str"/>
      <x:c r="B22" s="38" t="str"/>
      <x:c r="C22" s="38" t="str"/>
      <x:c r="D22" s="46"/>
      <x:c r="E22" s="38" t="str"/>
      <x:c r="F22" s="38" t="str"/>
      <x:c r="G22" s="35"/>
      <x:c r="H22" s="35"/>
      <x:c r="I22" s="35"/>
    </x:row>
    <x:row r="23">
      <x:c r="A23" s="38" t="str"/>
      <x:c r="B23" s="38" t="str"/>
      <x:c r="C23" s="38" t="str"/>
      <x:c r="D23" s="46"/>
      <x:c r="E23" s="38" t="str"/>
      <x:c r="F23" s="38" t="str"/>
      <x:c r="G23" s="35"/>
      <x:c r="H23" s="35"/>
      <x:c r="I23" s="35"/>
    </x:row>
    <x:row r="24">
      <x:c r="A24" s="38" t="str"/>
      <x:c r="B24" s="38" t="str"/>
      <x:c r="C24" s="38" t="str"/>
      <x:c r="D24" s="46"/>
      <x:c r="E24" s="38" t="str"/>
      <x:c r="F24" s="38" t="str"/>
      <x:c r="G24" s="35"/>
      <x:c r="H24" s="35"/>
      <x:c r="I24" s="35"/>
    </x:row>
    <x:row r="25">
      <x:c r="A25" s="38" t="str"/>
      <x:c r="B25" s="38" t="str"/>
      <x:c r="C25" s="38" t="str"/>
      <x:c r="D25" s="46"/>
      <x:c r="E25" s="38" t="str"/>
      <x:c r="F25" s="38" t="str"/>
      <x:c r="G25" s="35"/>
      <x:c r="H25" s="35"/>
      <x:c r="I25" s="35"/>
    </x:row>
    <x:row r="26">
      <x:c r="A26" s="38" t="str"/>
      <x:c r="B26" s="38" t="str"/>
      <x:c r="C26" s="38" t="str"/>
      <x:c r="D26" s="46"/>
      <x:c r="E26" s="38" t="str"/>
      <x:c r="F26" s="38" t="str"/>
      <x:c r="G26" s="35"/>
      <x:c r="H26" s="35"/>
      <x:c r="I26" s="35"/>
    </x:row>
    <x:row r="27">
      <x:c r="A27" s="38" t="str"/>
      <x:c r="B27" s="38" t="str"/>
      <x:c r="C27" s="38" t="str"/>
      <x:c r="D27" s="46"/>
      <x:c r="E27" s="38" t="str"/>
      <x:c r="F27" s="38" t="str"/>
      <x:c r="G27" s="35"/>
      <x:c r="H27" s="35"/>
      <x:c r="I27" s="35"/>
    </x:row>
    <x:row r="28">
      <x:c r="A28" s="38" t="str"/>
      <x:c r="B28" s="38" t="str"/>
      <x:c r="C28" s="38" t="str"/>
      <x:c r="D28" s="46"/>
      <x:c r="E28" s="38" t="str"/>
      <x:c r="F28" s="38" t="str"/>
      <x:c r="G28" s="35"/>
      <x:c r="H28" s="35"/>
      <x:c r="I28" s="35"/>
    </x:row>
    <x:row r="29">
      <x:c r="A29" s="38" t="str"/>
      <x:c r="B29" s="38" t="str"/>
      <x:c r="C29" s="38" t="str"/>
      <x:c r="D29" s="46"/>
      <x:c r="E29" s="38" t="str"/>
      <x:c r="F29" s="38" t="str"/>
      <x:c r="G29" s="35"/>
      <x:c r="H29" s="35"/>
      <x:c r="I29" s="35"/>
    </x:row>
    <x:row r="30">
      <x:c r="A30" s="38" t="str"/>
      <x:c r="B30" s="38" t="str"/>
      <x:c r="C30" s="38" t="str"/>
      <x:c r="D30" s="46"/>
      <x:c r="E30" s="38" t="str"/>
      <x:c r="F30" s="38" t="str"/>
      <x:c r="G30" s="35"/>
      <x:c r="H30" s="35"/>
      <x:c r="I30" s="35"/>
    </x:row>
    <x:row r="31">
      <x:c r="A31" s="38" t="str"/>
      <x:c r="B31" s="38" t="str"/>
      <x:c r="C31" s="38" t="str"/>
      <x:c r="D31" s="46"/>
      <x:c r="E31" s="38" t="str"/>
      <x:c r="F31" s="38" t="str"/>
      <x:c r="G31" s="35"/>
      <x:c r="H31" s="35"/>
      <x:c r="I31" s="35"/>
    </x:row>
    <x:row r="32">
      <x:c r="A32" s="38" t="str"/>
      <x:c r="B32" s="38" t="str"/>
      <x:c r="C32" s="38" t="str"/>
      <x:c r="D32" s="46"/>
      <x:c r="E32" s="38" t="str"/>
      <x:c r="F32" s="38" t="str"/>
      <x:c r="G32" s="35"/>
      <x:c r="H32" s="35"/>
      <x:c r="I32" s="35"/>
    </x:row>
    <x:row r="33">
      <x:c r="A33" s="38" t="str"/>
      <x:c r="B33" s="38" t="str"/>
      <x:c r="C33" s="38" t="str"/>
      <x:c r="D33" s="46"/>
      <x:c r="E33" s="38" t="str"/>
      <x:c r="F33" s="38" t="str"/>
      <x:c r="G33" s="35"/>
      <x:c r="H33" s="35"/>
      <x:c r="I33" s="35"/>
    </x:row>
    <x:row r="34">
      <x:c r="A34" s="38" t="str"/>
      <x:c r="B34" s="38" t="str"/>
      <x:c r="C34" s="38" t="str"/>
      <x:c r="D34" s="46"/>
      <x:c r="E34" s="38" t="str"/>
      <x:c r="F34" s="38" t="str"/>
      <x:c r="G34" s="35"/>
      <x:c r="H34" s="35"/>
      <x:c r="I34" s="35"/>
    </x:row>
    <x:row r="35">
      <x:c r="A35" s="38" t="str"/>
      <x:c r="B35" s="38" t="str"/>
      <x:c r="C35" s="38" t="str"/>
      <x:c r="D35" s="46"/>
      <x:c r="E35" s="38" t="str"/>
      <x:c r="F35" s="38" t="str"/>
      <x:c r="G35" s="35"/>
      <x:c r="H35" s="35"/>
      <x:c r="I35" s="35"/>
    </x:row>
    <x:row r="36">
      <x:c r="A36" s="38" t="str"/>
      <x:c r="B36" s="38" t="str"/>
      <x:c r="C36" s="38" t="str"/>
      <x:c r="D36" s="46"/>
      <x:c r="E36" s="38" t="str"/>
      <x:c r="F36" s="38" t="str"/>
      <x:c r="G36" s="35"/>
      <x:c r="H36" s="35"/>
      <x:c r="I36" s="35"/>
    </x:row>
    <x:row r="37">
      <x:c r="A37" s="38" t="str"/>
      <x:c r="B37" s="38" t="str"/>
      <x:c r="C37" s="38" t="str"/>
      <x:c r="D37" s="46"/>
      <x:c r="E37" s="38" t="str"/>
      <x:c r="F37" s="38" t="str"/>
      <x:c r="G37" s="35"/>
      <x:c r="H37" s="35"/>
      <x:c r="I37" s="35"/>
    </x:row>
    <x:row r="38">
      <x:c r="A38" s="38" t="str"/>
      <x:c r="B38" s="38" t="str"/>
      <x:c r="C38" s="38" t="str"/>
      <x:c r="D38" s="46"/>
      <x:c r="E38" s="38" t="str"/>
      <x:c r="F38" s="38" t="str"/>
      <x:c r="G38" s="35"/>
      <x:c r="H38" s="35"/>
      <x:c r="I38" s="35"/>
    </x:row>
    <x:row r="39">
      <x:c r="A39" s="38" t="str"/>
      <x:c r="B39" s="38" t="str"/>
      <x:c r="C39" s="38" t="str"/>
      <x:c r="D39" s="46"/>
      <x:c r="E39" s="38" t="str"/>
      <x:c r="F39" s="38" t="str"/>
      <x:c r="G39" s="35"/>
      <x:c r="H39" s="35"/>
      <x:c r="I39" s="35"/>
    </x:row>
    <x:row r="40">
      <x:c r="A40" s="38" t="str"/>
      <x:c r="B40" s="38" t="str"/>
      <x:c r="C40" s="38" t="str"/>
      <x:c r="D40" s="46"/>
      <x:c r="E40" s="38" t="str"/>
      <x:c r="F40" s="38" t="str"/>
      <x:c r="G40" s="35"/>
      <x:c r="H40" s="35"/>
      <x:c r="I40" s="35"/>
    </x:row>
    <x:row r="41">
      <x:c r="A41" s="38" t="str"/>
      <x:c r="B41" s="38" t="str"/>
      <x:c r="C41" s="38" t="str"/>
      <x:c r="D41" s="46"/>
      <x:c r="E41" s="38" t="str"/>
      <x:c r="F41" s="38" t="str"/>
      <x:c r="G41" s="35"/>
      <x:c r="H41" s="35"/>
      <x:c r="I41" s="35"/>
    </x:row>
    <x:row r="42">
      <x:c r="A42" s="38" t="str"/>
      <x:c r="B42" s="38" t="str"/>
      <x:c r="C42" s="38" t="str"/>
      <x:c r="D42" s="46"/>
      <x:c r="E42" s="38" t="str"/>
      <x:c r="F42" s="38" t="str"/>
      <x:c r="G42" s="35"/>
      <x:c r="H42" s="35"/>
      <x:c r="I42" s="35"/>
    </x:row>
    <x:row r="43">
      <x:c r="A43" s="38" t="str"/>
      <x:c r="B43" s="38" t="str"/>
      <x:c r="C43" s="38" t="str"/>
      <x:c r="D43" s="46"/>
      <x:c r="E43" s="38" t="str"/>
      <x:c r="F43" s="38" t="str"/>
      <x:c r="G43" s="35"/>
      <x:c r="H43" s="35"/>
      <x:c r="I43" s="35"/>
    </x:row>
    <x:row r="44">
      <x:c r="A44" s="38" t="str"/>
      <x:c r="B44" s="38" t="str"/>
      <x:c r="C44" s="38" t="str"/>
      <x:c r="D44" s="46"/>
      <x:c r="E44" s="38" t="str"/>
      <x:c r="F44" s="38" t="str"/>
      <x:c r="G44" s="35"/>
      <x:c r="H44" s="35"/>
      <x:c r="I44" s="35"/>
    </x:row>
    <x:row r="45">
      <x:c r="A45" s="38" t="str"/>
      <x:c r="B45" s="38" t="str"/>
      <x:c r="C45" s="38" t="str"/>
      <x:c r="D45" s="46"/>
      <x:c r="E45" s="38" t="str"/>
      <x:c r="F45" s="38" t="str"/>
      <x:c r="G45" s="35"/>
      <x:c r="H45" s="35"/>
      <x:c r="I45" s="35"/>
    </x:row>
    <x:row r="46">
      <x:c r="A46" s="38" t="str"/>
      <x:c r="B46" s="38" t="str"/>
      <x:c r="C46" s="38" t="str"/>
      <x:c r="D46" s="46"/>
      <x:c r="E46" s="38" t="str"/>
      <x:c r="F46" s="38" t="str"/>
      <x:c r="G46" s="35"/>
      <x:c r="H46" s="35"/>
      <x:c r="I46" s="35"/>
    </x:row>
    <x:row r="47">
      <x:c r="A47" s="38" t="str"/>
      <x:c r="B47" s="38" t="str"/>
      <x:c r="C47" s="38" t="str"/>
      <x:c r="D47" s="46"/>
      <x:c r="E47" s="38" t="str"/>
      <x:c r="F47" s="38" t="str"/>
      <x:c r="G47" s="35"/>
      <x:c r="H47" s="35"/>
      <x:c r="I47" s="35"/>
    </x:row>
    <x:row r="48">
      <x:c r="A48" s="38" t="str"/>
      <x:c r="B48" s="38" t="str"/>
      <x:c r="C48" s="38" t="str"/>
      <x:c r="D48" s="46"/>
      <x:c r="E48" s="38" t="str"/>
      <x:c r="F48" s="38" t="str"/>
      <x:c r="G48" s="35"/>
      <x:c r="H48" s="35"/>
      <x:c r="I48" s="35"/>
    </x:row>
    <x:row r="49">
      <x:c r="A49" s="38" t="str"/>
      <x:c r="B49" s="38" t="str"/>
      <x:c r="C49" s="38" t="str"/>
      <x:c r="D49" s="46"/>
      <x:c r="E49" s="38" t="str"/>
      <x:c r="F49" s="38" t="str"/>
      <x:c r="G49" s="35"/>
      <x:c r="H49" s="35"/>
      <x:c r="I49" s="35"/>
    </x:row>
    <x:row r="50">
      <x:c r="A50" s="38" t="str"/>
      <x:c r="B50" s="38" t="str"/>
      <x:c r="C50" s="38" t="str"/>
      <x:c r="D50" s="46"/>
      <x:c r="E50" s="38" t="str"/>
      <x:c r="F50" s="38" t="str"/>
      <x:c r="G50" s="35"/>
      <x:c r="H50" s="35"/>
      <x:c r="I50" s="35"/>
    </x:row>
    <x:row r="51">
      <x:c r="A51" s="38" t="str"/>
      <x:c r="B51" s="38" t="str"/>
      <x:c r="C51" s="38" t="str"/>
      <x:c r="D51" s="46"/>
      <x:c r="E51" s="38" t="str"/>
      <x:c r="F51" s="38" t="str"/>
      <x:c r="G51" s="35"/>
      <x:c r="H51" s="35"/>
      <x:c r="I51" s="35"/>
    </x:row>
    <x:row r="52">
      <x:c r="A52" s="38" t="str"/>
      <x:c r="B52" s="38" t="str"/>
      <x:c r="C52" s="38" t="str"/>
      <x:c r="D52" s="46"/>
      <x:c r="E52" s="38" t="str"/>
      <x:c r="F52" s="38" t="str"/>
      <x:c r="G52" s="35"/>
      <x:c r="H52" s="35"/>
      <x:c r="I52" s="35"/>
    </x:row>
    <x:row r="53">
      <x:c r="A53" s="38" t="str"/>
      <x:c r="B53" s="38" t="str"/>
      <x:c r="C53" s="38" t="str"/>
      <x:c r="D53" s="46"/>
      <x:c r="E53" s="38" t="str"/>
      <x:c r="F53" s="38" t="str"/>
      <x:c r="G53" s="35"/>
      <x:c r="H53" s="35"/>
      <x:c r="I53" s="35"/>
    </x:row>
    <x:row r="54">
      <x:c r="A54" s="38" t="str"/>
      <x:c r="B54" s="38" t="str"/>
      <x:c r="C54" s="38" t="str"/>
      <x:c r="D54" s="46"/>
      <x:c r="E54" s="38" t="str"/>
      <x:c r="F54" s="38" t="str"/>
      <x:c r="G54" s="35"/>
      <x:c r="H54" s="35"/>
      <x:c r="I54" s="35"/>
    </x:row>
    <x:row r="55">
      <x:c r="A55" s="38" t="str"/>
      <x:c r="B55" s="38" t="str"/>
      <x:c r="C55" s="38" t="str"/>
      <x:c r="D55" s="46"/>
      <x:c r="E55" s="38" t="str"/>
      <x:c r="F55" s="38" t="str"/>
      <x:c r="G55" s="35"/>
      <x:c r="H55" s="35"/>
      <x:c r="I55" s="35"/>
    </x:row>
    <x:row r="56">
      <x:c r="A56" s="38" t="str"/>
      <x:c r="B56" s="38" t="str"/>
      <x:c r="C56" s="38" t="str"/>
      <x:c r="D56" s="46"/>
      <x:c r="E56" s="38" t="str"/>
      <x:c r="F56" s="38" t="str"/>
      <x:c r="G56" s="35"/>
      <x:c r="H56" s="35"/>
      <x:c r="I56" s="35"/>
    </x:row>
    <x:row r="57">
      <x:c r="A57" s="38" t="str"/>
      <x:c r="B57" s="38" t="str"/>
      <x:c r="C57" s="38" t="str"/>
      <x:c r="D57" s="46"/>
      <x:c r="E57" s="38" t="str"/>
      <x:c r="F57" s="38" t="str"/>
      <x:c r="G57" s="35"/>
      <x:c r="H57" s="35"/>
      <x:c r="I57" s="35"/>
    </x:row>
    <x:row r="58">
      <x:c r="A58" s="38" t="str"/>
      <x:c r="B58" s="38" t="str"/>
      <x:c r="C58" s="38" t="str"/>
      <x:c r="D58" s="46"/>
      <x:c r="E58" s="38" t="str"/>
      <x:c r="F58" s="38" t="str"/>
      <x:c r="G58" s="35"/>
      <x:c r="H58" s="35"/>
      <x:c r="I58" s="35"/>
    </x:row>
    <x:row r="59">
      <x:c r="A59" s="38" t="str"/>
      <x:c r="B59" s="38" t="str"/>
      <x:c r="C59" s="38" t="str"/>
      <x:c r="D59" s="46"/>
      <x:c r="E59" s="38" t="str"/>
      <x:c r="F59" s="38" t="str"/>
      <x:c r="G59" s="35"/>
      <x:c r="H59" s="35"/>
      <x:c r="I59" s="35"/>
    </x:row>
    <x:row r="60">
      <x:c r="A60" s="38" t="str"/>
      <x:c r="B60" s="38" t="str"/>
      <x:c r="C60" s="38" t="str"/>
      <x:c r="D60" s="46"/>
      <x:c r="E60" s="38" t="str"/>
      <x:c r="F60" s="38" t="str"/>
      <x:c r="G60" s="35"/>
      <x:c r="H60" s="35"/>
      <x:c r="I60" s="35"/>
    </x:row>
    <x:row r="61">
      <x:c r="A61" s="38" t="str"/>
      <x:c r="B61" s="38" t="str"/>
      <x:c r="C61" s="38" t="str"/>
      <x:c r="D61" s="46"/>
      <x:c r="E61" s="38" t="str"/>
      <x:c r="F61" s="38" t="str"/>
      <x:c r="G61" s="35"/>
      <x:c r="H61" s="35"/>
      <x:c r="I61" s="35"/>
    </x:row>
    <x:row r="62">
      <x:c r="A62" s="38" t="str"/>
      <x:c r="B62" s="38" t="str"/>
      <x:c r="C62" s="38" t="str"/>
      <x:c r="D62" s="46"/>
      <x:c r="E62" s="38" t="str"/>
      <x:c r="F62" s="38" t="str"/>
      <x:c r="G62" s="35"/>
      <x:c r="H62" s="35"/>
      <x:c r="I62" s="35"/>
    </x:row>
    <x:row r="63">
      <x:c r="A63" s="38" t="str"/>
      <x:c r="B63" s="38" t="str"/>
      <x:c r="C63" s="38" t="str"/>
      <x:c r="D63" s="46"/>
      <x:c r="E63" s="38" t="str"/>
      <x:c r="F63" s="38" t="str"/>
      <x:c r="G63" s="35"/>
      <x:c r="H63" s="35"/>
      <x:c r="I63" s="35"/>
    </x:row>
    <x:row r="64">
      <x:c r="A64" s="38" t="str"/>
      <x:c r="B64" s="38" t="str"/>
      <x:c r="C64" s="38" t="str"/>
      <x:c r="D64" s="46"/>
      <x:c r="E64" s="38" t="str"/>
      <x:c r="F64" s="38" t="str"/>
      <x:c r="G64" s="35"/>
      <x:c r="H64" s="35"/>
      <x:c r="I64" s="35"/>
    </x:row>
    <x:row r="65">
      <x:c r="A65" s="38" t="str"/>
      <x:c r="B65" s="38" t="str"/>
      <x:c r="C65" s="38" t="str"/>
      <x:c r="D65" s="46"/>
      <x:c r="E65" s="38" t="str"/>
      <x:c r="F65" s="38" t="str"/>
      <x:c r="G65" s="35"/>
      <x:c r="H65" s="35"/>
      <x:c r="I65" s="35"/>
    </x:row>
    <x:row r="66">
      <x:c r="A66" s="38" t="str"/>
      <x:c r="B66" s="38" t="str"/>
      <x:c r="C66" s="38" t="str"/>
      <x:c r="D66" s="46"/>
      <x:c r="E66" s="38" t="str"/>
      <x:c r="F66" s="38" t="str"/>
      <x:c r="G66" s="35"/>
      <x:c r="H66" s="35"/>
      <x:c r="I66" s="35"/>
    </x:row>
    <x:row r="67">
      <x:c r="A67" s="38" t="str"/>
      <x:c r="B67" s="38" t="str"/>
      <x:c r="C67" s="38" t="str"/>
      <x:c r="D67" s="46"/>
      <x:c r="E67" s="38" t="str"/>
      <x:c r="F67" s="38" t="str"/>
      <x:c r="G67" s="35"/>
      <x:c r="H67" s="35"/>
      <x:c r="I67" s="35"/>
    </x:row>
    <x:row r="68">
      <x:c r="A68" s="38" t="str"/>
      <x:c r="B68" s="38" t="str"/>
      <x:c r="C68" s="38" t="str"/>
      <x:c r="D68" s="46"/>
      <x:c r="E68" s="38" t="str"/>
      <x:c r="F68" s="38" t="str"/>
      <x:c r="G68" s="35"/>
      <x:c r="H68" s="35"/>
      <x:c r="I68" s="35"/>
    </x:row>
    <x:row r="69">
      <x:c r="A69" s="38" t="str"/>
      <x:c r="B69" s="38" t="str"/>
      <x:c r="C69" s="38" t="str"/>
      <x:c r="D69" s="46"/>
      <x:c r="E69" s="38" t="str"/>
      <x:c r="F69" s="38" t="str"/>
      <x:c r="G69" s="35"/>
      <x:c r="H69" s="35"/>
      <x:c r="I69" s="35"/>
    </x:row>
    <x:row r="70">
      <x:c r="A70" s="38" t="str"/>
      <x:c r="B70" s="38" t="str"/>
      <x:c r="C70" s="38" t="str"/>
      <x:c r="D70" s="46"/>
      <x:c r="E70" s="38" t="str"/>
      <x:c r="F70" s="38" t="str"/>
      <x:c r="G70" s="35"/>
      <x:c r="H70" s="35"/>
      <x:c r="I70" s="35"/>
    </x:row>
    <x:row r="71">
      <x:c r="A71" s="38" t="str"/>
      <x:c r="B71" s="38" t="str"/>
      <x:c r="C71" s="38" t="str"/>
      <x:c r="D71" s="46"/>
      <x:c r="E71" s="38" t="str"/>
      <x:c r="F71" s="38" t="str"/>
      <x:c r="G71" s="35"/>
      <x:c r="H71" s="35"/>
      <x:c r="I71" s="35"/>
    </x:row>
    <x:row r="72">
      <x:c r="A72" s="38" t="str"/>
      <x:c r="B72" s="38" t="str"/>
      <x:c r="C72" s="38" t="str"/>
      <x:c r="D72" s="46"/>
      <x:c r="E72" s="38" t="str"/>
      <x:c r="F72" s="38" t="str"/>
      <x:c r="G72" s="35"/>
      <x:c r="H72" s="35"/>
      <x:c r="I72" s="35"/>
    </x:row>
    <x:row r="73">
      <x:c r="A73" s="38" t="str"/>
      <x:c r="B73" s="38" t="str"/>
      <x:c r="C73" s="38" t="str"/>
      <x:c r="D73" s="46"/>
      <x:c r="E73" s="38" t="str"/>
      <x:c r="F73" s="38" t="str"/>
      <x:c r="G73" s="35"/>
      <x:c r="H73" s="35"/>
      <x:c r="I73" s="35"/>
    </x:row>
    <x:row r="74">
      <x:c r="A74" s="38" t="str"/>
      <x:c r="B74" s="38" t="str"/>
      <x:c r="C74" s="38" t="str"/>
      <x:c r="D74" s="46"/>
      <x:c r="E74" s="38" t="str"/>
      <x:c r="F74" s="38" t="str"/>
      <x:c r="G74" s="35"/>
      <x:c r="H74" s="35"/>
      <x:c r="I74" s="35"/>
    </x:row>
    <x:row r="75">
      <x:c r="A75" s="38" t="str"/>
      <x:c r="B75" s="38" t="str"/>
      <x:c r="C75" s="38" t="str"/>
      <x:c r="D75" s="46"/>
      <x:c r="E75" s="38" t="str"/>
      <x:c r="F75" s="38" t="str"/>
      <x:c r="G75" s="35"/>
      <x:c r="H75" s="35"/>
      <x:c r="I75" s="35"/>
    </x:row>
    <x:row r="76">
      <x:c r="A76" s="38" t="str"/>
      <x:c r="B76" s="38" t="str"/>
      <x:c r="C76" s="38" t="str"/>
      <x:c r="D76" s="46"/>
      <x:c r="E76" s="38" t="str"/>
      <x:c r="F76" s="38" t="str"/>
      <x:c r="G76" s="35"/>
      <x:c r="H76" s="35"/>
      <x:c r="I76" s="35"/>
    </x:row>
    <x:row r="77">
      <x:c r="A77" s="38" t="str"/>
      <x:c r="B77" s="38" t="str"/>
      <x:c r="C77" s="38" t="str"/>
      <x:c r="D77" s="46"/>
      <x:c r="E77" s="38" t="str"/>
      <x:c r="F77" s="38" t="str"/>
      <x:c r="G77" s="35"/>
      <x:c r="H77" s="35"/>
      <x:c r="I77" s="35"/>
    </x:row>
    <x:row r="78">
      <x:c r="A78" s="38" t="str"/>
      <x:c r="B78" s="38" t="str"/>
      <x:c r="C78" s="38" t="str"/>
      <x:c r="D78" s="46"/>
      <x:c r="E78" s="38" t="str"/>
      <x:c r="F78" s="38" t="str"/>
      <x:c r="G78" s="35"/>
      <x:c r="H78" s="35"/>
      <x:c r="I78" s="35"/>
    </x:row>
    <x:row r="79">
      <x:c r="A79" s="38" t="str"/>
      <x:c r="B79" s="38" t="str"/>
      <x:c r="C79" s="38" t="str"/>
      <x:c r="D79" s="46"/>
      <x:c r="E79" s="38" t="str"/>
      <x:c r="F79" s="38" t="str"/>
      <x:c r="G79" s="35"/>
      <x:c r="H79" s="35"/>
      <x:c r="I79" s="35"/>
    </x:row>
    <x:row r="80">
      <x:c r="A80" s="38" t="str"/>
      <x:c r="B80" s="38" t="str"/>
      <x:c r="C80" s="38" t="str"/>
      <x:c r="D80" s="46"/>
      <x:c r="E80" s="38" t="str"/>
      <x:c r="F80" s="38" t="str"/>
      <x:c r="G80" s="35"/>
      <x:c r="H80" s="35"/>
      <x:c r="I80" s="35"/>
    </x:row>
    <x:row r="81">
      <x:c r="A81" s="38" t="str"/>
      <x:c r="B81" s="38" t="str"/>
      <x:c r="C81" s="38" t="str"/>
      <x:c r="D81" s="46"/>
      <x:c r="E81" s="38" t="str"/>
      <x:c r="F81" s="38" t="str"/>
      <x:c r="G81" s="35"/>
      <x:c r="H81" s="35"/>
      <x:c r="I81" s="35"/>
    </x:row>
    <x:row r="82">
      <x:c r="A82" s="38" t="str"/>
      <x:c r="B82" s="38" t="str"/>
      <x:c r="C82" s="38" t="str"/>
      <x:c r="D82" s="46"/>
      <x:c r="E82" s="38" t="str"/>
      <x:c r="F82" s="38" t="str"/>
      <x:c r="G82" s="35"/>
      <x:c r="H82" s="35"/>
      <x:c r="I82" s="35"/>
    </x:row>
    <x:row r="83">
      <x:c r="A83" s="38" t="str"/>
      <x:c r="B83" s="38" t="str"/>
      <x:c r="C83" s="38" t="str"/>
      <x:c r="D83" s="46"/>
      <x:c r="E83" s="38" t="str"/>
      <x:c r="F83" s="38" t="str"/>
      <x:c r="G83" s="35"/>
      <x:c r="H83" s="35"/>
      <x:c r="I83" s="35"/>
    </x:row>
    <x:row r="84">
      <x:c r="A84" s="38" t="str"/>
      <x:c r="B84" s="38" t="str"/>
      <x:c r="C84" s="38" t="str"/>
      <x:c r="D84" s="46"/>
      <x:c r="E84" s="38" t="str"/>
      <x:c r="F84" s="38" t="str"/>
      <x:c r="G84" s="35"/>
      <x:c r="H84" s="35"/>
      <x:c r="I84" s="35"/>
    </x:row>
    <x:row r="85">
      <x:c r="A85" s="38" t="str"/>
      <x:c r="B85" s="38" t="str"/>
      <x:c r="C85" s="38" t="str"/>
      <x:c r="D85" s="46"/>
      <x:c r="E85" s="38" t="str"/>
      <x:c r="F85" s="38" t="str"/>
      <x:c r="G85" s="35"/>
      <x:c r="H85" s="35"/>
      <x:c r="I85" s="35"/>
    </x:row>
    <x:row r="86">
      <x:c r="A86" s="38" t="str"/>
      <x:c r="B86" s="38" t="str"/>
      <x:c r="C86" s="38" t="str"/>
      <x:c r="D86" s="46"/>
      <x:c r="E86" s="38" t="str"/>
      <x:c r="F86" s="38" t="str"/>
      <x:c r="G86" s="35"/>
      <x:c r="H86" s="35"/>
      <x:c r="I86" s="35"/>
    </x:row>
    <x:row r="87">
      <x:c r="A87" s="38" t="str"/>
      <x:c r="B87" s="38" t="str"/>
      <x:c r="C87" s="38" t="str"/>
      <x:c r="D87" s="46"/>
      <x:c r="E87" s="38" t="str"/>
      <x:c r="F87" s="38" t="str"/>
      <x:c r="G87" s="35"/>
      <x:c r="H87" s="35"/>
      <x:c r="I87" s="35"/>
    </x:row>
    <x:row r="88">
      <x:c r="A88" s="38" t="str"/>
      <x:c r="B88" s="38" t="str"/>
      <x:c r="C88" s="38" t="str"/>
      <x:c r="D88" s="46"/>
      <x:c r="E88" s="38" t="str"/>
      <x:c r="F88" s="38" t="str"/>
      <x:c r="G88" s="35"/>
      <x:c r="H88" s="35"/>
      <x:c r="I88" s="35"/>
    </x:row>
    <x:row r="89">
      <x:c r="A89" s="38" t="str"/>
      <x:c r="B89" s="38" t="str"/>
      <x:c r="C89" s="38" t="str"/>
      <x:c r="D89" s="46"/>
      <x:c r="E89" s="38" t="str"/>
      <x:c r="F89" s="38" t="str"/>
      <x:c r="G89" s="35"/>
      <x:c r="H89" s="35"/>
      <x:c r="I89" s="35"/>
    </x:row>
    <x:row r="90">
      <x:c r="A90" s="38" t="str"/>
      <x:c r="B90" s="38" t="str"/>
      <x:c r="C90" s="38" t="str"/>
      <x:c r="D90" s="46"/>
      <x:c r="E90" s="38" t="str"/>
      <x:c r="F90" s="38" t="str"/>
      <x:c r="G90" s="35"/>
      <x:c r="H90" s="35"/>
      <x:c r="I90" s="35"/>
    </x:row>
    <x:row r="91">
      <x:c r="A91" s="38" t="str"/>
      <x:c r="B91" s="38" t="str"/>
      <x:c r="C91" s="38" t="str"/>
      <x:c r="D91" s="46"/>
      <x:c r="E91" s="38" t="str"/>
      <x:c r="F91" s="38" t="str"/>
      <x:c r="G91" s="35"/>
      <x:c r="H91" s="35"/>
      <x:c r="I91" s="35"/>
    </x:row>
    <x:row r="92">
      <x:c r="A92" s="38" t="str"/>
      <x:c r="B92" s="38" t="str"/>
      <x:c r="C92" s="38" t="str"/>
      <x:c r="D92" s="46"/>
      <x:c r="E92" s="38" t="str"/>
      <x:c r="F92" s="38" t="str"/>
      <x:c r="G92" s="35"/>
      <x:c r="H92" s="35"/>
      <x:c r="I92" s="35"/>
    </x:row>
    <x:row r="93">
      <x:c r="A93" s="38" t="str"/>
      <x:c r="B93" s="38" t="str"/>
      <x:c r="C93" s="38" t="str"/>
      <x:c r="D93" s="46"/>
      <x:c r="E93" s="38" t="str"/>
      <x:c r="F93" s="38" t="str"/>
      <x:c r="G93" s="35"/>
      <x:c r="H93" s="35"/>
      <x:c r="I93" s="35"/>
    </x:row>
    <x:row r="94">
      <x:c r="A94" s="38" t="str"/>
      <x:c r="B94" s="38" t="str"/>
      <x:c r="C94" s="38" t="str"/>
      <x:c r="D94" s="46"/>
      <x:c r="E94" s="38" t="str"/>
      <x:c r="F94" s="38" t="str"/>
      <x:c r="G94" s="35"/>
      <x:c r="H94" s="35"/>
      <x:c r="I94" s="35"/>
    </x:row>
    <x:row r="95">
      <x:c r="A95" s="38" t="str"/>
      <x:c r="B95" s="38" t="str"/>
      <x:c r="C95" s="38" t="str"/>
      <x:c r="D95" s="46"/>
      <x:c r="E95" s="38" t="str"/>
      <x:c r="F95" s="38" t="str"/>
      <x:c r="G95" s="35"/>
      <x:c r="H95" s="35"/>
      <x:c r="I95" s="35"/>
    </x:row>
    <x:row r="96">
      <x:c r="A96" s="38" t="str"/>
      <x:c r="B96" s="38" t="str"/>
      <x:c r="C96" s="38" t="str"/>
      <x:c r="D96" s="46"/>
      <x:c r="E96" s="38" t="str"/>
      <x:c r="F96" s="38" t="str"/>
      <x:c r="G96" s="35"/>
      <x:c r="H96" s="35"/>
      <x:c r="I96" s="35"/>
    </x:row>
    <x:row r="97">
      <x:c r="A97" s="38" t="str"/>
      <x:c r="B97" s="38" t="str"/>
      <x:c r="C97" s="38" t="str"/>
      <x:c r="D97" s="46"/>
      <x:c r="E97" s="38" t="str"/>
      <x:c r="F97" s="38" t="str"/>
      <x:c r="G97" s="35"/>
      <x:c r="H97" s="35"/>
      <x:c r="I97" s="35"/>
    </x:row>
    <x:row r="98">
      <x:c r="A98" s="38" t="str"/>
      <x:c r="B98" s="38" t="str"/>
      <x:c r="C98" s="38" t="str"/>
      <x:c r="D98" s="46"/>
      <x:c r="E98" s="38" t="str"/>
      <x:c r="F98" s="38" t="str"/>
      <x:c r="G98" s="35"/>
      <x:c r="H98" s="35"/>
      <x:c r="I98" s="35"/>
    </x:row>
    <x:row r="99">
      <x:c r="A99" s="38" t="str"/>
      <x:c r="B99" s="38" t="str"/>
      <x:c r="C99" s="38" t="str"/>
      <x:c r="D99" s="46"/>
      <x:c r="E99" s="38" t="str"/>
      <x:c r="F99" s="38" t="str"/>
      <x:c r="G99" s="35"/>
      <x:c r="H99" s="35"/>
      <x:c r="I99" s="35"/>
    </x:row>
    <x:row r="100">
      <x:c r="A100" s="38" t="str"/>
      <x:c r="B100" s="38" t="str"/>
      <x:c r="C100" s="38" t="str"/>
      <x:c r="D100" s="46"/>
      <x:c r="E100" s="38" t="str"/>
      <x:c r="F100" s="38" t="str"/>
      <x:c r="G100" s="35"/>
      <x:c r="H100" s="35"/>
      <x:c r="I100" s="35"/>
    </x:row>
    <x:row r="101">
      <x:c r="A101" s="38" t="str"/>
      <x:c r="B101" s="38" t="str"/>
      <x:c r="C101" s="38" t="str"/>
      <x:c r="D101" s="46"/>
      <x:c r="E101" s="38" t="str"/>
      <x:c r="F101" s="38" t="str"/>
      <x:c r="G101" s="35"/>
      <x:c r="H101" s="35"/>
      <x:c r="I101" s="35"/>
    </x:row>
    <x:row r="102">
      <x:c r="A102" s="38" t="str"/>
      <x:c r="B102" s="38" t="str"/>
      <x:c r="C102" s="38" t="str"/>
      <x:c r="D102" s="46"/>
      <x:c r="E102" s="38" t="str"/>
      <x:c r="F102" s="38" t="str"/>
      <x:c r="G102" s="35"/>
      <x:c r="H102" s="35"/>
      <x:c r="I102" s="35"/>
    </x:row>
    <x:row r="103">
      <x:c r="A103" s="38" t="str"/>
      <x:c r="B103" s="38" t="str"/>
      <x:c r="C103" s="38" t="str"/>
      <x:c r="D103" s="46"/>
      <x:c r="E103" s="38" t="str"/>
      <x:c r="F103" s="38" t="str"/>
      <x:c r="G103" s="35"/>
      <x:c r="H103" s="35"/>
      <x:c r="I103" s="35"/>
    </x:row>
    <x:row r="104">
      <x:c r="A104" s="38" t="str"/>
      <x:c r="B104" s="38" t="str"/>
      <x:c r="C104" s="38" t="str"/>
      <x:c r="D104" s="46"/>
      <x:c r="E104" s="38" t="str"/>
      <x:c r="F104" s="38" t="str"/>
      <x:c r="G104" s="35"/>
      <x:c r="H104" s="35"/>
      <x:c r="I104" s="35"/>
    </x:row>
    <x:row r="105">
      <x:c r="A105" s="38" t="str"/>
      <x:c r="B105" s="38" t="str"/>
      <x:c r="C105" s="38" t="str"/>
      <x:c r="D105" s="46"/>
      <x:c r="E105" s="38" t="str"/>
      <x:c r="F105" s="38" t="str"/>
      <x:c r="G105" s="35"/>
      <x:c r="H105" s="35"/>
      <x:c r="I105" s="35"/>
    </x:row>
    <x:row r="106">
      <x:c r="A106" s="38" t="str"/>
      <x:c r="B106" s="38" t="str"/>
      <x:c r="C106" s="38" t="str"/>
      <x:c r="D106" s="46"/>
      <x:c r="E106" s="38" t="str"/>
      <x:c r="F106" s="38" t="str"/>
      <x:c r="G106" s="35"/>
      <x:c r="H106" s="35"/>
      <x:c r="I106" s="35"/>
    </x:row>
    <x:row r="107">
      <x:c r="A107" s="38" t="str"/>
      <x:c r="B107" s="38" t="str"/>
      <x:c r="C107" s="38" t="str"/>
      <x:c r="D107" s="46"/>
      <x:c r="E107" s="38" t="str"/>
      <x:c r="F107" s="38" t="str"/>
      <x:c r="G107" s="35"/>
      <x:c r="H107" s="35"/>
      <x:c r="I107" s="35"/>
    </x:row>
    <x:row r="108">
      <x:c r="A108" s="38" t="str"/>
      <x:c r="B108" s="38" t="str"/>
      <x:c r="C108" s="38" t="str"/>
      <x:c r="D108" s="46"/>
      <x:c r="E108" s="38" t="str"/>
      <x:c r="F108" s="38" t="str"/>
      <x:c r="G108" s="35"/>
      <x:c r="H108" s="35"/>
      <x:c r="I108" s="35"/>
    </x:row>
    <x:row r="109">
      <x:c r="A109" s="38" t="str"/>
      <x:c r="B109" s="38" t="str"/>
      <x:c r="C109" s="38" t="str"/>
      <x:c r="D109" s="46"/>
      <x:c r="E109" s="38" t="str"/>
      <x:c r="F109" s="38" t="str"/>
      <x:c r="G109" s="35"/>
      <x:c r="H109" s="35"/>
      <x:c r="I109" s="35"/>
    </x:row>
    <x:row r="110">
      <x:c r="A110" s="38" t="str"/>
      <x:c r="B110" s="38" t="str"/>
      <x:c r="C110" s="38" t="str"/>
      <x:c r="D110" s="46"/>
      <x:c r="E110" s="38" t="str"/>
      <x:c r="F110" s="38" t="str"/>
      <x:c r="G110" s="35"/>
      <x:c r="H110" s="35"/>
      <x:c r="I110" s="35"/>
    </x:row>
    <x:row r="111">
      <x:c r="A111" s="38" t="str"/>
      <x:c r="B111" s="38" t="str"/>
      <x:c r="C111" s="38" t="str"/>
      <x:c r="D111" s="46"/>
      <x:c r="E111" s="38" t="str"/>
      <x:c r="F111" s="38" t="str"/>
      <x:c r="G111" s="35"/>
      <x:c r="H111" s="35"/>
      <x:c r="I111" s="35"/>
    </x:row>
    <x:row r="112">
      <x:c r="A112" s="38" t="str"/>
      <x:c r="B112" s="38" t="str"/>
      <x:c r="C112" s="38" t="str"/>
      <x:c r="D112" s="46"/>
      <x:c r="E112" s="38" t="str"/>
      <x:c r="F112" s="38" t="str"/>
      <x:c r="G112" s="35"/>
      <x:c r="H112" s="35"/>
      <x:c r="I112" s="35"/>
    </x:row>
    <x:row r="113">
      <x:c r="A113" s="38" t="str"/>
      <x:c r="B113" s="38" t="str"/>
      <x:c r="C113" s="38" t="str"/>
      <x:c r="D113" s="46"/>
      <x:c r="E113" s="38" t="str"/>
      <x:c r="F113" s="38" t="str"/>
      <x:c r="G113" s="35"/>
      <x:c r="H113" s="35"/>
      <x:c r="I113" s="35"/>
    </x:row>
    <x:row r="114">
      <x:c r="A114" s="38" t="str"/>
      <x:c r="B114" s="38" t="str"/>
      <x:c r="C114" s="38" t="str"/>
      <x:c r="D114" s="46"/>
      <x:c r="E114" s="38" t="str"/>
      <x:c r="F114" s="38" t="str"/>
      <x:c r="G114" s="35"/>
      <x:c r="H114" s="35"/>
      <x:c r="I114" s="35"/>
    </x:row>
    <x:row r="115">
      <x:c r="A115" s="38" t="str"/>
      <x:c r="B115" s="38" t="str"/>
      <x:c r="C115" s="38" t="str"/>
      <x:c r="D115" s="46"/>
      <x:c r="E115" s="38" t="str"/>
      <x:c r="F115" s="38" t="str"/>
      <x:c r="G115" s="35"/>
      <x:c r="H115" s="35"/>
      <x:c r="I115" s="35"/>
    </x:row>
    <x:row r="116">
      <x:c r="A116" s="38" t="str"/>
      <x:c r="B116" s="38" t="str"/>
      <x:c r="C116" s="38" t="str"/>
      <x:c r="D116" s="46"/>
      <x:c r="E116" s="38" t="str"/>
      <x:c r="F116" s="38" t="str"/>
      <x:c r="G116" s="35"/>
      <x:c r="H116" s="35"/>
      <x:c r="I116" s="35"/>
    </x:row>
    <x:row r="117">
      <x:c r="A117" s="38" t="str"/>
      <x:c r="B117" s="38" t="str"/>
      <x:c r="C117" s="38" t="str"/>
      <x:c r="D117" s="46"/>
      <x:c r="E117" s="38" t="str"/>
      <x:c r="F117" s="38" t="str"/>
      <x:c r="G117" s="35"/>
      <x:c r="H117" s="35"/>
      <x:c r="I117" s="35"/>
    </x:row>
    <x:row r="118">
      <x:c r="A118" s="38" t="str"/>
      <x:c r="B118" s="38" t="str"/>
      <x:c r="C118" s="38" t="str"/>
      <x:c r="D118" s="46"/>
      <x:c r="E118" s="38" t="str"/>
      <x:c r="F118" s="38" t="str"/>
      <x:c r="G118" s="35"/>
      <x:c r="H118" s="35"/>
      <x:c r="I118" s="35"/>
    </x:row>
    <x:row r="119">
      <x:c r="A119" s="38" t="str"/>
      <x:c r="B119" s="38" t="str"/>
      <x:c r="C119" s="38" t="str"/>
      <x:c r="D119" s="46"/>
      <x:c r="E119" s="38" t="str"/>
      <x:c r="F119" s="38" t="str"/>
      <x:c r="G119" s="35"/>
      <x:c r="H119" s="35"/>
      <x:c r="I119" s="35"/>
    </x:row>
    <x:row r="120">
      <x:c r="A120" s="38" t="str"/>
      <x:c r="B120" s="38" t="str"/>
      <x:c r="C120" s="38" t="str"/>
      <x:c r="D120" s="46"/>
      <x:c r="E120" s="38" t="str"/>
      <x:c r="F120" s="38" t="str"/>
      <x:c r="G120" s="35"/>
      <x:c r="H120" s="35"/>
      <x:c r="I120" s="35"/>
    </x:row>
    <x:row r="121">
      <x:c r="A121" s="38" t="str"/>
      <x:c r="B121" s="38" t="str"/>
      <x:c r="C121" s="38" t="str"/>
      <x:c r="D121" s="46"/>
      <x:c r="E121" s="38" t="str"/>
      <x:c r="F121" s="38" t="str"/>
      <x:c r="G121" s="35"/>
      <x:c r="H121" s="35"/>
      <x:c r="I121" s="35"/>
    </x:row>
    <x:row r="122">
      <x:c r="A122" s="38" t="str"/>
      <x:c r="B122" s="38" t="str"/>
      <x:c r="C122" s="38" t="str"/>
      <x:c r="D122" s="46"/>
      <x:c r="E122" s="38" t="str"/>
      <x:c r="F122" s="38" t="str"/>
      <x:c r="G122" s="35"/>
      <x:c r="H122" s="35"/>
      <x:c r="I122" s="35"/>
    </x:row>
    <x:row r="123">
      <x:c r="A123" s="38" t="str"/>
      <x:c r="B123" s="38" t="str"/>
      <x:c r="C123" s="38" t="str"/>
      <x:c r="D123" s="46"/>
      <x:c r="E123" s="38" t="str"/>
      <x:c r="F123" s="38" t="str"/>
      <x:c r="G123" s="35"/>
      <x:c r="H123" s="35"/>
      <x:c r="I123" s="35"/>
    </x:row>
    <x:row r="124">
      <x:c r="A124" s="38" t="str"/>
      <x:c r="B124" s="38" t="str"/>
      <x:c r="C124" s="38" t="str"/>
      <x:c r="D124" s="46"/>
      <x:c r="E124" s="38" t="str"/>
      <x:c r="F124" s="38" t="str"/>
      <x:c r="G124" s="35"/>
      <x:c r="H124" s="35"/>
      <x:c r="I124" s="35"/>
    </x:row>
    <x:row r="125">
      <x:c r="A125" s="38" t="str"/>
      <x:c r="B125" s="38" t="str"/>
      <x:c r="C125" s="38" t="str"/>
      <x:c r="D125" s="46"/>
      <x:c r="E125" s="38" t="str"/>
      <x:c r="F125" s="38" t="str"/>
      <x:c r="G125" s="35"/>
      <x:c r="H125" s="35"/>
      <x:c r="I125" s="35"/>
    </x:row>
    <x:row r="126">
      <x:c r="A126" s="38" t="str"/>
      <x:c r="B126" s="38" t="str"/>
      <x:c r="C126" s="38" t="str"/>
      <x:c r="D126" s="46"/>
      <x:c r="E126" s="38" t="str"/>
      <x:c r="F126" s="38" t="str"/>
      <x:c r="G126" s="35"/>
      <x:c r="H126" s="35"/>
      <x:c r="I126" s="35"/>
    </x:row>
    <x:row r="127">
      <x:c r="A127" s="38" t="str"/>
      <x:c r="B127" s="38" t="str"/>
      <x:c r="C127" s="38" t="str"/>
      <x:c r="D127" s="46"/>
      <x:c r="E127" s="38" t="str"/>
      <x:c r="F127" s="38" t="str"/>
      <x:c r="G127" s="35"/>
      <x:c r="H127" s="35"/>
      <x:c r="I127" s="35"/>
    </x:row>
    <x:row r="128">
      <x:c r="A128" s="38" t="str"/>
      <x:c r="B128" s="38" t="str"/>
      <x:c r="C128" s="38" t="str"/>
      <x:c r="D128" s="46"/>
      <x:c r="E128" s="38" t="str"/>
      <x:c r="F128" s="38" t="str"/>
      <x:c r="G128" s="35"/>
      <x:c r="H128" s="35"/>
      <x:c r="I128" s="35"/>
    </x:row>
    <x:row r="129">
      <x:c r="A129" s="38" t="str"/>
      <x:c r="B129" s="38" t="str"/>
      <x:c r="C129" s="38" t="str"/>
      <x:c r="D129" s="46"/>
      <x:c r="E129" s="38" t="str"/>
      <x:c r="F129" s="38" t="str"/>
      <x:c r="G129" s="35"/>
      <x:c r="H129" s="35"/>
      <x:c r="I129" s="35"/>
    </x:row>
    <x:row r="130">
      <x:c r="A130" s="38" t="str"/>
      <x:c r="B130" s="38" t="str"/>
      <x:c r="C130" s="38" t="str"/>
      <x:c r="D130" s="46"/>
      <x:c r="E130" s="38" t="str"/>
      <x:c r="F130" s="38" t="str"/>
      <x:c r="G130" s="35"/>
      <x:c r="H130" s="35"/>
      <x:c r="I130" s="35"/>
    </x:row>
    <x:row r="131">
      <x:c r="A131" s="38" t="str"/>
      <x:c r="B131" s="38" t="str"/>
      <x:c r="C131" s="38" t="str"/>
      <x:c r="D131" s="46"/>
      <x:c r="E131" s="38" t="str"/>
      <x:c r="F131" s="38" t="str"/>
      <x:c r="G131" s="35"/>
      <x:c r="H131" s="35"/>
      <x:c r="I131" s="35"/>
    </x:row>
    <x:row r="132">
      <x:c r="A132" s="38" t="str"/>
      <x:c r="B132" s="38" t="str"/>
      <x:c r="C132" s="38" t="str"/>
      <x:c r="D132" s="46"/>
      <x:c r="E132" s="38" t="str"/>
      <x:c r="F132" s="38" t="str"/>
      <x:c r="G132" s="35"/>
      <x:c r="H132" s="35"/>
      <x:c r="I132" s="35"/>
    </x:row>
    <x:row r="133">
      <x:c r="A133" s="38" t="str"/>
      <x:c r="B133" s="38" t="str"/>
      <x:c r="C133" s="38" t="str"/>
      <x:c r="D133" s="46"/>
      <x:c r="E133" s="38" t="str"/>
      <x:c r="F133" s="38" t="str"/>
      <x:c r="G133" s="35"/>
      <x:c r="H133" s="35"/>
      <x:c r="I133" s="35"/>
    </x:row>
    <x:row r="134">
      <x:c r="A134" s="38" t="str"/>
      <x:c r="B134" s="38" t="str"/>
      <x:c r="C134" s="38" t="str"/>
      <x:c r="D134" s="46"/>
      <x:c r="E134" s="38" t="str"/>
      <x:c r="F134" s="38" t="str"/>
      <x:c r="G134" s="35"/>
      <x:c r="H134" s="35"/>
      <x:c r="I134" s="35"/>
    </x:row>
    <x:row r="135">
      <x:c r="A135" s="38" t="str"/>
      <x:c r="B135" s="38" t="str"/>
      <x:c r="C135" s="38" t="str"/>
      <x:c r="D135" s="46"/>
      <x:c r="E135" s="38" t="str"/>
      <x:c r="F135" s="38" t="str"/>
      <x:c r="G135" s="35"/>
      <x:c r="H135" s="35"/>
      <x:c r="I135" s="35"/>
    </x:row>
    <x:row r="136">
      <x:c r="A136" s="38" t="str"/>
      <x:c r="B136" s="38" t="str"/>
      <x:c r="C136" s="38" t="str"/>
      <x:c r="D136" s="46"/>
      <x:c r="E136" s="38" t="str"/>
      <x:c r="F136" s="38" t="str"/>
      <x:c r="G136" s="35"/>
      <x:c r="H136" s="35"/>
      <x:c r="I136" s="35"/>
    </x:row>
    <x:row r="137">
      <x:c r="A137" s="38" t="str"/>
      <x:c r="B137" s="38" t="str"/>
      <x:c r="C137" s="38" t="str"/>
      <x:c r="D137" s="46"/>
      <x:c r="E137" s="38" t="str"/>
      <x:c r="F137" s="38" t="str"/>
      <x:c r="G137" s="35"/>
      <x:c r="H137" s="35"/>
      <x:c r="I137" s="35"/>
    </x:row>
    <x:row r="138">
      <x:c r="A138" s="38" t="str"/>
      <x:c r="B138" s="38" t="str"/>
      <x:c r="C138" s="38" t="str"/>
      <x:c r="D138" s="46"/>
      <x:c r="E138" s="38" t="str"/>
      <x:c r="F138" s="38" t="str"/>
      <x:c r="G138" s="35"/>
      <x:c r="H138" s="35"/>
      <x:c r="I138" s="35"/>
    </x:row>
    <x:row r="139">
      <x:c r="A139" s="38" t="str"/>
      <x:c r="B139" s="38" t="str"/>
      <x:c r="C139" s="38" t="str"/>
      <x:c r="D139" s="46"/>
      <x:c r="E139" s="38" t="str"/>
      <x:c r="F139" s="38" t="str"/>
      <x:c r="G139" s="35"/>
      <x:c r="H139" s="35"/>
      <x:c r="I139" s="35"/>
    </x:row>
    <x:row r="140">
      <x:c r="A140" s="38" t="str"/>
      <x:c r="B140" s="38" t="str"/>
      <x:c r="C140" s="38" t="str"/>
      <x:c r="D140" s="46"/>
      <x:c r="E140" s="38" t="str"/>
      <x:c r="F140" s="38" t="str"/>
      <x:c r="G140" s="35"/>
      <x:c r="H140" s="35"/>
      <x:c r="I140" s="35"/>
    </x:row>
    <x:row r="141">
      <x:c r="A141" s="38" t="str"/>
      <x:c r="B141" s="38" t="str"/>
      <x:c r="C141" s="38" t="str"/>
      <x:c r="D141" s="46"/>
      <x:c r="E141" s="38" t="str"/>
      <x:c r="F141" s="38" t="str"/>
      <x:c r="G141" s="35"/>
      <x:c r="H141" s="35"/>
      <x:c r="I141" s="35"/>
    </x:row>
    <x:row r="142">
      <x:c r="A142" s="38" t="str"/>
      <x:c r="B142" s="38" t="str"/>
      <x:c r="C142" s="38" t="str"/>
      <x:c r="D142" s="46"/>
      <x:c r="E142" s="38" t="str"/>
      <x:c r="F142" s="38" t="str"/>
      <x:c r="G142" s="35"/>
      <x:c r="H142" s="35"/>
      <x:c r="I142" s="35"/>
    </x:row>
    <x:row r="143">
      <x:c r="A143" s="38" t="str"/>
      <x:c r="B143" s="38" t="str"/>
      <x:c r="C143" s="38" t="str"/>
      <x:c r="D143" s="46"/>
      <x:c r="E143" s="38" t="str"/>
      <x:c r="F143" s="38" t="str"/>
      <x:c r="G143" s="35"/>
      <x:c r="H143" s="35"/>
      <x:c r="I143" s="35"/>
    </x:row>
    <x:row r="144">
      <x:c r="A144" s="38" t="str"/>
      <x:c r="B144" s="38" t="str"/>
      <x:c r="C144" s="38" t="str"/>
      <x:c r="D144" s="46"/>
      <x:c r="E144" s="38" t="str"/>
      <x:c r="F144" s="38" t="str"/>
      <x:c r="G144" s="35"/>
      <x:c r="H144" s="35"/>
      <x:c r="I144" s="35"/>
    </x:row>
    <x:row r="145">
      <x:c r="A145" s="38" t="str"/>
      <x:c r="B145" s="38" t="str"/>
      <x:c r="C145" s="38" t="str"/>
      <x:c r="D145" s="46"/>
      <x:c r="E145" s="38" t="str"/>
      <x:c r="F145" s="38" t="str"/>
      <x:c r="G145" s="35"/>
      <x:c r="H145" s="35"/>
      <x:c r="I145" s="35"/>
    </x:row>
    <x:row r="146">
      <x:c r="A146" s="38" t="str"/>
      <x:c r="B146" s="38" t="str"/>
      <x:c r="C146" s="38" t="str"/>
      <x:c r="D146" s="46"/>
      <x:c r="E146" s="38" t="str"/>
      <x:c r="F146" s="38" t="str"/>
      <x:c r="G146" s="35"/>
      <x:c r="H146" s="35"/>
      <x:c r="I146" s="35"/>
    </x:row>
    <x:row r="147">
      <x:c r="A147" s="38" t="str"/>
      <x:c r="B147" s="38" t="str"/>
      <x:c r="C147" s="38" t="str"/>
      <x:c r="D147" s="46"/>
      <x:c r="E147" s="38" t="str"/>
      <x:c r="F147" s="38" t="str"/>
      <x:c r="G147" s="35"/>
      <x:c r="H147" s="35"/>
      <x:c r="I147" s="35"/>
    </x:row>
    <x:row r="148">
      <x:c r="A148" s="38" t="str"/>
      <x:c r="B148" s="38" t="str"/>
      <x:c r="C148" s="38" t="str"/>
      <x:c r="D148" s="46"/>
      <x:c r="E148" s="38" t="str"/>
      <x:c r="F148" s="38" t="str"/>
      <x:c r="G148" s="35"/>
      <x:c r="H148" s="35"/>
      <x:c r="I148" s="35"/>
    </x:row>
    <x:row r="149">
      <x:c r="A149" s="38" t="str"/>
      <x:c r="B149" s="38" t="str"/>
      <x:c r="C149" s="38" t="str"/>
      <x:c r="D149" s="46"/>
      <x:c r="E149" s="38" t="str"/>
      <x:c r="F149" s="38" t="str"/>
      <x:c r="G149" s="35"/>
      <x:c r="H149" s="35"/>
      <x:c r="I149" s="35"/>
    </x:row>
    <x:row r="150">
      <x:c r="A150" s="38" t="str"/>
      <x:c r="B150" s="38" t="str"/>
      <x:c r="C150" s="38" t="str"/>
      <x:c r="D150" s="46"/>
      <x:c r="E150" s="38" t="str"/>
      <x:c r="F150" s="38" t="str"/>
      <x:c r="G150" s="35"/>
      <x:c r="H150" s="35"/>
      <x:c r="I150" s="35"/>
    </x:row>
    <x:row r="151">
      <x:c r="A151" s="38" t="str"/>
      <x:c r="B151" s="38" t="str"/>
      <x:c r="C151" s="38" t="str"/>
      <x:c r="D151" s="46"/>
      <x:c r="E151" s="38" t="str"/>
      <x:c r="F151" s="38" t="str"/>
      <x:c r="G151" s="35"/>
      <x:c r="H151" s="35"/>
      <x:c r="I151" s="35"/>
    </x:row>
    <x:row r="152">
      <x:c r="A152" s="38" t="str"/>
      <x:c r="B152" s="38" t="str"/>
      <x:c r="C152" s="38" t="str"/>
      <x:c r="D152" s="46"/>
      <x:c r="E152" s="38" t="str"/>
      <x:c r="F152" s="38" t="str"/>
      <x:c r="G152" s="35"/>
      <x:c r="H152" s="35"/>
      <x:c r="I152" s="35"/>
    </x:row>
    <x:row r="153">
      <x:c r="A153" s="38" t="str"/>
      <x:c r="B153" s="38" t="str"/>
      <x:c r="C153" s="38" t="str"/>
      <x:c r="D153" s="46"/>
      <x:c r="E153" s="38" t="str"/>
      <x:c r="F153" s="38" t="str"/>
      <x:c r="G153" s="35"/>
      <x:c r="H153" s="35"/>
      <x:c r="I153" s="35"/>
    </x:row>
    <x:row r="154">
      <x:c r="A154" s="38" t="str"/>
      <x:c r="B154" s="38" t="str"/>
      <x:c r="C154" s="38" t="str"/>
      <x:c r="D154" s="46"/>
      <x:c r="E154" s="38" t="str"/>
      <x:c r="F154" s="38" t="str"/>
      <x:c r="G154" s="35"/>
      <x:c r="H154" s="35"/>
      <x:c r="I154" s="35"/>
    </x:row>
    <x:row r="155">
      <x:c r="A155" s="38" t="str"/>
      <x:c r="B155" s="38" t="str"/>
      <x:c r="C155" s="38" t="str"/>
      <x:c r="D155" s="46"/>
      <x:c r="E155" s="38" t="str"/>
      <x:c r="F155" s="38" t="str"/>
      <x:c r="G155" s="35"/>
      <x:c r="H155" s="35"/>
      <x:c r="I155" s="35"/>
    </x:row>
    <x:row r="156">
      <x:c r="A156" s="38" t="str"/>
      <x:c r="B156" s="38" t="str"/>
      <x:c r="C156" s="38" t="str"/>
      <x:c r="D156" s="46"/>
      <x:c r="E156" s="38" t="str"/>
      <x:c r="F156" s="38" t="str"/>
      <x:c r="G156" s="35"/>
      <x:c r="H156" s="35"/>
      <x:c r="I156" s="35"/>
    </x:row>
    <x:row r="157">
      <x:c r="A157" s="38" t="str"/>
      <x:c r="B157" s="38" t="str"/>
      <x:c r="C157" s="38" t="str"/>
      <x:c r="D157" s="46"/>
      <x:c r="E157" s="38" t="str"/>
      <x:c r="F157" s="38" t="str"/>
      <x:c r="G157" s="35"/>
      <x:c r="H157" s="35"/>
      <x:c r="I157" s="35"/>
    </x:row>
    <x:row r="158">
      <x:c r="A158" s="38" t="str"/>
      <x:c r="B158" s="38" t="str"/>
      <x:c r="C158" s="38" t="str"/>
      <x:c r="D158" s="46"/>
      <x:c r="E158" s="38" t="str"/>
      <x:c r="F158" s="38" t="str"/>
      <x:c r="G158" s="35"/>
      <x:c r="H158" s="35"/>
      <x:c r="I158" s="35"/>
    </x:row>
    <x:row r="159">
      <x:c r="A159" s="38" t="str"/>
      <x:c r="B159" s="38" t="str"/>
      <x:c r="C159" s="38" t="str"/>
      <x:c r="D159" s="46"/>
      <x:c r="E159" s="38" t="str"/>
      <x:c r="F159" s="38" t="str"/>
      <x:c r="G159" s="35"/>
      <x:c r="H159" s="35"/>
      <x:c r="I159" s="35"/>
    </x:row>
    <x:row r="160">
      <x:c r="A160" s="38" t="str"/>
      <x:c r="B160" s="38" t="str"/>
      <x:c r="C160" s="38" t="str"/>
      <x:c r="D160" s="46"/>
      <x:c r="E160" s="38" t="str"/>
      <x:c r="F160" s="38" t="str"/>
      <x:c r="G160" s="35"/>
      <x:c r="H160" s="35"/>
      <x:c r="I160" s="35"/>
    </x:row>
    <x:row r="161">
      <x:c r="A161" s="38" t="str"/>
      <x:c r="B161" s="38" t="str"/>
      <x:c r="C161" s="38" t="str"/>
      <x:c r="D161" s="46"/>
      <x:c r="E161" s="38" t="str"/>
      <x:c r="F161" s="38" t="str"/>
      <x:c r="G161" s="35"/>
      <x:c r="H161" s="35"/>
      <x:c r="I161" s="35"/>
    </x:row>
    <x:row r="162">
      <x:c r="A162" s="38" t="str"/>
      <x:c r="B162" s="38" t="str"/>
      <x:c r="C162" s="38" t="str"/>
      <x:c r="D162" s="46"/>
      <x:c r="E162" s="38" t="str"/>
      <x:c r="F162" s="38" t="str"/>
      <x:c r="G162" s="35"/>
      <x:c r="H162" s="35"/>
      <x:c r="I162" s="35"/>
    </x:row>
    <x:row r="163">
      <x:c r="A163" s="38" t="str"/>
      <x:c r="B163" s="38" t="str"/>
      <x:c r="C163" s="38" t="str"/>
      <x:c r="D163" s="46"/>
      <x:c r="E163" s="38" t="str"/>
      <x:c r="F163" s="38" t="str"/>
      <x:c r="G163" s="35"/>
      <x:c r="H163" s="35"/>
      <x:c r="I163" s="35"/>
    </x:row>
    <x:row r="164">
      <x:c r="A164" s="38" t="str"/>
      <x:c r="B164" s="38" t="str"/>
      <x:c r="C164" s="38" t="str"/>
      <x:c r="D164" s="46"/>
      <x:c r="E164" s="38" t="str"/>
      <x:c r="F164" s="38" t="str"/>
      <x:c r="G164" s="35"/>
      <x:c r="H164" s="35"/>
      <x:c r="I164" s="35"/>
    </x:row>
    <x:row r="165">
      <x:c r="A165" s="38" t="str"/>
      <x:c r="B165" s="38" t="str"/>
      <x:c r="C165" s="38" t="str"/>
      <x:c r="D165" s="46"/>
      <x:c r="E165" s="38" t="str"/>
      <x:c r="F165" s="38" t="str"/>
      <x:c r="G165" s="35"/>
      <x:c r="H165" s="35"/>
      <x:c r="I165" s="35"/>
    </x:row>
    <x:row r="166">
      <x:c r="A166" s="38" t="str"/>
      <x:c r="B166" s="38" t="str"/>
      <x:c r="C166" s="38" t="str"/>
      <x:c r="D166" s="46"/>
      <x:c r="E166" s="38" t="str"/>
      <x:c r="F166" s="38" t="str"/>
      <x:c r="G166" s="35"/>
      <x:c r="H166" s="35"/>
      <x:c r="I166" s="35"/>
    </x:row>
    <x:row r="167">
      <x:c r="A167" s="38" t="str"/>
      <x:c r="B167" s="38" t="str"/>
      <x:c r="C167" s="38" t="str"/>
      <x:c r="D167" s="46"/>
      <x:c r="E167" s="38" t="str"/>
      <x:c r="F167" s="38" t="str"/>
      <x:c r="G167" s="35"/>
      <x:c r="H167" s="35"/>
      <x:c r="I167" s="35"/>
    </x:row>
    <x:row r="168">
      <x:c r="A168" s="38" t="str"/>
      <x:c r="B168" s="38" t="str"/>
      <x:c r="C168" s="38" t="str"/>
      <x:c r="D168" s="46"/>
      <x:c r="E168" s="38" t="str"/>
      <x:c r="F168" s="38" t="str"/>
      <x:c r="G168" s="35"/>
      <x:c r="H168" s="35"/>
      <x:c r="I168" s="35"/>
    </x:row>
    <x:row r="169">
      <x:c r="A169" s="38" t="str"/>
      <x:c r="B169" s="38" t="str"/>
      <x:c r="C169" s="38" t="str"/>
      <x:c r="D169" s="46"/>
      <x:c r="E169" s="38" t="str"/>
      <x:c r="F169" s="38" t="str"/>
      <x:c r="G169" s="35"/>
      <x:c r="H169" s="35"/>
      <x:c r="I169" s="35"/>
    </x:row>
    <x:row r="170">
      <x:c r="A170" s="38" t="str"/>
      <x:c r="B170" s="38" t="str"/>
      <x:c r="C170" s="38" t="str"/>
      <x:c r="D170" s="46"/>
      <x:c r="E170" s="38" t="str"/>
      <x:c r="F170" s="38" t="str"/>
      <x:c r="G170" s="35"/>
      <x:c r="H170" s="35"/>
      <x:c r="I170" s="35"/>
    </x:row>
    <x:row r="171">
      <x:c r="A171" s="38" t="str"/>
      <x:c r="B171" s="38" t="str"/>
      <x:c r="C171" s="38" t="str"/>
      <x:c r="D171" s="46"/>
      <x:c r="E171" s="38" t="str"/>
      <x:c r="F171" s="38" t="str"/>
      <x:c r="G171" s="35"/>
      <x:c r="H171" s="35"/>
      <x:c r="I171" s="35"/>
    </x:row>
    <x:row r="172">
      <x:c r="A172" s="38" t="str"/>
      <x:c r="B172" s="38" t="str"/>
      <x:c r="C172" s="38" t="str"/>
      <x:c r="D172" s="46"/>
      <x:c r="E172" s="38" t="str"/>
      <x:c r="F172" s="38" t="str"/>
      <x:c r="G172" s="35"/>
      <x:c r="H172" s="35"/>
      <x:c r="I172" s="35"/>
    </x:row>
    <x:row r="173">
      <x:c r="A173" s="38" t="str"/>
      <x:c r="B173" s="38" t="str"/>
      <x:c r="C173" s="38" t="str"/>
      <x:c r="D173" s="46"/>
      <x:c r="E173" s="38" t="str"/>
      <x:c r="F173" s="38" t="str"/>
      <x:c r="G173" s="35"/>
      <x:c r="H173" s="35"/>
      <x:c r="I173" s="35"/>
    </x:row>
    <x:row r="174">
      <x:c r="A174" s="38" t="str"/>
      <x:c r="B174" s="38" t="str"/>
      <x:c r="C174" s="38" t="str"/>
      <x:c r="D174" s="46"/>
      <x:c r="E174" s="38" t="str"/>
      <x:c r="F174" s="38" t="str"/>
      <x:c r="G174" s="35"/>
      <x:c r="H174" s="35"/>
      <x:c r="I174" s="35"/>
    </x:row>
    <x:row r="175">
      <x:c r="A175" s="38" t="str"/>
      <x:c r="B175" s="38" t="str"/>
      <x:c r="C175" s="38" t="str"/>
      <x:c r="D175" s="46"/>
      <x:c r="E175" s="38" t="str"/>
      <x:c r="F175" s="38" t="str"/>
      <x:c r="G175" s="35"/>
      <x:c r="H175" s="35"/>
      <x:c r="I175" s="35"/>
    </x:row>
    <x:row r="176">
      <x:c r="A176" s="38" t="str"/>
      <x:c r="B176" s="38" t="str"/>
      <x:c r="C176" s="38" t="str"/>
      <x:c r="D176" s="46"/>
      <x:c r="E176" s="38" t="str"/>
      <x:c r="F176" s="38" t="str"/>
      <x:c r="G176" s="35"/>
      <x:c r="H176" s="35"/>
      <x:c r="I176" s="35"/>
    </x:row>
    <x:row r="177">
      <x:c r="A177" s="38" t="str"/>
      <x:c r="B177" s="38" t="str"/>
      <x:c r="C177" s="38" t="str"/>
      <x:c r="D177" s="46"/>
      <x:c r="E177" s="38" t="str"/>
      <x:c r="F177" s="38" t="str"/>
      <x:c r="G177" s="35"/>
      <x:c r="H177" s="35"/>
      <x:c r="I177" s="35"/>
    </x:row>
    <x:row r="178">
      <x:c r="A178" s="38" t="str"/>
      <x:c r="B178" s="38" t="str"/>
      <x:c r="C178" s="38" t="str"/>
      <x:c r="D178" s="46"/>
      <x:c r="E178" s="38" t="str"/>
      <x:c r="F178" s="38" t="str"/>
      <x:c r="G178" s="35"/>
      <x:c r="H178" s="35"/>
      <x:c r="I178" s="35"/>
    </x:row>
    <x:row r="179">
      <x:c r="A179" s="38" t="str"/>
      <x:c r="B179" s="38" t="str"/>
      <x:c r="C179" s="38" t="str"/>
      <x:c r="D179" s="46"/>
      <x:c r="E179" s="38" t="str"/>
      <x:c r="F179" s="38" t="str"/>
      <x:c r="G179" s="35"/>
      <x:c r="H179" s="35"/>
      <x:c r="I179" s="35"/>
    </x:row>
    <x:row r="180">
      <x:c r="A180" s="38" t="str"/>
      <x:c r="B180" s="38" t="str"/>
      <x:c r="C180" s="38" t="str"/>
      <x:c r="D180" s="46"/>
      <x:c r="E180" s="38" t="str"/>
      <x:c r="F180" s="38" t="str"/>
      <x:c r="G180" s="35"/>
      <x:c r="H180" s="35"/>
      <x:c r="I180" s="35"/>
    </x:row>
    <x:row r="181">
      <x:c r="A181" s="38" t="str"/>
      <x:c r="B181" s="38" t="str"/>
      <x:c r="C181" s="38" t="str"/>
      <x:c r="D181" s="46"/>
      <x:c r="E181" s="38" t="str"/>
      <x:c r="F181" s="38" t="str"/>
      <x:c r="G181" s="35"/>
      <x:c r="H181" s="35"/>
      <x:c r="I181" s="35"/>
    </x:row>
    <x:row r="182">
      <x:c r="A182" s="38" t="str"/>
      <x:c r="B182" s="38" t="str"/>
      <x:c r="C182" s="38" t="str"/>
      <x:c r="D182" s="46"/>
      <x:c r="E182" s="38" t="str"/>
      <x:c r="F182" s="38" t="str"/>
      <x:c r="G182" s="35"/>
      <x:c r="H182" s="35"/>
      <x:c r="I182" s="35"/>
    </x:row>
    <x:row r="183">
      <x:c r="A183" s="38" t="str"/>
      <x:c r="B183" s="38" t="str"/>
      <x:c r="C183" s="38" t="str"/>
      <x:c r="D183" s="46"/>
      <x:c r="E183" s="38" t="str"/>
      <x:c r="F183" s="38" t="str"/>
      <x:c r="G183" s="35"/>
      <x:c r="H183" s="35"/>
      <x:c r="I183" s="35"/>
    </x:row>
    <x:row r="184">
      <x:c r="A184" s="38" t="str"/>
      <x:c r="B184" s="38" t="str"/>
      <x:c r="C184" s="38" t="str"/>
      <x:c r="D184" s="46"/>
      <x:c r="E184" s="38" t="str"/>
      <x:c r="F184" s="38" t="str"/>
      <x:c r="G184" s="35"/>
      <x:c r="H184" s="35"/>
      <x:c r="I184" s="35"/>
    </x:row>
    <x:row r="185">
      <x:c r="A185" s="38" t="str"/>
      <x:c r="B185" s="38" t="str"/>
      <x:c r="C185" s="38" t="str"/>
      <x:c r="D185" s="46"/>
      <x:c r="E185" s="38" t="str"/>
      <x:c r="F185" s="38" t="str"/>
      <x:c r="G185" s="35"/>
      <x:c r="H185" s="35"/>
      <x:c r="I185" s="35"/>
    </x:row>
    <x:row r="186">
      <x:c r="A186" s="38" t="str"/>
      <x:c r="B186" s="38" t="str"/>
      <x:c r="C186" s="38" t="str"/>
      <x:c r="D186" s="46"/>
      <x:c r="E186" s="38" t="str"/>
      <x:c r="F186" s="38" t="str"/>
      <x:c r="G186" s="35"/>
      <x:c r="H186" s="35"/>
      <x:c r="I186" s="35"/>
    </x:row>
    <x:row r="187">
      <x:c r="A187" s="38" t="str"/>
      <x:c r="B187" s="38" t="str"/>
      <x:c r="C187" s="38" t="str"/>
      <x:c r="D187" s="46"/>
      <x:c r="E187" s="38" t="str"/>
      <x:c r="F187" s="38" t="str"/>
      <x:c r="G187" s="35"/>
      <x:c r="H187" s="35"/>
      <x:c r="I187" s="35"/>
    </x:row>
    <x:row r="188">
      <x:c r="A188" s="38" t="str"/>
      <x:c r="B188" s="38" t="str"/>
      <x:c r="C188" s="38" t="str"/>
      <x:c r="D188" s="46"/>
      <x:c r="E188" s="38" t="str"/>
      <x:c r="F188" s="38" t="str"/>
      <x:c r="G188" s="35"/>
      <x:c r="H188" s="35"/>
      <x:c r="I188" s="35"/>
    </x:row>
    <x:row r="189">
      <x:c r="A189" s="38" t="str"/>
      <x:c r="B189" s="38" t="str"/>
      <x:c r="C189" s="38" t="str"/>
      <x:c r="D189" s="46"/>
      <x:c r="E189" s="38" t="str"/>
      <x:c r="F189" s="38" t="str"/>
      <x:c r="G189" s="35"/>
      <x:c r="H189" s="35"/>
      <x:c r="I189" s="35"/>
    </x:row>
    <x:row r="190">
      <x:c r="A190" s="38" t="str"/>
      <x:c r="B190" s="38" t="str"/>
      <x:c r="C190" s="38" t="str"/>
      <x:c r="D190" s="46"/>
      <x:c r="E190" s="38" t="str"/>
      <x:c r="F190" s="38" t="str"/>
      <x:c r="G190" s="35"/>
      <x:c r="H190" s="35"/>
      <x:c r="I190" s="35"/>
    </x:row>
    <x:row r="191">
      <x:c r="A191" s="38" t="str"/>
      <x:c r="B191" s="38" t="str"/>
      <x:c r="C191" s="38" t="str"/>
      <x:c r="D191" s="46"/>
      <x:c r="E191" s="38" t="str"/>
      <x:c r="F191" s="38" t="str"/>
      <x:c r="G191" s="35"/>
      <x:c r="H191" s="35"/>
      <x:c r="I191" s="35"/>
    </x:row>
    <x:row r="192">
      <x:c r="A192" s="38" t="str"/>
      <x:c r="B192" s="38" t="str"/>
      <x:c r="C192" s="38" t="str"/>
      <x:c r="D192" s="46"/>
      <x:c r="E192" s="38" t="str"/>
      <x:c r="F192" s="38" t="str"/>
      <x:c r="G192" s="35"/>
      <x:c r="H192" s="35"/>
      <x:c r="I192" s="35"/>
    </x:row>
    <x:row r="193">
      <x:c r="A193" s="38" t="str"/>
      <x:c r="B193" s="38" t="str"/>
      <x:c r="C193" s="38" t="str"/>
      <x:c r="D193" s="46"/>
      <x:c r="E193" s="38" t="str"/>
      <x:c r="F193" s="38" t="str"/>
      <x:c r="G193" s="35"/>
      <x:c r="H193" s="35"/>
      <x:c r="I193" s="35"/>
    </x:row>
    <x:row r="194">
      <x:c r="A194" s="38" t="str"/>
      <x:c r="B194" s="38" t="str"/>
      <x:c r="C194" s="38" t="str"/>
      <x:c r="D194" s="46"/>
      <x:c r="E194" s="38" t="str"/>
      <x:c r="F194" s="38" t="str"/>
      <x:c r="G194" s="35"/>
      <x:c r="H194" s="35"/>
      <x:c r="I194" s="35"/>
    </x:row>
    <x:row r="195">
      <x:c r="A195" s="38" t="str"/>
      <x:c r="B195" s="38" t="str"/>
      <x:c r="C195" s="38" t="str"/>
      <x:c r="D195" s="46"/>
      <x:c r="E195" s="38" t="str"/>
      <x:c r="F195" s="38" t="str"/>
      <x:c r="G195" s="35"/>
      <x:c r="H195" s="35"/>
      <x:c r="I195" s="35"/>
    </x:row>
    <x:row r="196">
      <x:c r="A196" s="38" t="str"/>
      <x:c r="B196" s="38" t="str"/>
      <x:c r="C196" s="38" t="str"/>
      <x:c r="D196" s="46"/>
      <x:c r="E196" s="38" t="str"/>
      <x:c r="F196" s="38" t="str"/>
      <x:c r="G196" s="35"/>
      <x:c r="H196" s="35"/>
      <x:c r="I196" s="35"/>
    </x:row>
    <x:row r="197">
      <x:c r="A197" s="38" t="str"/>
      <x:c r="B197" s="38" t="str"/>
      <x:c r="C197" s="38" t="str"/>
      <x:c r="D197" s="46"/>
      <x:c r="E197" s="38" t="str"/>
      <x:c r="F197" s="38" t="str"/>
      <x:c r="G197" s="35"/>
      <x:c r="H197" s="35"/>
      <x:c r="I197" s="35"/>
    </x:row>
    <x:row r="198">
      <x:c r="A198" s="38" t="str"/>
      <x:c r="B198" s="38" t="str"/>
      <x:c r="C198" s="38" t="str"/>
      <x:c r="D198" s="46"/>
      <x:c r="E198" s="38" t="str"/>
      <x:c r="F198" s="38" t="str"/>
      <x:c r="G198" s="35"/>
      <x:c r="H198" s="35"/>
      <x:c r="I198" s="35"/>
    </x:row>
    <x:row r="199">
      <x:c r="A199" s="38" t="str"/>
      <x:c r="B199" s="38" t="str"/>
      <x:c r="C199" s="38" t="str"/>
      <x:c r="D199" s="46"/>
      <x:c r="E199" s="38" t="str"/>
      <x:c r="F199" s="38" t="str"/>
      <x:c r="G199" s="35"/>
      <x:c r="H199" s="35"/>
      <x:c r="I199" s="35"/>
    </x:row>
    <x:row r="200">
      <x:c r="A200" s="38" t="str"/>
      <x:c r="B200" s="38" t="str"/>
      <x:c r="C200" s="38" t="str"/>
      <x:c r="D200" s="46"/>
      <x:c r="E200" s="38" t="str"/>
      <x:c r="F200" s="38" t="str"/>
      <x:c r="G200" s="35"/>
      <x:c r="H200" s="35"/>
      <x:c r="I200" s="35"/>
    </x:row>
    <x:row r="201">
      <x:c r="A201" s="38" t="str"/>
      <x:c r="B201" s="38" t="str"/>
      <x:c r="C201" s="38" t="str"/>
      <x:c r="D201" s="46"/>
      <x:c r="E201" s="38" t="str"/>
      <x:c r="F201" s="38" t="str"/>
      <x:c r="G201" s="35"/>
      <x:c r="H201" s="35"/>
      <x:c r="I201" s="35"/>
    </x:row>
    <x:row r="202">
      <x:c r="A202" s="38" t="str"/>
      <x:c r="B202" s="38" t="str"/>
      <x:c r="C202" s="38" t="str"/>
      <x:c r="D202" s="46"/>
      <x:c r="E202" s="38" t="str"/>
      <x:c r="F202" s="38" t="str"/>
      <x:c r="G202" s="35"/>
      <x:c r="H202" s="35"/>
      <x:c r="I202" s="35"/>
    </x:row>
    <x:row r="203">
      <x:c r="A203" s="38" t="str"/>
      <x:c r="B203" s="38" t="str"/>
      <x:c r="C203" s="38" t="str"/>
      <x:c r="D203" s="46"/>
      <x:c r="E203" s="38" t="str"/>
      <x:c r="F203" s="38" t="str"/>
      <x:c r="G203" s="35"/>
      <x:c r="H203" s="35"/>
      <x:c r="I203" s="35"/>
    </x:row>
    <x:row r="204">
      <x:c r="A204" s="38" t="str"/>
      <x:c r="B204" s="38" t="str"/>
      <x:c r="C204" s="38" t="str"/>
      <x:c r="D204" s="46"/>
      <x:c r="E204" s="38" t="str"/>
      <x:c r="F204" s="38" t="str"/>
      <x:c r="G204" s="35"/>
      <x:c r="H204" s="35"/>
      <x:c r="I204" s="35"/>
    </x:row>
    <x:row r="205">
      <x:c r="A205" s="38" t="str"/>
      <x:c r="B205" s="38" t="str"/>
      <x:c r="C205" s="38" t="str"/>
      <x:c r="D205" s="46"/>
      <x:c r="E205" s="38" t="str"/>
      <x:c r="F205" s="38" t="str"/>
      <x:c r="G205" s="35"/>
      <x:c r="H205" s="35"/>
      <x:c r="I205" s="35"/>
    </x:row>
    <x:row r="206">
      <x:c r="A206" s="38" t="str"/>
      <x:c r="B206" s="38" t="str"/>
      <x:c r="C206" s="38" t="str"/>
      <x:c r="D206" s="46"/>
      <x:c r="E206" s="38" t="str"/>
      <x:c r="F206" s="38" t="str"/>
      <x:c r="G206" s="35"/>
      <x:c r="H206" s="35"/>
      <x:c r="I206" s="35"/>
    </x:row>
    <x:row r="207">
      <x:c r="A207" s="38" t="str"/>
      <x:c r="B207" s="38" t="str"/>
      <x:c r="C207" s="38" t="str"/>
      <x:c r="D207" s="46"/>
      <x:c r="E207" s="38" t="str"/>
      <x:c r="F207" s="38" t="str"/>
      <x:c r="G207" s="35"/>
      <x:c r="H207" s="35"/>
      <x:c r="I207" s="35"/>
    </x:row>
    <x:row r="208">
      <x:c r="A208" s="38" t="str"/>
      <x:c r="B208" s="38" t="str"/>
      <x:c r="C208" s="38" t="str"/>
      <x:c r="D208" s="46"/>
      <x:c r="E208" s="38" t="str"/>
      <x:c r="F208" s="38" t="str"/>
      <x:c r="G208" s="35"/>
      <x:c r="H208" s="35"/>
      <x:c r="I208" s="35"/>
    </x:row>
    <x:row r="209">
      <x:c r="A209" s="38" t="str"/>
      <x:c r="B209" s="38" t="str"/>
      <x:c r="C209" s="38" t="str"/>
      <x:c r="D209" s="46"/>
      <x:c r="E209" s="38" t="str"/>
      <x:c r="F209" s="38" t="str"/>
      <x:c r="G209" s="35"/>
      <x:c r="H209" s="35"/>
      <x:c r="I209" s="35"/>
    </x:row>
    <x:row r="210">
      <x:c r="A210" s="38" t="str"/>
      <x:c r="B210" s="38" t="str"/>
      <x:c r="C210" s="38" t="str"/>
      <x:c r="D210" s="46"/>
      <x:c r="E210" s="38" t="str"/>
      <x:c r="F210" s="38" t="str"/>
      <x:c r="G210" s="35"/>
      <x:c r="H210" s="35"/>
      <x:c r="I210" s="35"/>
    </x:row>
    <x:row r="211">
      <x:c r="A211" s="38" t="str"/>
      <x:c r="B211" s="38" t="str"/>
      <x:c r="C211" s="38" t="str"/>
      <x:c r="D211" s="46"/>
      <x:c r="E211" s="38" t="str"/>
      <x:c r="F211" s="38" t="str"/>
      <x:c r="G211" s="35"/>
      <x:c r="H211" s="35"/>
      <x:c r="I211" s="35"/>
    </x:row>
    <x:row r="212">
      <x:c r="A212" s="38" t="str"/>
      <x:c r="B212" s="38" t="str"/>
      <x:c r="C212" s="38" t="str"/>
      <x:c r="D212" s="46"/>
      <x:c r="E212" s="38" t="str"/>
      <x:c r="F212" s="38" t="str"/>
      <x:c r="G212" s="35"/>
      <x:c r="H212" s="35"/>
      <x:c r="I212" s="35"/>
    </x:row>
    <x:row r="213">
      <x:c r="A213" s="38" t="str"/>
      <x:c r="B213" s="38" t="str"/>
      <x:c r="C213" s="38" t="str"/>
      <x:c r="D213" s="46"/>
      <x:c r="E213" s="38" t="str"/>
      <x:c r="F213" s="38" t="str"/>
      <x:c r="G213" s="35"/>
      <x:c r="H213" s="35"/>
      <x:c r="I213" s="35"/>
    </x:row>
    <x:row r="214">
      <x:c r="A214" s="38" t="str"/>
      <x:c r="B214" s="38" t="str"/>
      <x:c r="C214" s="38" t="str"/>
      <x:c r="D214" s="46"/>
      <x:c r="E214" s="38" t="str"/>
      <x:c r="F214" s="38" t="str"/>
      <x:c r="G214" s="35"/>
      <x:c r="H214" s="35"/>
      <x:c r="I214" s="35"/>
    </x:row>
    <x:row r="215">
      <x:c r="A215" s="38" t="str"/>
      <x:c r="B215" s="38" t="str"/>
      <x:c r="C215" s="38" t="str"/>
      <x:c r="D215" s="46"/>
      <x:c r="E215" s="38" t="str"/>
      <x:c r="F215" s="38" t="str"/>
      <x:c r="G215" s="35"/>
      <x:c r="H215" s="35"/>
      <x:c r="I215" s="35"/>
    </x:row>
    <x:row r="216">
      <x:c r="A216" s="38" t="str"/>
      <x:c r="B216" s="38" t="str"/>
      <x:c r="C216" s="38" t="str"/>
      <x:c r="D216" s="46"/>
      <x:c r="E216" s="38" t="str"/>
      <x:c r="F216" s="38" t="str"/>
      <x:c r="G216" s="35"/>
      <x:c r="H216" s="35"/>
      <x:c r="I216" s="35"/>
    </x:row>
    <x:row r="217">
      <x:c r="A217" s="38" t="str"/>
      <x:c r="B217" s="38" t="str"/>
      <x:c r="C217" s="38" t="str"/>
      <x:c r="D217" s="46"/>
      <x:c r="E217" s="38" t="str"/>
      <x:c r="F217" s="38" t="str"/>
      <x:c r="G217" s="35"/>
      <x:c r="H217" s="35"/>
      <x:c r="I217" s="35"/>
    </x:row>
    <x:row r="218">
      <x:c r="A218" s="38" t="str"/>
      <x:c r="B218" s="38" t="str"/>
      <x:c r="C218" s="38" t="str"/>
      <x:c r="D218" s="46"/>
      <x:c r="E218" s="38" t="str"/>
      <x:c r="F218" s="38" t="str"/>
      <x:c r="G218" s="35"/>
      <x:c r="H218" s="35"/>
      <x:c r="I218" s="35"/>
    </x:row>
    <x:row r="219">
      <x:c r="A219" s="38" t="str"/>
      <x:c r="B219" s="38" t="str"/>
      <x:c r="C219" s="38" t="str"/>
      <x:c r="D219" s="46"/>
      <x:c r="E219" s="38" t="str"/>
      <x:c r="F219" s="38" t="str"/>
      <x:c r="G219" s="35"/>
      <x:c r="H219" s="35"/>
      <x:c r="I219" s="35"/>
    </x:row>
    <x:row r="220">
      <x:c r="A220" s="38" t="str"/>
      <x:c r="B220" s="38" t="str"/>
      <x:c r="C220" s="38" t="str"/>
      <x:c r="D220" s="46"/>
      <x:c r="E220" s="38" t="str"/>
      <x:c r="F220" s="38" t="str"/>
      <x:c r="G220" s="35"/>
      <x:c r="H220" s="35"/>
      <x:c r="I220" s="35"/>
    </x:row>
    <x:row r="221">
      <x:c r="A221" s="38" t="str"/>
      <x:c r="B221" s="38" t="str"/>
      <x:c r="C221" s="38" t="str"/>
      <x:c r="D221" s="46"/>
      <x:c r="E221" s="38" t="str"/>
      <x:c r="F221" s="38" t="str"/>
      <x:c r="G221" s="35"/>
      <x:c r="H221" s="35"/>
      <x:c r="I221" s="35"/>
    </x:row>
    <x:row r="222">
      <x:c r="A222" s="38" t="str"/>
      <x:c r="B222" s="38" t="str"/>
      <x:c r="C222" s="38" t="str"/>
      <x:c r="D222" s="46"/>
      <x:c r="E222" s="38" t="str"/>
      <x:c r="F222" s="38" t="str"/>
      <x:c r="G222" s="35"/>
      <x:c r="H222" s="35"/>
      <x:c r="I222" s="35"/>
    </x:row>
    <x:row r="223">
      <x:c r="A223" s="38" t="str"/>
      <x:c r="B223" s="38" t="str"/>
      <x:c r="C223" s="38" t="str"/>
      <x:c r="D223" s="46"/>
      <x:c r="E223" s="38" t="str"/>
      <x:c r="F223" s="38" t="str"/>
      <x:c r="G223" s="35"/>
      <x:c r="H223" s="35"/>
      <x:c r="I223" s="35"/>
    </x:row>
    <x:row r="224">
      <x:c r="A224" s="38" t="str"/>
      <x:c r="B224" s="38" t="str"/>
      <x:c r="C224" s="38" t="str"/>
      <x:c r="D224" s="46"/>
      <x:c r="E224" s="38" t="str"/>
      <x:c r="F224" s="38" t="str"/>
      <x:c r="G224" s="35"/>
      <x:c r="H224" s="35"/>
      <x:c r="I224" s="35"/>
    </x:row>
    <x:row r="225">
      <x:c r="A225" s="38" t="str"/>
      <x:c r="B225" s="38" t="str"/>
      <x:c r="C225" s="38" t="str"/>
      <x:c r="D225" s="46"/>
      <x:c r="E225" s="38" t="str"/>
      <x:c r="F225" s="38" t="str"/>
      <x:c r="G225" s="35"/>
      <x:c r="H225" s="35"/>
      <x:c r="I225" s="35"/>
    </x:row>
    <x:row r="226">
      <x:c r="A226" s="38" t="str"/>
      <x:c r="B226" s="38" t="str"/>
      <x:c r="C226" s="38" t="str"/>
      <x:c r="D226" s="46"/>
      <x:c r="E226" s="38" t="str"/>
      <x:c r="F226" s="38" t="str"/>
      <x:c r="G226" s="35"/>
      <x:c r="H226" s="35"/>
      <x:c r="I226" s="35"/>
    </x:row>
    <x:row r="227">
      <x:c r="A227" s="38" t="str"/>
      <x:c r="B227" s="38" t="str"/>
      <x:c r="C227" s="38" t="str"/>
      <x:c r="D227" s="46"/>
      <x:c r="E227" s="38" t="str"/>
      <x:c r="F227" s="38" t="str"/>
      <x:c r="G227" s="35"/>
      <x:c r="H227" s="35"/>
      <x:c r="I227" s="35"/>
    </x:row>
    <x:row r="228">
      <x:c r="A228" s="38" t="str"/>
      <x:c r="B228" s="38" t="str"/>
      <x:c r="C228" s="38" t="str"/>
      <x:c r="D228" s="46"/>
      <x:c r="E228" s="38" t="str"/>
      <x:c r="F228" s="38" t="str"/>
      <x:c r="G228" s="35"/>
      <x:c r="H228" s="35"/>
      <x:c r="I228" s="35"/>
    </x:row>
    <x:row r="229">
      <x:c r="A229" s="38" t="str"/>
      <x:c r="B229" s="38" t="str"/>
      <x:c r="C229" s="38" t="str"/>
      <x:c r="D229" s="46"/>
      <x:c r="E229" s="38" t="str"/>
      <x:c r="F229" s="38" t="str"/>
      <x:c r="G229" s="35"/>
      <x:c r="H229" s="35"/>
      <x:c r="I229" s="35"/>
    </x:row>
    <x:row r="230">
      <x:c r="A230" s="38" t="str"/>
      <x:c r="B230" s="38" t="str"/>
      <x:c r="C230" s="38" t="str"/>
      <x:c r="D230" s="46"/>
      <x:c r="E230" s="38" t="str"/>
      <x:c r="F230" s="38" t="str"/>
      <x:c r="G230" s="35"/>
      <x:c r="H230" s="35"/>
      <x:c r="I230" s="35"/>
    </x:row>
    <x:row r="231">
      <x:c r="A231" s="38" t="str"/>
      <x:c r="B231" s="38" t="str"/>
      <x:c r="C231" s="38" t="str"/>
      <x:c r="D231" s="46"/>
      <x:c r="E231" s="38" t="str"/>
      <x:c r="F231" s="38" t="str"/>
      <x:c r="G231" s="35"/>
      <x:c r="H231" s="35"/>
      <x:c r="I231" s="35"/>
    </x:row>
    <x:row r="232">
      <x:c r="A232" s="38" t="str"/>
      <x:c r="B232" s="38" t="str"/>
      <x:c r="C232" s="38" t="str"/>
      <x:c r="D232" s="46"/>
      <x:c r="E232" s="38" t="str"/>
      <x:c r="F232" s="38" t="str"/>
      <x:c r="G232" s="35"/>
      <x:c r="H232" s="35"/>
      <x:c r="I232" s="35"/>
    </x:row>
    <x:row r="233">
      <x:c r="A233" s="38" t="str"/>
      <x:c r="B233" s="38" t="str"/>
      <x:c r="C233" s="38" t="str"/>
      <x:c r="D233" s="46"/>
      <x:c r="E233" s="38" t="str"/>
      <x:c r="F233" s="38" t="str"/>
      <x:c r="G233" s="35"/>
      <x:c r="H233" s="35"/>
      <x:c r="I233" s="35"/>
    </x:row>
    <x:row r="234">
      <x:c r="A234" s="38" t="str"/>
      <x:c r="B234" s="38" t="str"/>
      <x:c r="C234" s="38" t="str"/>
      <x:c r="D234" s="46"/>
      <x:c r="E234" s="38" t="str"/>
      <x:c r="F234" s="38" t="str"/>
      <x:c r="G234" s="35"/>
      <x:c r="H234" s="35"/>
      <x:c r="I234" s="35"/>
    </x:row>
    <x:row r="235">
      <x:c r="A235" s="38" t="str"/>
      <x:c r="B235" s="38" t="str"/>
      <x:c r="C235" s="38" t="str"/>
      <x:c r="D235" s="46"/>
      <x:c r="E235" s="38" t="str"/>
      <x:c r="F235" s="38" t="str"/>
      <x:c r="G235" s="35"/>
      <x:c r="H235" s="35"/>
      <x:c r="I235" s="35"/>
    </x:row>
    <x:row r="236">
      <x:c r="A236" s="38" t="str"/>
      <x:c r="B236" s="38" t="str"/>
      <x:c r="C236" s="38" t="str"/>
      <x:c r="D236" s="46"/>
      <x:c r="E236" s="38" t="str"/>
      <x:c r="F236" s="38" t="str"/>
      <x:c r="G236" s="35"/>
      <x:c r="H236" s="35"/>
      <x:c r="I236" s="35"/>
    </x:row>
    <x:row r="237">
      <x:c r="A237" s="38" t="str"/>
      <x:c r="B237" s="38" t="str"/>
      <x:c r="C237" s="38" t="str"/>
      <x:c r="D237" s="46"/>
      <x:c r="E237" s="38" t="str"/>
      <x:c r="F237" s="38" t="str"/>
      <x:c r="G237" s="35"/>
      <x:c r="H237" s="35"/>
      <x:c r="I237" s="35"/>
    </x:row>
    <x:row r="238">
      <x:c r="A238" s="38" t="str"/>
      <x:c r="B238" s="38" t="str"/>
      <x:c r="C238" s="38" t="str"/>
      <x:c r="D238" s="46"/>
      <x:c r="E238" s="38" t="str"/>
      <x:c r="F238" s="38" t="str"/>
      <x:c r="G238" s="35"/>
      <x:c r="H238" s="35"/>
      <x:c r="I238" s="35"/>
    </x:row>
    <x:row r="239">
      <x:c r="A239" s="38" t="str"/>
      <x:c r="B239" s="38" t="str"/>
      <x:c r="C239" s="38" t="str"/>
      <x:c r="D239" s="46"/>
      <x:c r="E239" s="38" t="str"/>
      <x:c r="F239" s="38" t="str"/>
      <x:c r="G239" s="35"/>
      <x:c r="H239" s="35"/>
      <x:c r="I239" s="35"/>
    </x:row>
    <x:row r="240">
      <x:c r="A240" s="38" t="str"/>
      <x:c r="B240" s="38" t="str"/>
      <x:c r="C240" s="38" t="str"/>
      <x:c r="D240" s="46"/>
      <x:c r="E240" s="38" t="str"/>
      <x:c r="F240" s="38" t="str"/>
      <x:c r="G240" s="35"/>
      <x:c r="H240" s="35"/>
      <x:c r="I240" s="35"/>
    </x:row>
    <x:row r="241">
      <x:c r="A241" s="38" t="str"/>
      <x:c r="B241" s="38" t="str"/>
      <x:c r="C241" s="38" t="str"/>
      <x:c r="D241" s="46"/>
      <x:c r="E241" s="38" t="str"/>
      <x:c r="F241" s="38" t="str"/>
      <x:c r="G241" s="35"/>
      <x:c r="H241" s="35"/>
      <x:c r="I241" s="35"/>
    </x:row>
    <x:row r="242">
      <x:c r="A242" s="38" t="str"/>
      <x:c r="B242" s="38" t="str"/>
      <x:c r="C242" s="38" t="str"/>
      <x:c r="D242" s="46"/>
      <x:c r="E242" s="38" t="str"/>
      <x:c r="F242" s="38" t="str"/>
      <x:c r="G242" s="35"/>
      <x:c r="H242" s="35"/>
      <x:c r="I242" s="35"/>
    </x:row>
    <x:row r="243">
      <x:c r="A243" s="38" t="str"/>
      <x:c r="B243" s="38" t="str"/>
      <x:c r="C243" s="38" t="str"/>
      <x:c r="D243" s="46"/>
      <x:c r="E243" s="38" t="str"/>
      <x:c r="F243" s="38" t="str"/>
      <x:c r="G243" s="35"/>
      <x:c r="H243" s="35"/>
      <x:c r="I243" s="35"/>
    </x:row>
    <x:row r="244">
      <x:c r="A244" s="38" t="str"/>
      <x:c r="B244" s="38" t="str"/>
      <x:c r="C244" s="38" t="str"/>
      <x:c r="D244" s="46"/>
      <x:c r="E244" s="38" t="str"/>
      <x:c r="F244" s="38" t="str"/>
      <x:c r="G244" s="35"/>
      <x:c r="H244" s="35"/>
      <x:c r="I244" s="35"/>
    </x:row>
    <x:row r="245">
      <x:c r="A245" s="38" t="str"/>
      <x:c r="B245" s="38" t="str"/>
      <x:c r="C245" s="38" t="str"/>
      <x:c r="D245" s="46"/>
      <x:c r="E245" s="38" t="str"/>
      <x:c r="F245" s="38" t="str"/>
      <x:c r="G245" s="35"/>
      <x:c r="H245" s="35"/>
      <x:c r="I245" s="35"/>
    </x:row>
    <x:row r="246">
      <x:c r="A246" s="38" t="str"/>
      <x:c r="B246" s="38" t="str"/>
      <x:c r="C246" s="38" t="str"/>
      <x:c r="D246" s="46"/>
      <x:c r="E246" s="38" t="str"/>
      <x:c r="F246" s="38" t="str"/>
      <x:c r="G246" s="35"/>
      <x:c r="H246" s="35"/>
      <x:c r="I246" s="35"/>
    </x:row>
    <x:row r="247">
      <x:c r="A247" s="38" t="str"/>
      <x:c r="B247" s="38" t="str"/>
      <x:c r="C247" s="38" t="str"/>
      <x:c r="D247" s="46"/>
      <x:c r="E247" s="38" t="str"/>
      <x:c r="F247" s="38" t="str"/>
      <x:c r="G247" s="35"/>
      <x:c r="H247" s="35"/>
      <x:c r="I247" s="35"/>
    </x:row>
    <x:row r="248">
      <x:c r="A248" s="38" t="str"/>
      <x:c r="B248" s="38" t="str"/>
      <x:c r="C248" s="38" t="str"/>
      <x:c r="D248" s="46"/>
      <x:c r="E248" s="38" t="str"/>
      <x:c r="F248" s="38" t="str"/>
      <x:c r="G248" s="35"/>
      <x:c r="H248" s="35"/>
      <x:c r="I248" s="35"/>
    </x:row>
    <x:row r="249">
      <x:c r="A249" s="38" t="str"/>
      <x:c r="B249" s="38" t="str"/>
      <x:c r="C249" s="38" t="str"/>
      <x:c r="D249" s="46"/>
      <x:c r="E249" s="38" t="str"/>
      <x:c r="F249" s="38" t="str"/>
      <x:c r="G249" s="35"/>
      <x:c r="H249" s="35"/>
      <x:c r="I249" s="35"/>
    </x:row>
    <x:row r="250">
      <x:c r="A250" s="38" t="str"/>
      <x:c r="B250" s="38" t="str"/>
      <x:c r="C250" s="38" t="str"/>
      <x:c r="D250" s="46"/>
      <x:c r="E250" s="38" t="str"/>
      <x:c r="F250" s="38" t="str"/>
      <x:c r="G250" s="35"/>
      <x:c r="H250" s="35"/>
      <x:c r="I250" s="35"/>
    </x:row>
    <x:row r="251">
      <x:c r="A251" s="38" t="str"/>
      <x:c r="B251" s="38" t="str"/>
      <x:c r="C251" s="38" t="str"/>
      <x:c r="D251" s="46"/>
      <x:c r="E251" s="38" t="str"/>
      <x:c r="F251" s="38" t="str"/>
      <x:c r="G251" s="35"/>
      <x:c r="H251" s="35"/>
      <x:c r="I251" s="35"/>
    </x:row>
    <x:row r="252">
      <x:c r="A252" s="38" t="str"/>
      <x:c r="B252" s="38" t="str"/>
      <x:c r="C252" s="38" t="str"/>
      <x:c r="D252" s="46"/>
      <x:c r="E252" s="38" t="str"/>
      <x:c r="F252" s="38" t="str"/>
      <x:c r="G252" s="35"/>
      <x:c r="H252" s="35"/>
      <x:c r="I252" s="35"/>
    </x:row>
    <x:row r="253">
      <x:c r="A253" s="38" t="str"/>
      <x:c r="B253" s="38" t="str"/>
      <x:c r="C253" s="38" t="str"/>
      <x:c r="D253" s="46"/>
      <x:c r="E253" s="38" t="str"/>
      <x:c r="F253" s="38" t="str"/>
      <x:c r="G253" s="35"/>
      <x:c r="H253" s="35"/>
      <x:c r="I253" s="35"/>
    </x:row>
    <x:row r="254">
      <x:c r="A254" s="38" t="str"/>
      <x:c r="B254" s="38" t="str"/>
      <x:c r="C254" s="38" t="str"/>
      <x:c r="D254" s="46"/>
      <x:c r="E254" s="38" t="str"/>
      <x:c r="F254" s="38" t="str"/>
      <x:c r="G254" s="35"/>
      <x:c r="H254" s="35"/>
      <x:c r="I254" s="35"/>
    </x:row>
    <x:row r="255">
      <x:c r="A255" s="38" t="str"/>
      <x:c r="B255" s="38" t="str"/>
      <x:c r="C255" s="38" t="str"/>
      <x:c r="D255" s="46"/>
      <x:c r="E255" s="38" t="str"/>
      <x:c r="F255" s="38" t="str"/>
      <x:c r="G255" s="35"/>
      <x:c r="H255" s="35"/>
      <x:c r="I255" s="35"/>
    </x:row>
    <x:row r="256">
      <x:c r="A256" s="38" t="str"/>
      <x:c r="B256" s="38" t="str"/>
      <x:c r="C256" s="38" t="str"/>
      <x:c r="D256" s="46"/>
      <x:c r="E256" s="38" t="str"/>
      <x:c r="F256" s="38" t="str"/>
      <x:c r="G256" s="35"/>
      <x:c r="H256" s="35"/>
      <x:c r="I256" s="35"/>
    </x:row>
    <x:row r="257">
      <x:c r="A257" s="38" t="str"/>
      <x:c r="B257" s="38" t="str"/>
      <x:c r="C257" s="38" t="str"/>
      <x:c r="D257" s="46"/>
      <x:c r="E257" s="38" t="str"/>
      <x:c r="F257" s="38" t="str"/>
      <x:c r="G257" s="35"/>
      <x:c r="H257" s="35"/>
      <x:c r="I257" s="35"/>
    </x:row>
    <x:row r="258">
      <x:c r="A258" s="38" t="str"/>
      <x:c r="B258" s="38" t="str"/>
      <x:c r="C258" s="38" t="str"/>
      <x:c r="D258" s="46"/>
      <x:c r="E258" s="38" t="str"/>
      <x:c r="F258" s="38" t="str"/>
      <x:c r="G258" s="35"/>
      <x:c r="H258" s="35"/>
      <x:c r="I258" s="35"/>
    </x:row>
    <x:row r="259">
      <x:c r="A259" s="38" t="str"/>
      <x:c r="B259" s="38" t="str"/>
      <x:c r="C259" s="38" t="str"/>
      <x:c r="D259" s="46"/>
      <x:c r="E259" s="38" t="str"/>
      <x:c r="F259" s="38" t="str"/>
      <x:c r="G259" s="35"/>
      <x:c r="H259" s="35"/>
      <x:c r="I259" s="35"/>
    </x:row>
    <x:row r="260">
      <x:c r="A260" s="38" t="str"/>
      <x:c r="B260" s="38" t="str"/>
      <x:c r="C260" s="38" t="str"/>
      <x:c r="D260" s="46"/>
      <x:c r="E260" s="38" t="str"/>
      <x:c r="F260" s="38" t="str"/>
      <x:c r="G260" s="35"/>
      <x:c r="H260" s="35"/>
      <x:c r="I260" s="35"/>
    </x:row>
    <x:row r="261">
      <x:c r="A261" s="38" t="str"/>
      <x:c r="B261" s="38" t="str"/>
      <x:c r="C261" s="38" t="str"/>
      <x:c r="D261" s="46"/>
      <x:c r="E261" s="38" t="str"/>
      <x:c r="F261" s="38" t="str"/>
      <x:c r="G261" s="35"/>
      <x:c r="H261" s="35"/>
      <x:c r="I261" s="35"/>
    </x:row>
    <x:row r="262">
      <x:c r="A262" s="38" t="str"/>
      <x:c r="B262" s="38" t="str"/>
      <x:c r="C262" s="38" t="str"/>
      <x:c r="D262" s="46"/>
      <x:c r="E262" s="38" t="str"/>
      <x:c r="F262" s="38" t="str"/>
      <x:c r="G262" s="35"/>
      <x:c r="H262" s="35"/>
      <x:c r="I262" s="35"/>
    </x:row>
    <x:row r="263">
      <x:c r="A263" s="38" t="str"/>
      <x:c r="B263" s="38" t="str"/>
      <x:c r="C263" s="38" t="str"/>
      <x:c r="D263" s="46"/>
      <x:c r="E263" s="38" t="str"/>
      <x:c r="F263" s="38" t="str"/>
      <x:c r="G263" s="35"/>
      <x:c r="H263" s="35"/>
      <x:c r="I263" s="35"/>
    </x:row>
    <x:row r="264">
      <x:c r="A264" s="38" t="str"/>
      <x:c r="B264" s="38" t="str"/>
      <x:c r="C264" s="38" t="str"/>
      <x:c r="D264" s="46"/>
      <x:c r="E264" s="38" t="str"/>
      <x:c r="F264" s="38" t="str"/>
      <x:c r="G264" s="35"/>
      <x:c r="H264" s="35"/>
      <x:c r="I264" s="35"/>
    </x:row>
    <x:row r="265">
      <x:c r="A265" s="38" t="str"/>
      <x:c r="B265" s="38" t="str"/>
      <x:c r="C265" s="38" t="str"/>
      <x:c r="D265" s="46"/>
      <x:c r="E265" s="38" t="str"/>
      <x:c r="F265" s="38" t="str"/>
      <x:c r="G265" s="35"/>
      <x:c r="H265" s="35"/>
      <x:c r="I265" s="35"/>
    </x:row>
    <x:row r="266">
      <x:c r="A266" s="38" t="str"/>
      <x:c r="B266" s="38" t="str"/>
      <x:c r="C266" s="38" t="str"/>
      <x:c r="D266" s="46"/>
      <x:c r="E266" s="38" t="str"/>
      <x:c r="F266" s="38" t="str"/>
      <x:c r="G266" s="35"/>
      <x:c r="H266" s="35"/>
      <x:c r="I266" s="35"/>
    </x:row>
    <x:row r="267">
      <x:c r="A267" s="38" t="str"/>
      <x:c r="B267" s="38" t="str"/>
      <x:c r="C267" s="38" t="str"/>
      <x:c r="D267" s="46"/>
      <x:c r="E267" s="38" t="str"/>
      <x:c r="F267" s="38" t="str"/>
      <x:c r="G267" s="35"/>
      <x:c r="H267" s="35"/>
      <x:c r="I267" s="35"/>
    </x:row>
    <x:row r="268">
      <x:c r="A268" s="38" t="str"/>
      <x:c r="B268" s="38" t="str"/>
      <x:c r="C268" s="38" t="str"/>
      <x:c r="D268" s="46"/>
      <x:c r="E268" s="38" t="str"/>
      <x:c r="F268" s="38" t="str"/>
      <x:c r="G268" s="35"/>
      <x:c r="H268" s="35"/>
      <x:c r="I268" s="35"/>
    </x:row>
    <x:row r="269">
      <x:c r="A269" s="38" t="str"/>
      <x:c r="B269" s="38" t="str"/>
      <x:c r="C269" s="38" t="str"/>
      <x:c r="D269" s="46"/>
      <x:c r="E269" s="38" t="str"/>
      <x:c r="F269" s="38" t="str"/>
      <x:c r="G269" s="35"/>
      <x:c r="H269" s="35"/>
      <x:c r="I269" s="35"/>
    </x:row>
    <x:row r="270">
      <x:c r="A270" s="38" t="str"/>
      <x:c r="B270" s="38" t="str"/>
      <x:c r="C270" s="38" t="str"/>
      <x:c r="D270" s="46"/>
      <x:c r="E270" s="38" t="str"/>
      <x:c r="F270" s="38" t="str"/>
      <x:c r="G270" s="35"/>
      <x:c r="H270" s="35"/>
      <x:c r="I270" s="35"/>
    </x:row>
    <x:row r="271">
      <x:c r="A271" s="38" t="str"/>
      <x:c r="B271" s="38" t="str"/>
      <x:c r="C271" s="38" t="str"/>
      <x:c r="D271" s="46"/>
      <x:c r="E271" s="38" t="str"/>
      <x:c r="F271" s="38" t="str"/>
      <x:c r="G271" s="35"/>
      <x:c r="H271" s="35"/>
      <x:c r="I271" s="35"/>
    </x:row>
    <x:row r="272">
      <x:c r="A272" s="38" t="str"/>
      <x:c r="B272" s="38" t="str"/>
      <x:c r="C272" s="38" t="str"/>
      <x:c r="D272" s="46"/>
      <x:c r="E272" s="38" t="str"/>
      <x:c r="F272" s="38" t="str"/>
      <x:c r="G272" s="35"/>
      <x:c r="H272" s="35"/>
      <x:c r="I272" s="35"/>
    </x:row>
    <x:row r="273">
      <x:c r="A273" s="38" t="str"/>
      <x:c r="B273" s="38" t="str"/>
      <x:c r="C273" s="38" t="str"/>
      <x:c r="D273" s="46"/>
      <x:c r="E273" s="38" t="str"/>
      <x:c r="F273" s="38" t="str"/>
      <x:c r="G273" s="35"/>
      <x:c r="H273" s="35"/>
      <x:c r="I273" s="35"/>
    </x:row>
    <x:row r="274">
      <x:c r="A274" s="38" t="str"/>
      <x:c r="B274" s="38" t="str"/>
      <x:c r="C274" s="38" t="str"/>
      <x:c r="D274" s="46"/>
      <x:c r="E274" s="38" t="str"/>
      <x:c r="F274" s="38" t="str"/>
      <x:c r="G274" s="35"/>
      <x:c r="H274" s="35"/>
      <x:c r="I274" s="35"/>
    </x:row>
    <x:row r="275">
      <x:c r="A275" s="38" t="str"/>
      <x:c r="B275" s="38" t="str"/>
      <x:c r="C275" s="38" t="str"/>
      <x:c r="D275" s="46"/>
      <x:c r="E275" s="38" t="str"/>
      <x:c r="F275" s="38" t="str"/>
      <x:c r="G275" s="35"/>
      <x:c r="H275" s="35"/>
      <x:c r="I275" s="35"/>
    </x:row>
    <x:row r="276">
      <x:c r="A276" s="38" t="str"/>
      <x:c r="B276" s="38" t="str"/>
      <x:c r="C276" s="38" t="str"/>
      <x:c r="D276" s="46"/>
      <x:c r="E276" s="38" t="str"/>
      <x:c r="F276" s="38" t="str"/>
      <x:c r="G276" s="35"/>
      <x:c r="H276" s="35"/>
      <x:c r="I276" s="35"/>
    </x:row>
    <x:row r="277">
      <x:c r="A277" s="38" t="str"/>
      <x:c r="B277" s="38" t="str"/>
      <x:c r="C277" s="38" t="str"/>
      <x:c r="D277" s="46"/>
      <x:c r="E277" s="38" t="str"/>
      <x:c r="F277" s="38" t="str"/>
      <x:c r="G277" s="35"/>
      <x:c r="H277" s="35"/>
      <x:c r="I277" s="35"/>
    </x:row>
    <x:row r="278">
      <x:c r="A278" s="38" t="str"/>
      <x:c r="B278" s="38" t="str"/>
      <x:c r="C278" s="38" t="str"/>
      <x:c r="D278" s="46"/>
      <x:c r="E278" s="38" t="str"/>
      <x:c r="F278" s="38" t="str"/>
      <x:c r="G278" s="35"/>
      <x:c r="H278" s="35"/>
      <x:c r="I278" s="35"/>
    </x:row>
    <x:row r="279">
      <x:c r="A279" s="38" t="str"/>
      <x:c r="B279" s="38" t="str"/>
      <x:c r="C279" s="38" t="str"/>
      <x:c r="D279" s="46"/>
      <x:c r="E279" s="38" t="str"/>
      <x:c r="F279" s="38" t="str"/>
      <x:c r="G279" s="35"/>
      <x:c r="H279" s="35"/>
      <x:c r="I279" s="35"/>
    </x:row>
    <x:row r="280">
      <x:c r="A280" s="38" t="str"/>
      <x:c r="B280" s="38" t="str"/>
      <x:c r="C280" s="38" t="str"/>
      <x:c r="D280" s="46"/>
      <x:c r="E280" s="38" t="str"/>
      <x:c r="F280" s="38" t="str"/>
      <x:c r="G280" s="35"/>
      <x:c r="H280" s="35"/>
      <x:c r="I280" s="35"/>
    </x:row>
    <x:row r="281">
      <x:c r="A281" s="38" t="str"/>
      <x:c r="B281" s="38" t="str"/>
      <x:c r="C281" s="38" t="str"/>
      <x:c r="D281" s="46"/>
      <x:c r="E281" s="38" t="str"/>
      <x:c r="F281" s="38" t="str"/>
      <x:c r="G281" s="35"/>
      <x:c r="H281" s="35"/>
      <x:c r="I281" s="35"/>
    </x:row>
    <x:row r="282">
      <x:c r="A282" s="38" t="str"/>
      <x:c r="B282" s="38" t="str"/>
      <x:c r="C282" s="38" t="str"/>
      <x:c r="D282" s="46"/>
      <x:c r="E282" s="38" t="str"/>
      <x:c r="F282" s="38" t="str"/>
      <x:c r="G282" s="35"/>
      <x:c r="H282" s="35"/>
      <x:c r="I282" s="35"/>
    </x:row>
    <x:row r="283">
      <x:c r="A283" s="38" t="str"/>
      <x:c r="B283" s="38" t="str"/>
      <x:c r="C283" s="38" t="str"/>
      <x:c r="D283" s="46"/>
      <x:c r="E283" s="38" t="str"/>
      <x:c r="F283" s="38" t="str"/>
      <x:c r="G283" s="35"/>
      <x:c r="H283" s="35"/>
      <x:c r="I283" s="35"/>
    </x:row>
    <x:row r="284">
      <x:c r="A284" s="38" t="str"/>
      <x:c r="B284" s="38" t="str"/>
      <x:c r="C284" s="38" t="str"/>
      <x:c r="D284" s="46"/>
      <x:c r="E284" s="38" t="str"/>
      <x:c r="F284" s="38" t="str"/>
      <x:c r="G284" s="35"/>
      <x:c r="H284" s="35"/>
      <x:c r="I284" s="35"/>
    </x:row>
    <x:row r="285">
      <x:c r="A285" s="38" t="str"/>
      <x:c r="B285" s="38" t="str"/>
      <x:c r="C285" s="38" t="str"/>
      <x:c r="D285" s="46"/>
      <x:c r="E285" s="38" t="str"/>
      <x:c r="F285" s="38" t="str"/>
      <x:c r="G285" s="35"/>
      <x:c r="H285" s="35"/>
      <x:c r="I285" s="35"/>
    </x:row>
    <x:row r="286">
      <x:c r="A286" s="38" t="str"/>
      <x:c r="B286" s="38" t="str"/>
      <x:c r="C286" s="38" t="str"/>
      <x:c r="D286" s="46"/>
      <x:c r="E286" s="38" t="str"/>
      <x:c r="F286" s="38" t="str"/>
      <x:c r="G286" s="35"/>
      <x:c r="H286" s="35"/>
      <x:c r="I286" s="35"/>
    </x:row>
    <x:row r="287">
      <x:c r="A287" s="38" t="str"/>
      <x:c r="B287" s="38" t="str"/>
      <x:c r="C287" s="38" t="str"/>
      <x:c r="D287" s="46"/>
      <x:c r="E287" s="38" t="str"/>
      <x:c r="F287" s="38" t="str"/>
      <x:c r="G287" s="35"/>
      <x:c r="H287" s="35"/>
      <x:c r="I287" s="35"/>
    </x:row>
    <x:row r="288">
      <x:c r="A288" s="38" t="str"/>
      <x:c r="B288" s="38" t="str"/>
      <x:c r="C288" s="38" t="str"/>
      <x:c r="D288" s="46"/>
      <x:c r="E288" s="38" t="str"/>
      <x:c r="F288" s="38" t="str"/>
      <x:c r="G288" s="35"/>
      <x:c r="H288" s="35"/>
      <x:c r="I288" s="35"/>
    </x:row>
    <x:row r="289">
      <x:c r="A289" s="38" t="str"/>
      <x:c r="B289" s="38" t="str"/>
      <x:c r="C289" s="38" t="str"/>
      <x:c r="D289" s="46"/>
      <x:c r="E289" s="38" t="str"/>
      <x:c r="F289" s="38" t="str"/>
      <x:c r="G289" s="35"/>
      <x:c r="H289" s="35"/>
      <x:c r="I289" s="35"/>
    </x:row>
    <x:row r="290">
      <x:c r="A290" s="38" t="str"/>
      <x:c r="B290" s="38" t="str"/>
      <x:c r="C290" s="38" t="str"/>
      <x:c r="D290" s="46"/>
      <x:c r="E290" s="38" t="str"/>
      <x:c r="F290" s="38" t="str"/>
      <x:c r="G290" s="35"/>
      <x:c r="H290" s="35"/>
      <x:c r="I290" s="35"/>
    </x:row>
    <x:row r="291">
      <x:c r="A291" s="38" t="str"/>
      <x:c r="B291" s="38" t="str"/>
      <x:c r="C291" s="38" t="str"/>
      <x:c r="D291" s="46"/>
      <x:c r="E291" s="38" t="str"/>
      <x:c r="F291" s="38" t="str"/>
      <x:c r="G291" s="35"/>
      <x:c r="H291" s="35"/>
      <x:c r="I291" s="35"/>
    </x:row>
    <x:row r="292">
      <x:c r="A292" s="38" t="str"/>
      <x:c r="B292" s="38" t="str"/>
      <x:c r="C292" s="38" t="str"/>
      <x:c r="D292" s="46"/>
      <x:c r="E292" s="38" t="str"/>
      <x:c r="F292" s="38" t="str"/>
      <x:c r="G292" s="35"/>
      <x:c r="H292" s="35"/>
      <x:c r="I292" s="35"/>
    </x:row>
    <x:row r="293">
      <x:c r="A293" s="38" t="str"/>
      <x:c r="B293" s="38" t="str"/>
      <x:c r="C293" s="38" t="str"/>
      <x:c r="D293" s="46"/>
      <x:c r="E293" s="38" t="str"/>
      <x:c r="F293" s="38" t="str"/>
      <x:c r="G293" s="35"/>
      <x:c r="H293" s="35"/>
      <x:c r="I293" s="35"/>
    </x:row>
    <x:row r="294">
      <x:c r="A294" s="38" t="str"/>
      <x:c r="B294" s="38" t="str"/>
      <x:c r="C294" s="38" t="str"/>
      <x:c r="D294" s="46"/>
      <x:c r="E294" s="38" t="str"/>
      <x:c r="F294" s="38" t="str"/>
      <x:c r="G294" s="35"/>
      <x:c r="H294" s="35"/>
      <x:c r="I294" s="35"/>
    </x:row>
    <x:row r="295">
      <x:c r="A295" s="38" t="str"/>
      <x:c r="B295" s="38" t="str"/>
      <x:c r="C295" s="38" t="str"/>
      <x:c r="D295" s="46"/>
      <x:c r="E295" s="38" t="str"/>
      <x:c r="F295" s="38" t="str"/>
      <x:c r="G295" s="35"/>
      <x:c r="H295" s="35"/>
      <x:c r="I295" s="35"/>
    </x:row>
    <x:row r="296">
      <x:c r="A296" s="38" t="str"/>
      <x:c r="B296" s="38" t="str"/>
      <x:c r="C296" s="38" t="str"/>
      <x:c r="D296" s="46"/>
      <x:c r="E296" s="38" t="str"/>
      <x:c r="F296" s="38" t="str"/>
      <x:c r="G296" s="35"/>
      <x:c r="H296" s="35"/>
      <x:c r="I296" s="35"/>
    </x:row>
    <x:row r="297">
      <x:c r="A297" s="38" t="str"/>
      <x:c r="B297" s="38" t="str"/>
      <x:c r="C297" s="38" t="str"/>
      <x:c r="D297" s="46"/>
      <x:c r="E297" s="38" t="str"/>
      <x:c r="F297" s="38" t="str"/>
      <x:c r="G297" s="35"/>
      <x:c r="H297" s="35"/>
      <x:c r="I297" s="35"/>
    </x:row>
    <x:row r="298">
      <x:c r="A298" s="38" t="str"/>
      <x:c r="B298" s="38" t="str"/>
      <x:c r="C298" s="38" t="str"/>
      <x:c r="D298" s="46"/>
      <x:c r="E298" s="38" t="str"/>
      <x:c r="F298" s="38" t="str"/>
      <x:c r="G298" s="35"/>
      <x:c r="H298" s="35"/>
      <x:c r="I298" s="35"/>
    </x:row>
    <x:row r="299">
      <x:c r="A299" s="38" t="str"/>
      <x:c r="B299" s="38" t="str"/>
      <x:c r="C299" s="38" t="str"/>
      <x:c r="D299" s="46"/>
      <x:c r="E299" s="38" t="str"/>
      <x:c r="F299" s="38" t="str"/>
      <x:c r="G299" s="35"/>
      <x:c r="H299" s="35"/>
      <x:c r="I299" s="35"/>
    </x:row>
    <x:row r="300">
      <x:c r="A300" s="38" t="str"/>
      <x:c r="B300" s="38" t="str"/>
      <x:c r="C300" s="38" t="str"/>
      <x:c r="D300" s="46"/>
      <x:c r="E300" s="38" t="str"/>
      <x:c r="F300" s="38" t="str"/>
      <x:c r="G300" s="35"/>
      <x:c r="H300" s="35"/>
      <x:c r="I300" s="35"/>
    </x:row>
    <x:row r="301">
      <x:c r="A301" s="38" t="str"/>
      <x:c r="B301" s="38" t="str"/>
      <x:c r="C301" s="38" t="str"/>
      <x:c r="D301" s="46"/>
      <x:c r="E301" s="38" t="str"/>
      <x:c r="F301" s="38" t="str"/>
      <x:c r="G301" s="35"/>
      <x:c r="H301" s="35"/>
      <x:c r="I301" s="35"/>
    </x:row>
    <x:row r="302">
      <x:c r="A302" s="38" t="str"/>
      <x:c r="B302" s="38" t="str"/>
      <x:c r="C302" s="38" t="str"/>
      <x:c r="D302" s="46"/>
      <x:c r="E302" s="38" t="str"/>
      <x:c r="F302" s="38" t="str"/>
      <x:c r="G302" s="35"/>
      <x:c r="H302" s="35"/>
      <x:c r="I302" s="35"/>
    </x:row>
    <x:row r="303">
      <x:c r="A303" s="38" t="str"/>
      <x:c r="B303" s="38" t="str"/>
      <x:c r="C303" s="38" t="str"/>
      <x:c r="D303" s="46"/>
      <x:c r="E303" s="38" t="str"/>
      <x:c r="F303" s="38" t="str"/>
      <x:c r="G303" s="35"/>
      <x:c r="H303" s="35"/>
      <x:c r="I303" s="35"/>
    </x:row>
    <x:row r="304">
      <x:c r="A304" s="38" t="str"/>
      <x:c r="B304" s="38" t="str"/>
      <x:c r="C304" s="38" t="str"/>
      <x:c r="D304" s="46"/>
      <x:c r="E304" s="38" t="str"/>
      <x:c r="F304" s="38" t="str"/>
      <x:c r="G304" s="35"/>
      <x:c r="H304" s="35"/>
      <x:c r="I304" s="35"/>
    </x:row>
    <x:row r="305">
      <x:c r="A305" s="38" t="str"/>
      <x:c r="B305" s="38" t="str"/>
      <x:c r="C305" s="38" t="str"/>
      <x:c r="D305" s="46"/>
      <x:c r="E305" s="38" t="str"/>
      <x:c r="F305" s="38" t="str"/>
      <x:c r="G305" s="35"/>
      <x:c r="H305" s="35"/>
      <x:c r="I305" s="35"/>
    </x:row>
    <x:row r="306">
      <x:c r="A306" s="38" t="str"/>
      <x:c r="B306" s="38" t="str"/>
      <x:c r="C306" s="38" t="str"/>
      <x:c r="D306" s="46"/>
      <x:c r="E306" s="38" t="str"/>
      <x:c r="F306" s="38" t="str"/>
      <x:c r="G306" s="35"/>
      <x:c r="H306" s="35"/>
      <x:c r="I306" s="35"/>
    </x:row>
    <x:row r="307">
      <x:c r="A307" s="38" t="str"/>
      <x:c r="B307" s="38" t="str"/>
      <x:c r="C307" s="38" t="str"/>
      <x:c r="D307" s="46"/>
      <x:c r="E307" s="38" t="str"/>
      <x:c r="F307" s="38" t="str"/>
      <x:c r="G307" s="35"/>
      <x:c r="H307" s="35"/>
      <x:c r="I307" s="35"/>
    </x:row>
    <x:row r="308">
      <x:c r="A308" s="38" t="str"/>
      <x:c r="B308" s="38" t="str"/>
      <x:c r="C308" s="38" t="str"/>
      <x:c r="D308" s="46"/>
      <x:c r="E308" s="38" t="str"/>
      <x:c r="F308" s="38" t="str"/>
      <x:c r="G308" s="35"/>
      <x:c r="H308" s="35"/>
      <x:c r="I308" s="35"/>
    </x:row>
    <x:row r="309">
      <x:c r="A309" s="38" t="str"/>
      <x:c r="B309" s="38" t="str"/>
      <x:c r="C309" s="38" t="str"/>
      <x:c r="D309" s="46"/>
      <x:c r="E309" s="38" t="str"/>
      <x:c r="F309" s="38" t="str"/>
      <x:c r="G309" s="35"/>
      <x:c r="H309" s="35"/>
      <x:c r="I309" s="35"/>
    </x:row>
    <x:row r="310">
      <x:c r="A310" s="38" t="str"/>
      <x:c r="B310" s="38" t="str"/>
      <x:c r="C310" s="38" t="str"/>
      <x:c r="D310" s="46"/>
      <x:c r="E310" s="38" t="str"/>
      <x:c r="F310" s="38" t="str"/>
      <x:c r="G310" s="35"/>
      <x:c r="H310" s="35"/>
      <x:c r="I310" s="35"/>
    </x:row>
    <x:row r="311">
      <x:c r="A311" s="38" t="str"/>
      <x:c r="B311" s="38" t="str"/>
      <x:c r="C311" s="38" t="str"/>
      <x:c r="D311" s="46"/>
      <x:c r="E311" s="38" t="str"/>
      <x:c r="F311" s="38" t="str"/>
      <x:c r="G311" s="35"/>
      <x:c r="H311" s="35"/>
      <x:c r="I311" s="35"/>
    </x:row>
    <x:row r="312">
      <x:c r="A312" s="38" t="str"/>
      <x:c r="B312" s="38" t="str"/>
      <x:c r="C312" s="38" t="str"/>
      <x:c r="D312" s="46"/>
      <x:c r="E312" s="38" t="str"/>
      <x:c r="F312" s="38" t="str"/>
      <x:c r="G312" s="35"/>
      <x:c r="H312" s="35"/>
      <x:c r="I312" s="35"/>
    </x:row>
    <x:row r="313">
      <x:c r="A313" s="38" t="str"/>
      <x:c r="B313" s="38" t="str"/>
      <x:c r="C313" s="38" t="str"/>
      <x:c r="D313" s="46"/>
      <x:c r="E313" s="38" t="str"/>
      <x:c r="F313" s="38" t="str"/>
      <x:c r="G313" s="35"/>
      <x:c r="H313" s="35"/>
      <x:c r="I313" s="35"/>
    </x:row>
    <x:row r="314">
      <x:c r="A314" s="38" t="str"/>
      <x:c r="B314" s="38" t="str"/>
      <x:c r="C314" s="38" t="str"/>
      <x:c r="D314" s="46"/>
      <x:c r="E314" s="38" t="str"/>
      <x:c r="F314" s="38" t="str"/>
      <x:c r="G314" s="35"/>
      <x:c r="H314" s="35"/>
      <x:c r="I314" s="35"/>
    </x:row>
    <x:row r="315">
      <x:c r="A315" s="38" t="str"/>
      <x:c r="B315" s="38" t="str"/>
      <x:c r="C315" s="38" t="str"/>
      <x:c r="D315" s="46"/>
      <x:c r="E315" s="38" t="str"/>
      <x:c r="F315" s="38" t="str"/>
      <x:c r="G315" s="35"/>
      <x:c r="H315" s="35"/>
      <x:c r="I315" s="35"/>
    </x:row>
    <x:row r="316">
      <x:c r="A316" s="38" t="str"/>
      <x:c r="B316" s="38" t="str"/>
      <x:c r="C316" s="38" t="str"/>
      <x:c r="D316" s="46"/>
      <x:c r="E316" s="38" t="str"/>
      <x:c r="F316" s="38" t="str"/>
      <x:c r="G316" s="35"/>
      <x:c r="H316" s="35"/>
      <x:c r="I316" s="35"/>
    </x:row>
    <x:row r="317">
      <x:c r="A317" s="38" t="str"/>
      <x:c r="B317" s="38" t="str"/>
      <x:c r="C317" s="38" t="str"/>
      <x:c r="D317" s="46"/>
      <x:c r="E317" s="38" t="str"/>
      <x:c r="F317" s="38" t="str"/>
      <x:c r="G317" s="35"/>
      <x:c r="H317" s="35"/>
      <x:c r="I317" s="35"/>
    </x:row>
    <x:row r="318">
      <x:c r="A318" s="38" t="str"/>
      <x:c r="B318" s="38" t="str"/>
      <x:c r="C318" s="38" t="str"/>
      <x:c r="D318" s="46"/>
      <x:c r="E318" s="38" t="str"/>
      <x:c r="F318" s="38" t="str"/>
      <x:c r="G318" s="35"/>
      <x:c r="H318" s="35"/>
      <x:c r="I318" s="35"/>
    </x:row>
    <x:row r="319">
      <x:c r="A319" s="38" t="str"/>
      <x:c r="B319" s="38" t="str"/>
      <x:c r="C319" s="38" t="str"/>
      <x:c r="D319" s="46"/>
      <x:c r="E319" s="38" t="str"/>
      <x:c r="F319" s="38" t="str"/>
      <x:c r="G319" s="35"/>
      <x:c r="H319" s="35"/>
      <x:c r="I319" s="35"/>
    </x:row>
    <x:row r="320">
      <x:c r="A320" s="38" t="str"/>
      <x:c r="B320" s="38" t="str"/>
      <x:c r="C320" s="38" t="str"/>
      <x:c r="D320" s="46"/>
      <x:c r="E320" s="38" t="str"/>
      <x:c r="F320" s="38" t="str"/>
      <x:c r="G320" s="35"/>
      <x:c r="H320" s="35"/>
      <x:c r="I320" s="35"/>
    </x:row>
    <x:row r="321">
      <x:c r="A321" s="38" t="str"/>
      <x:c r="B321" s="38" t="str"/>
      <x:c r="C321" s="38" t="str"/>
      <x:c r="D321" s="46"/>
      <x:c r="E321" s="38" t="str"/>
      <x:c r="F321" s="38" t="str"/>
      <x:c r="G321" s="35"/>
      <x:c r="H321" s="35"/>
      <x:c r="I321" s="35"/>
    </x:row>
    <x:row r="322">
      <x:c r="A322" s="38" t="str"/>
      <x:c r="B322" s="38" t="str"/>
      <x:c r="C322" s="38" t="str"/>
      <x:c r="D322" s="46"/>
      <x:c r="E322" s="38" t="str"/>
      <x:c r="F322" s="38" t="str"/>
      <x:c r="G322" s="35"/>
      <x:c r="H322" s="35"/>
      <x:c r="I322" s="35"/>
    </x:row>
    <x:row r="323">
      <x:c r="A323" s="38" t="str"/>
      <x:c r="B323" s="38" t="str"/>
      <x:c r="C323" s="38" t="str"/>
      <x:c r="D323" s="46"/>
      <x:c r="E323" s="38" t="str"/>
      <x:c r="F323" s="38" t="str"/>
      <x:c r="G323" s="35"/>
      <x:c r="H323" s="35"/>
      <x:c r="I323" s="35"/>
    </x:row>
    <x:row r="324">
      <x:c r="A324" s="38" t="str"/>
      <x:c r="B324" s="38" t="str"/>
      <x:c r="C324" s="38" t="str"/>
      <x:c r="D324" s="46"/>
      <x:c r="E324" s="38" t="str"/>
      <x:c r="F324" s="38" t="str"/>
      <x:c r="G324" s="35"/>
      <x:c r="H324" s="35"/>
      <x:c r="I324" s="35"/>
    </x:row>
    <x:row r="325">
      <x:c r="A325" s="38" t="str"/>
      <x:c r="B325" s="38" t="str"/>
      <x:c r="C325" s="38" t="str"/>
      <x:c r="D325" s="46"/>
      <x:c r="E325" s="38" t="str"/>
      <x:c r="F325" s="38" t="str"/>
      <x:c r="G325" s="35"/>
      <x:c r="H325" s="35"/>
      <x:c r="I325" s="35"/>
    </x:row>
    <x:row r="326">
      <x:c r="A326" s="38" t="str"/>
      <x:c r="B326" s="38" t="str"/>
      <x:c r="C326" s="38" t="str"/>
      <x:c r="D326" s="46"/>
      <x:c r="E326" s="38" t="str"/>
      <x:c r="F326" s="38" t="str"/>
      <x:c r="G326" s="35"/>
      <x:c r="H326" s="35"/>
      <x:c r="I326" s="35"/>
    </x:row>
    <x:row r="327">
      <x:c r="A327" s="38" t="str"/>
      <x:c r="B327" s="38" t="str"/>
      <x:c r="C327" s="38" t="str"/>
      <x:c r="D327" s="46"/>
      <x:c r="E327" s="38" t="str"/>
      <x:c r="F327" s="38" t="str"/>
      <x:c r="G327" s="35"/>
      <x:c r="H327" s="35"/>
      <x:c r="I327" s="35"/>
    </x:row>
    <x:row r="328">
      <x:c r="A328" s="38" t="str"/>
      <x:c r="B328" s="38" t="str"/>
      <x:c r="C328" s="38" t="str"/>
      <x:c r="D328" s="46"/>
      <x:c r="E328" s="38" t="str"/>
      <x:c r="F328" s="38" t="str"/>
      <x:c r="G328" s="35"/>
      <x:c r="H328" s="35"/>
      <x:c r="I328" s="35"/>
    </x:row>
    <x:row r="329">
      <x:c r="A329" s="38" t="str"/>
      <x:c r="B329" s="38" t="str"/>
      <x:c r="C329" s="38" t="str"/>
      <x:c r="D329" s="46"/>
      <x:c r="E329" s="38" t="str"/>
      <x:c r="F329" s="38" t="str"/>
      <x:c r="G329" s="35"/>
      <x:c r="H329" s="35"/>
      <x:c r="I329" s="35"/>
    </x:row>
    <x:row r="330">
      <x:c r="A330" s="38" t="str"/>
      <x:c r="B330" s="38" t="str"/>
      <x:c r="C330" s="38" t="str"/>
      <x:c r="D330" s="46"/>
      <x:c r="E330" s="38" t="str"/>
      <x:c r="F330" s="38" t="str"/>
      <x:c r="G330" s="35"/>
      <x:c r="H330" s="35"/>
      <x:c r="I330" s="35"/>
    </x:row>
    <x:row r="331">
      <x:c r="A331" s="38" t="str"/>
      <x:c r="B331" s="38" t="str"/>
      <x:c r="C331" s="38" t="str"/>
      <x:c r="D331" s="46"/>
      <x:c r="E331" s="38" t="str"/>
      <x:c r="F331" s="38" t="str"/>
      <x:c r="G331" s="35"/>
      <x:c r="H331" s="35"/>
      <x:c r="I331" s="35"/>
    </x:row>
    <x:row r="332">
      <x:c r="A332" s="38" t="str"/>
      <x:c r="B332" s="38" t="str"/>
      <x:c r="C332" s="38" t="str"/>
      <x:c r="D332" s="46"/>
      <x:c r="E332" s="38" t="str"/>
      <x:c r="F332" s="38" t="str"/>
      <x:c r="G332" s="35"/>
      <x:c r="H332" s="35"/>
      <x:c r="I332" s="35"/>
    </x:row>
    <x:row r="333">
      <x:c r="A333" s="38" t="str"/>
      <x:c r="B333" s="38" t="str"/>
      <x:c r="C333" s="38" t="str"/>
      <x:c r="D333" s="46"/>
      <x:c r="E333" s="38" t="str"/>
      <x:c r="F333" s="38" t="str"/>
      <x:c r="G333" s="35"/>
      <x:c r="H333" s="35"/>
      <x:c r="I333" s="35"/>
    </x:row>
    <x:row r="334">
      <x:c r="A334" s="38" t="str"/>
      <x:c r="B334" s="38" t="str"/>
      <x:c r="C334" s="38" t="str"/>
      <x:c r="D334" s="46"/>
      <x:c r="E334" s="38" t="str"/>
      <x:c r="F334" s="38" t="str"/>
      <x:c r="G334" s="35"/>
      <x:c r="H334" s="35"/>
      <x:c r="I334" s="35"/>
    </x:row>
    <x:row r="335">
      <x:c r="A335" s="38" t="str"/>
      <x:c r="B335" s="38" t="str"/>
      <x:c r="C335" s="38" t="str"/>
      <x:c r="D335" s="46"/>
      <x:c r="E335" s="38" t="str"/>
      <x:c r="F335" s="38" t="str"/>
      <x:c r="G335" s="35"/>
      <x:c r="H335" s="35"/>
      <x:c r="I335" s="35"/>
    </x:row>
    <x:row r="336">
      <x:c r="A336" s="38" t="str"/>
      <x:c r="B336" s="38" t="str"/>
      <x:c r="C336" s="38" t="str"/>
      <x:c r="D336" s="46"/>
      <x:c r="E336" s="38" t="str"/>
      <x:c r="F336" s="38" t="str"/>
      <x:c r="G336" s="35"/>
      <x:c r="H336" s="35"/>
      <x:c r="I336" s="35"/>
    </x:row>
    <x:row r="337">
      <x:c r="A337" s="38" t="str"/>
      <x:c r="B337" s="38" t="str"/>
      <x:c r="C337" s="38" t="str"/>
      <x:c r="D337" s="46"/>
      <x:c r="E337" s="38" t="str"/>
      <x:c r="F337" s="38" t="str"/>
      <x:c r="G337" s="35"/>
      <x:c r="H337" s="35"/>
      <x:c r="I337" s="35"/>
    </x:row>
    <x:row r="338">
      <x:c r="A338" s="38" t="str"/>
      <x:c r="B338" s="38" t="str"/>
      <x:c r="C338" s="38" t="str"/>
      <x:c r="D338" s="46"/>
      <x:c r="E338" s="38" t="str"/>
      <x:c r="F338" s="38" t="str"/>
      <x:c r="G338" s="35"/>
      <x:c r="H338" s="35"/>
      <x:c r="I338" s="35"/>
    </x:row>
    <x:row r="339">
      <x:c r="A339" s="38" t="str"/>
      <x:c r="B339" s="38" t="str"/>
      <x:c r="C339" s="38" t="str"/>
      <x:c r="D339" s="46"/>
      <x:c r="E339" s="38" t="str"/>
      <x:c r="F339" s="38" t="str"/>
      <x:c r="G339" s="35"/>
      <x:c r="H339" s="35"/>
      <x:c r="I339" s="35"/>
    </x:row>
    <x:row r="340">
      <x:c r="A340" s="38" t="str"/>
      <x:c r="B340" s="38" t="str"/>
      <x:c r="C340" s="38" t="str"/>
      <x:c r="D340" s="46"/>
      <x:c r="E340" s="38" t="str"/>
      <x:c r="F340" s="38" t="str"/>
      <x:c r="G340" s="35"/>
      <x:c r="H340" s="35"/>
      <x:c r="I340" s="35"/>
    </x:row>
    <x:row r="341">
      <x:c r="A341" s="38" t="str"/>
      <x:c r="B341" s="38" t="str"/>
      <x:c r="C341" s="38" t="str"/>
      <x:c r="D341" s="46"/>
      <x:c r="E341" s="38" t="str"/>
      <x:c r="F341" s="38" t="str"/>
      <x:c r="G341" s="35"/>
      <x:c r="H341" s="35"/>
      <x:c r="I341" s="35"/>
    </x:row>
    <x:row r="342">
      <x:c r="A342" s="38" t="str"/>
      <x:c r="B342" s="38" t="str"/>
      <x:c r="C342" s="38" t="str"/>
      <x:c r="D342" s="46"/>
      <x:c r="E342" s="38" t="str"/>
      <x:c r="F342" s="38" t="str"/>
      <x:c r="G342" s="35"/>
      <x:c r="H342" s="35"/>
      <x:c r="I342" s="35"/>
    </x:row>
    <x:row r="343">
      <x:c r="A343" s="38" t="str"/>
      <x:c r="B343" s="38" t="str"/>
      <x:c r="C343" s="38" t="str"/>
      <x:c r="D343" s="46"/>
      <x:c r="E343" s="38" t="str"/>
      <x:c r="F343" s="38" t="str"/>
      <x:c r="G343" s="35"/>
      <x:c r="H343" s="35"/>
      <x:c r="I343" s="35"/>
    </x:row>
    <x:row r="344">
      <x:c r="A344" s="38" t="str"/>
      <x:c r="B344" s="38" t="str"/>
      <x:c r="C344" s="38" t="str"/>
      <x:c r="D344" s="46"/>
      <x:c r="E344" s="38" t="str"/>
      <x:c r="F344" s="38" t="str"/>
      <x:c r="G344" s="35"/>
      <x:c r="H344" s="35"/>
      <x:c r="I344" s="35"/>
    </x:row>
    <x:row r="345">
      <x:c r="A345" s="38" t="str"/>
      <x:c r="B345" s="38" t="str"/>
      <x:c r="C345" s="38" t="str"/>
      <x:c r="D345" s="46"/>
      <x:c r="E345" s="38" t="str"/>
      <x:c r="F345" s="38" t="str"/>
      <x:c r="G345" s="35"/>
      <x:c r="H345" s="35"/>
      <x:c r="I345" s="35"/>
    </x:row>
    <x:row r="346">
      <x:c r="A346" s="38" t="str"/>
      <x:c r="B346" s="38" t="str"/>
      <x:c r="C346" s="38" t="str"/>
      <x:c r="D346" s="46"/>
      <x:c r="E346" s="38" t="str"/>
      <x:c r="F346" s="38" t="str"/>
      <x:c r="G346" s="35"/>
      <x:c r="H346" s="35"/>
      <x:c r="I346" s="35"/>
    </x:row>
    <x:row r="347">
      <x:c r="A347" s="38" t="str"/>
      <x:c r="B347" s="38" t="str"/>
      <x:c r="C347" s="38" t="str"/>
      <x:c r="D347" s="46"/>
      <x:c r="E347" s="38" t="str"/>
      <x:c r="F347" s="38" t="str"/>
      <x:c r="G347" s="35"/>
      <x:c r="H347" s="35"/>
      <x:c r="I347" s="35"/>
    </x:row>
    <x:row r="348">
      <x:c r="A348" s="38" t="str"/>
      <x:c r="B348" s="38" t="str"/>
      <x:c r="C348" s="38" t="str"/>
      <x:c r="D348" s="46"/>
      <x:c r="E348" s="38" t="str"/>
      <x:c r="F348" s="38" t="str"/>
      <x:c r="G348" s="35"/>
      <x:c r="H348" s="35"/>
      <x:c r="I348" s="35"/>
    </x:row>
    <x:row r="349">
      <x:c r="A349" s="38" t="str"/>
      <x:c r="B349" s="38" t="str"/>
      <x:c r="C349" s="38" t="str"/>
      <x:c r="D349" s="46"/>
      <x:c r="E349" s="38" t="str"/>
      <x:c r="F349" s="38" t="str"/>
      <x:c r="G349" s="35"/>
      <x:c r="H349" s="35"/>
      <x:c r="I349" s="35"/>
    </x:row>
    <x:row r="350">
      <x:c r="A350" s="38" t="str"/>
      <x:c r="B350" s="38" t="str"/>
      <x:c r="C350" s="38" t="str"/>
      <x:c r="D350" s="46"/>
      <x:c r="E350" s="38" t="str"/>
      <x:c r="F350" s="38" t="str"/>
      <x:c r="G350" s="35"/>
      <x:c r="H350" s="35"/>
      <x:c r="I350" s="35"/>
    </x:row>
    <x:row r="351">
      <x:c r="A351" s="38" t="str"/>
      <x:c r="B351" s="38" t="str"/>
      <x:c r="C351" s="38" t="str"/>
      <x:c r="D351" s="46"/>
      <x:c r="E351" s="38" t="str"/>
      <x:c r="F351" s="38" t="str"/>
      <x:c r="G351" s="35"/>
      <x:c r="H351" s="35"/>
      <x:c r="I351" s="35"/>
    </x:row>
    <x:row r="352">
      <x:c r="A352" s="38" t="str"/>
      <x:c r="B352" s="38" t="str"/>
      <x:c r="C352" s="38" t="str"/>
      <x:c r="D352" s="46"/>
      <x:c r="E352" s="38" t="str"/>
      <x:c r="F352" s="38" t="str"/>
      <x:c r="G352" s="35"/>
      <x:c r="H352" s="35"/>
      <x:c r="I352" s="35"/>
    </x:row>
    <x:row r="353">
      <x:c r="A353" s="38" t="str"/>
      <x:c r="B353" s="38" t="str"/>
      <x:c r="C353" s="38" t="str"/>
      <x:c r="D353" s="46"/>
      <x:c r="E353" s="38" t="str"/>
      <x:c r="F353" s="38" t="str"/>
      <x:c r="G353" s="35"/>
      <x:c r="H353" s="35"/>
      <x:c r="I353" s="35"/>
    </x:row>
    <x:row r="354">
      <x:c r="A354" s="38" t="str"/>
      <x:c r="B354" s="38" t="str"/>
      <x:c r="C354" s="38" t="str"/>
      <x:c r="D354" s="46"/>
      <x:c r="E354" s="38" t="str"/>
      <x:c r="F354" s="38" t="str"/>
      <x:c r="G354" s="35"/>
      <x:c r="H354" s="35"/>
      <x:c r="I354" s="35"/>
    </x:row>
    <x:row r="355">
      <x:c r="A355" s="38" t="str"/>
      <x:c r="B355" s="38" t="str"/>
      <x:c r="C355" s="38" t="str"/>
      <x:c r="D355" s="46"/>
      <x:c r="E355" s="38" t="str"/>
      <x:c r="F355" s="38" t="str"/>
      <x:c r="G355" s="35"/>
      <x:c r="H355" s="35"/>
      <x:c r="I355" s="35"/>
    </x:row>
    <x:row r="356">
      <x:c r="A356" s="38" t="str"/>
      <x:c r="B356" s="38" t="str"/>
      <x:c r="C356" s="38" t="str"/>
      <x:c r="D356" s="46"/>
      <x:c r="E356" s="38" t="str"/>
      <x:c r="F356" s="38" t="str"/>
      <x:c r="G356" s="35"/>
      <x:c r="H356" s="35"/>
      <x:c r="I356" s="35"/>
    </x:row>
    <x:row r="357">
      <x:c r="A357" s="38" t="str"/>
      <x:c r="B357" s="38" t="str"/>
      <x:c r="C357" s="38" t="str"/>
      <x:c r="D357" s="46"/>
      <x:c r="E357" s="38" t="str"/>
      <x:c r="F357" s="38" t="str"/>
      <x:c r="G357" s="35"/>
      <x:c r="H357" s="35"/>
      <x:c r="I357" s="35"/>
    </x:row>
    <x:row r="358">
      <x:c r="A358" s="38" t="str"/>
      <x:c r="B358" s="38" t="str"/>
      <x:c r="C358" s="38" t="str"/>
      <x:c r="D358" s="46"/>
      <x:c r="E358" s="38" t="str"/>
      <x:c r="F358" s="38" t="str"/>
      <x:c r="G358" s="35"/>
      <x:c r="H358" s="35"/>
      <x:c r="I358" s="35"/>
    </x:row>
    <x:row r="359">
      <x:c r="A359" s="38" t="str"/>
      <x:c r="B359" s="38" t="str"/>
      <x:c r="C359" s="38" t="str"/>
      <x:c r="D359" s="46"/>
      <x:c r="E359" s="38" t="str"/>
      <x:c r="F359" s="38" t="str"/>
      <x:c r="G359" s="35"/>
      <x:c r="H359" s="35"/>
      <x:c r="I359" s="35"/>
    </x:row>
    <x:row r="360">
      <x:c r="A360" s="38" t="str"/>
      <x:c r="B360" s="38" t="str"/>
      <x:c r="C360" s="38" t="str"/>
      <x:c r="D360" s="46"/>
      <x:c r="E360" s="38" t="str"/>
      <x:c r="F360" s="38" t="str"/>
      <x:c r="G360" s="35"/>
      <x:c r="H360" s="35"/>
      <x:c r="I360" s="35"/>
    </x:row>
    <x:row r="361">
      <x:c r="A361" s="38" t="str"/>
      <x:c r="B361" s="38" t="str"/>
      <x:c r="C361" s="38" t="str"/>
      <x:c r="D361" s="46"/>
      <x:c r="E361" s="38" t="str"/>
      <x:c r="F361" s="38" t="str"/>
      <x:c r="G361" s="35"/>
      <x:c r="H361" s="35"/>
      <x:c r="I361" s="35"/>
    </x:row>
    <x:row r="362">
      <x:c r="A362" s="38" t="str"/>
      <x:c r="B362" s="38" t="str"/>
      <x:c r="C362" s="38" t="str"/>
      <x:c r="D362" s="46"/>
      <x:c r="E362" s="38" t="str"/>
      <x:c r="F362" s="38" t="str"/>
      <x:c r="G362" s="35"/>
      <x:c r="H362" s="35"/>
      <x:c r="I362" s="35"/>
    </x:row>
    <x:row r="363">
      <x:c r="A363" s="38" t="str"/>
      <x:c r="B363" s="38" t="str"/>
      <x:c r="C363" s="38" t="str"/>
      <x:c r="D363" s="46"/>
      <x:c r="E363" s="38" t="str"/>
      <x:c r="F363" s="38" t="str"/>
      <x:c r="G363" s="35"/>
      <x:c r="H363" s="35"/>
      <x:c r="I363" s="35"/>
    </x:row>
    <x:row r="364">
      <x:c r="A364" s="38" t="str"/>
      <x:c r="B364" s="38" t="str"/>
      <x:c r="C364" s="38" t="str"/>
      <x:c r="D364" s="46"/>
      <x:c r="E364" s="38" t="str"/>
      <x:c r="F364" s="38" t="str"/>
      <x:c r="G364" s="35"/>
      <x:c r="H364" s="35"/>
      <x:c r="I364" s="35"/>
    </x:row>
    <x:row r="365">
      <x:c r="A365" s="38" t="str"/>
      <x:c r="B365" s="38" t="str"/>
      <x:c r="C365" s="38" t="str"/>
      <x:c r="D365" s="46"/>
      <x:c r="E365" s="38" t="str"/>
      <x:c r="F365" s="38" t="str"/>
      <x:c r="G365" s="35"/>
      <x:c r="H365" s="35"/>
      <x:c r="I365" s="35"/>
    </x:row>
    <x:row r="366">
      <x:c r="A366" s="38" t="str"/>
      <x:c r="B366" s="38" t="str"/>
      <x:c r="C366" s="38" t="str"/>
      <x:c r="D366" s="46"/>
      <x:c r="E366" s="38" t="str"/>
      <x:c r="F366" s="38" t="str"/>
      <x:c r="G366" s="35"/>
      <x:c r="H366" s="35"/>
      <x:c r="I366" s="35"/>
    </x:row>
    <x:row r="367">
      <x:c r="A367" s="38" t="str"/>
      <x:c r="B367" s="38" t="str"/>
      <x:c r="C367" s="38" t="str"/>
      <x:c r="D367" s="46"/>
      <x:c r="E367" s="38" t="str"/>
      <x:c r="F367" s="38" t="str"/>
      <x:c r="G367" s="35"/>
      <x:c r="H367" s="35"/>
      <x:c r="I367" s="35"/>
    </x:row>
    <x:row r="368">
      <x:c r="A368" s="38" t="str"/>
      <x:c r="B368" s="38" t="str"/>
      <x:c r="C368" s="38" t="str"/>
      <x:c r="D368" s="46"/>
      <x:c r="E368" s="38" t="str"/>
      <x:c r="F368" s="38" t="str"/>
      <x:c r="G368" s="35"/>
      <x:c r="H368" s="35"/>
      <x:c r="I368" s="35"/>
    </x:row>
    <x:row r="369">
      <x:c r="A369" s="38" t="str"/>
      <x:c r="B369" s="38" t="str"/>
      <x:c r="C369" s="38" t="str"/>
      <x:c r="D369" s="46"/>
      <x:c r="E369" s="38" t="str"/>
      <x:c r="F369" s="38" t="str"/>
      <x:c r="G369" s="35"/>
      <x:c r="H369" s="35"/>
      <x:c r="I369" s="35"/>
    </x:row>
    <x:row r="370">
      <x:c r="A370" s="38" t="str"/>
      <x:c r="B370" s="38" t="str"/>
      <x:c r="C370" s="38" t="str"/>
      <x:c r="D370" s="46"/>
      <x:c r="E370" s="38" t="str"/>
      <x:c r="F370" s="38" t="str"/>
      <x:c r="G370" s="35"/>
      <x:c r="H370" s="35"/>
      <x:c r="I370" s="35"/>
    </x:row>
    <x:row r="371">
      <x:c r="A371" s="38" t="str"/>
      <x:c r="B371" s="38" t="str"/>
      <x:c r="C371" s="38" t="str"/>
      <x:c r="D371" s="46"/>
      <x:c r="E371" s="38" t="str"/>
      <x:c r="F371" s="38" t="str"/>
      <x:c r="G371" s="35"/>
      <x:c r="H371" s="35"/>
      <x:c r="I371" s="35"/>
    </x:row>
    <x:row r="372">
      <x:c r="A372" s="38" t="str"/>
      <x:c r="B372" s="38" t="str"/>
      <x:c r="C372" s="38" t="str"/>
      <x:c r="D372" s="46"/>
      <x:c r="E372" s="38" t="str"/>
      <x:c r="F372" s="38" t="str"/>
      <x:c r="G372" s="35"/>
      <x:c r="H372" s="35"/>
      <x:c r="I372" s="35"/>
    </x:row>
    <x:row r="373">
      <x:c r="A373" s="38" t="str"/>
      <x:c r="B373" s="38" t="str"/>
      <x:c r="C373" s="38" t="str"/>
      <x:c r="D373" s="46"/>
      <x:c r="E373" s="38" t="str"/>
      <x:c r="F373" s="38" t="str"/>
      <x:c r="G373" s="35"/>
      <x:c r="H373" s="35"/>
      <x:c r="I373" s="35"/>
    </x:row>
    <x:row r="374">
      <x:c r="A374" s="38" t="str"/>
      <x:c r="B374" s="38" t="str"/>
      <x:c r="C374" s="38" t="str"/>
      <x:c r="D374" s="46"/>
      <x:c r="E374" s="38" t="str"/>
      <x:c r="F374" s="38" t="str"/>
      <x:c r="G374" s="35"/>
      <x:c r="H374" s="35"/>
      <x:c r="I374" s="35"/>
    </x:row>
    <x:row r="375">
      <x:c r="A375" s="38" t="str"/>
      <x:c r="B375" s="38" t="str"/>
      <x:c r="C375" s="38" t="str"/>
      <x:c r="D375" s="46"/>
      <x:c r="E375" s="38" t="str"/>
      <x:c r="F375" s="38" t="str"/>
      <x:c r="G375" s="35"/>
      <x:c r="H375" s="35"/>
      <x:c r="I375" s="35"/>
    </x:row>
    <x:row r="376">
      <x:c r="A376" s="38" t="str"/>
      <x:c r="B376" s="38" t="str"/>
      <x:c r="C376" s="38" t="str"/>
      <x:c r="D376" s="46"/>
      <x:c r="E376" s="38" t="str"/>
      <x:c r="F376" s="38" t="str"/>
      <x:c r="G376" s="35"/>
      <x:c r="H376" s="35"/>
      <x:c r="I376" s="35"/>
    </x:row>
    <x:row r="377">
      <x:c r="A377" s="38" t="str"/>
      <x:c r="B377" s="38" t="str"/>
      <x:c r="C377" s="38" t="str"/>
      <x:c r="D377" s="46"/>
      <x:c r="E377" s="38" t="str"/>
      <x:c r="F377" s="38" t="str"/>
      <x:c r="G377" s="35"/>
      <x:c r="H377" s="35"/>
      <x:c r="I377" s="35"/>
    </x:row>
    <x:row r="378">
      <x:c r="A378" s="38" t="str"/>
      <x:c r="B378" s="38" t="str"/>
      <x:c r="C378" s="38" t="str"/>
      <x:c r="D378" s="46"/>
      <x:c r="E378" s="38" t="str"/>
      <x:c r="F378" s="38" t="str"/>
      <x:c r="G378" s="35"/>
      <x:c r="H378" s="35"/>
      <x:c r="I378" s="35"/>
    </x:row>
    <x:row r="379">
      <x:c r="A379" s="38" t="str"/>
      <x:c r="B379" s="38" t="str"/>
      <x:c r="C379" s="38" t="str"/>
      <x:c r="D379" s="46"/>
      <x:c r="E379" s="38" t="str"/>
      <x:c r="F379" s="38" t="str"/>
      <x:c r="G379" s="35"/>
      <x:c r="H379" s="35"/>
      <x:c r="I379" s="35"/>
    </x:row>
    <x:row r="380">
      <x:c r="A380" s="38" t="str"/>
      <x:c r="B380" s="38" t="str"/>
      <x:c r="C380" s="38" t="str"/>
      <x:c r="D380" s="46"/>
      <x:c r="E380" s="38" t="str"/>
      <x:c r="F380" s="38" t="str"/>
      <x:c r="G380" s="35"/>
      <x:c r="H380" s="35"/>
      <x:c r="I380" s="35"/>
    </x:row>
    <x:row r="381">
      <x:c r="A381" s="38" t="str"/>
      <x:c r="B381" s="38" t="str"/>
      <x:c r="C381" s="38" t="str"/>
      <x:c r="D381" s="46"/>
      <x:c r="E381" s="38" t="str"/>
      <x:c r="F381" s="38" t="str"/>
      <x:c r="G381" s="35"/>
      <x:c r="H381" s="35"/>
      <x:c r="I381" s="35"/>
    </x:row>
    <x:row r="382">
      <x:c r="A382" s="38" t="str"/>
      <x:c r="B382" s="38" t="str"/>
      <x:c r="C382" s="38" t="str"/>
      <x:c r="D382" s="46"/>
      <x:c r="E382" s="38" t="str"/>
      <x:c r="F382" s="38" t="str"/>
      <x:c r="G382" s="35"/>
      <x:c r="H382" s="35"/>
      <x:c r="I382" s="35"/>
    </x:row>
    <x:row r="383">
      <x:c r="A383" s="38" t="str"/>
      <x:c r="B383" s="38" t="str"/>
      <x:c r="C383" s="38" t="str"/>
      <x:c r="D383" s="46"/>
      <x:c r="E383" s="38" t="str"/>
      <x:c r="F383" s="38" t="str"/>
      <x:c r="G383" s="35"/>
      <x:c r="H383" s="35"/>
      <x:c r="I383" s="35"/>
    </x:row>
    <x:row r="384">
      <x:c r="A384" s="38" t="str"/>
      <x:c r="B384" s="38" t="str"/>
      <x:c r="C384" s="38" t="str"/>
      <x:c r="D384" s="46"/>
      <x:c r="E384" s="38" t="str"/>
      <x:c r="F384" s="38" t="str"/>
      <x:c r="G384" s="35"/>
      <x:c r="H384" s="35"/>
      <x:c r="I384" s="35"/>
    </x:row>
    <x:row r="385">
      <x:c r="A385" s="38" t="str"/>
      <x:c r="B385" s="38" t="str"/>
      <x:c r="C385" s="38" t="str"/>
      <x:c r="D385" s="46"/>
      <x:c r="E385" s="38" t="str"/>
      <x:c r="F385" s="38" t="str"/>
      <x:c r="G385" s="35"/>
      <x:c r="H385" s="35"/>
      <x:c r="I385" s="35"/>
    </x:row>
    <x:row r="386">
      <x:c r="A386" s="38" t="str"/>
      <x:c r="B386" s="38" t="str"/>
      <x:c r="C386" s="38" t="str"/>
      <x:c r="D386" s="46"/>
      <x:c r="E386" s="38" t="str"/>
      <x:c r="F386" s="38" t="str"/>
      <x:c r="G386" s="35"/>
      <x:c r="H386" s="35"/>
      <x:c r="I386" s="35"/>
    </x:row>
    <x:row r="387">
      <x:c r="A387" s="38" t="str"/>
      <x:c r="B387" s="38" t="str"/>
      <x:c r="C387" s="38" t="str"/>
      <x:c r="D387" s="46"/>
      <x:c r="E387" s="38" t="str"/>
      <x:c r="F387" s="38" t="str"/>
      <x:c r="G387" s="35"/>
      <x:c r="H387" s="35"/>
      <x:c r="I387" s="35"/>
    </x:row>
    <x:row r="388">
      <x:c r="A388" s="38" t="str"/>
      <x:c r="B388" s="38" t="str"/>
      <x:c r="C388" s="38" t="str"/>
      <x:c r="D388" s="46"/>
      <x:c r="E388" s="38" t="str"/>
      <x:c r="F388" s="38" t="str"/>
      <x:c r="G388" s="35"/>
      <x:c r="H388" s="35"/>
      <x:c r="I388" s="35"/>
    </x:row>
    <x:row r="389">
      <x:c r="A389" s="38" t="str"/>
      <x:c r="B389" s="38" t="str"/>
      <x:c r="C389" s="38" t="str"/>
      <x:c r="D389" s="46"/>
      <x:c r="E389" s="38" t="str"/>
      <x:c r="F389" s="38" t="str"/>
      <x:c r="G389" s="35"/>
      <x:c r="H389" s="35"/>
      <x:c r="I389" s="35"/>
    </x:row>
    <x:row r="390">
      <x:c r="A390" s="38" t="str"/>
      <x:c r="B390" s="38" t="str"/>
      <x:c r="C390" s="38" t="str"/>
      <x:c r="D390" s="46"/>
      <x:c r="E390" s="38" t="str"/>
      <x:c r="F390" s="38" t="str"/>
      <x:c r="G390" s="35"/>
      <x:c r="H390" s="35"/>
      <x:c r="I390" s="35"/>
    </x:row>
    <x:row r="391">
      <x:c r="A391" s="38" t="str"/>
      <x:c r="B391" s="38" t="str"/>
      <x:c r="C391" s="38" t="str"/>
      <x:c r="D391" s="46"/>
      <x:c r="E391" s="38" t="str"/>
      <x:c r="F391" s="38" t="str"/>
      <x:c r="G391" s="35"/>
      <x:c r="H391" s="35"/>
      <x:c r="I391" s="35"/>
    </x:row>
    <x:row r="392">
      <x:c r="A392" s="38" t="str"/>
      <x:c r="B392" s="38" t="str"/>
      <x:c r="C392" s="38" t="str"/>
      <x:c r="D392" s="46"/>
      <x:c r="E392" s="38" t="str"/>
      <x:c r="F392" s="38" t="str"/>
      <x:c r="G392" s="35"/>
      <x:c r="H392" s="35"/>
      <x:c r="I392" s="35"/>
    </x:row>
    <x:row r="393">
      <x:c r="A393" s="38" t="str"/>
      <x:c r="B393" s="38" t="str"/>
      <x:c r="C393" s="38" t="str"/>
      <x:c r="D393" s="46"/>
      <x:c r="E393" s="38" t="str"/>
      <x:c r="F393" s="38" t="str"/>
      <x:c r="G393" s="35"/>
      <x:c r="H393" s="35"/>
      <x:c r="I393" s="35"/>
    </x:row>
    <x:row r="394">
      <x:c r="A394" s="38" t="str"/>
      <x:c r="B394" s="38" t="str"/>
      <x:c r="C394" s="38" t="str"/>
      <x:c r="D394" s="46"/>
      <x:c r="E394" s="38" t="str"/>
      <x:c r="F394" s="38" t="str"/>
      <x:c r="G394" s="35"/>
      <x:c r="H394" s="35"/>
      <x:c r="I394" s="35"/>
    </x:row>
    <x:row r="395">
      <x:c r="A395" s="38" t="str"/>
      <x:c r="B395" s="38" t="str"/>
      <x:c r="C395" s="38" t="str"/>
      <x:c r="D395" s="46"/>
      <x:c r="E395" s="38" t="str"/>
      <x:c r="F395" s="38" t="str"/>
      <x:c r="G395" s="35"/>
      <x:c r="H395" s="35"/>
      <x:c r="I395" s="35"/>
    </x:row>
    <x:row r="396">
      <x:c r="A396" s="38" t="str"/>
      <x:c r="B396" s="38" t="str"/>
      <x:c r="C396" s="38" t="str"/>
      <x:c r="D396" s="46"/>
      <x:c r="E396" s="38" t="str"/>
      <x:c r="F396" s="38" t="str"/>
      <x:c r="G396" s="35"/>
      <x:c r="H396" s="35"/>
      <x:c r="I396" s="35"/>
    </x:row>
    <x:row r="397">
      <x:c r="A397" s="38" t="str"/>
      <x:c r="B397" s="38" t="str"/>
      <x:c r="C397" s="38" t="str"/>
      <x:c r="D397" s="46"/>
      <x:c r="E397" s="38" t="str"/>
      <x:c r="F397" s="38" t="str"/>
      <x:c r="G397" s="35"/>
      <x:c r="H397" s="35"/>
      <x:c r="I397" s="35"/>
    </x:row>
    <x:row r="398">
      <x:c r="A398" s="38" t="str"/>
      <x:c r="B398" s="38" t="str"/>
      <x:c r="C398" s="38" t="str"/>
      <x:c r="D398" s="46"/>
      <x:c r="E398" s="38" t="str"/>
      <x:c r="F398" s="38" t="str"/>
      <x:c r="G398" s="35"/>
      <x:c r="H398" s="35"/>
      <x:c r="I398" s="35"/>
    </x:row>
    <x:row r="399">
      <x:c r="A399" s="38" t="str"/>
      <x:c r="B399" s="38" t="str"/>
      <x:c r="C399" s="38" t="str"/>
      <x:c r="D399" s="46"/>
      <x:c r="E399" s="38" t="str"/>
      <x:c r="F399" s="38" t="str"/>
      <x:c r="G399" s="35"/>
      <x:c r="H399" s="35"/>
      <x:c r="I399" s="35"/>
    </x:row>
    <x:row r="400">
      <x:c r="A400" s="38" t="str"/>
      <x:c r="B400" s="38" t="str"/>
      <x:c r="C400" s="38" t="str"/>
      <x:c r="D400" s="46"/>
      <x:c r="E400" s="38" t="str"/>
      <x:c r="F400" s="38" t="str"/>
      <x:c r="G400" s="35"/>
      <x:c r="H400" s="35"/>
      <x:c r="I400" s="35"/>
    </x:row>
    <x:row r="401">
      <x:c r="A401" s="38" t="str"/>
      <x:c r="B401" s="38" t="str"/>
      <x:c r="C401" s="38" t="str"/>
      <x:c r="D401" s="46"/>
      <x:c r="E401" s="38" t="str"/>
      <x:c r="F401" s="38" t="str"/>
      <x:c r="G401" s="35"/>
      <x:c r="H401" s="35"/>
      <x:c r="I401" s="35"/>
    </x:row>
    <x:row r="402">
      <x:c r="A402" s="38" t="str"/>
      <x:c r="B402" s="38" t="str"/>
      <x:c r="C402" s="38" t="str"/>
      <x:c r="D402" s="46"/>
      <x:c r="E402" s="38" t="str"/>
      <x:c r="F402" s="38" t="str"/>
      <x:c r="G402" s="35"/>
      <x:c r="H402" s="35"/>
      <x:c r="I402" s="35"/>
    </x:row>
    <x:row r="403">
      <x:c r="A403" s="38" t="str"/>
      <x:c r="B403" s="38" t="str"/>
      <x:c r="C403" s="38" t="str"/>
      <x:c r="D403" s="46"/>
      <x:c r="E403" s="38" t="str"/>
      <x:c r="F403" s="38" t="str"/>
      <x:c r="G403" s="35"/>
      <x:c r="H403" s="35"/>
      <x:c r="I403" s="35"/>
    </x:row>
    <x:row r="404">
      <x:c r="A404" s="38" t="str"/>
      <x:c r="B404" s="38" t="str"/>
      <x:c r="C404" s="38" t="str"/>
      <x:c r="D404" s="46"/>
      <x:c r="E404" s="38" t="str"/>
      <x:c r="F404" s="38" t="str"/>
      <x:c r="G404" s="35"/>
      <x:c r="H404" s="35"/>
      <x:c r="I404" s="35"/>
    </x:row>
    <x:row r="405">
      <x:c r="A405" s="38" t="str"/>
      <x:c r="B405" s="38" t="str"/>
      <x:c r="C405" s="38" t="str"/>
      <x:c r="D405" s="46"/>
      <x:c r="E405" s="38" t="str"/>
      <x:c r="F405" s="38" t="str"/>
      <x:c r="G405" s="35"/>
      <x:c r="H405" s="35"/>
      <x:c r="I405" s="35"/>
    </x:row>
    <x:row r="406">
      <x:c r="A406" s="38" t="str"/>
      <x:c r="B406" s="38" t="str"/>
      <x:c r="C406" s="38" t="str"/>
      <x:c r="D406" s="46"/>
      <x:c r="E406" s="38" t="str"/>
      <x:c r="F406" s="38" t="str"/>
      <x:c r="G406" s="35"/>
      <x:c r="H406" s="35"/>
      <x:c r="I406" s="35"/>
    </x:row>
    <x:row r="407">
      <x:c r="A407" s="38" t="str"/>
      <x:c r="B407" s="38" t="str"/>
      <x:c r="C407" s="38" t="str"/>
      <x:c r="D407" s="46"/>
      <x:c r="E407" s="38" t="str"/>
      <x:c r="F407" s="38" t="str"/>
      <x:c r="G407" s="35"/>
      <x:c r="H407" s="35"/>
      <x:c r="I407" s="35"/>
    </x:row>
    <x:row r="408">
      <x:c r="A408" s="38" t="str"/>
      <x:c r="B408" s="38" t="str"/>
      <x:c r="C408" s="38" t="str"/>
      <x:c r="D408" s="46"/>
      <x:c r="E408" s="38" t="str"/>
      <x:c r="F408" s="38" t="str"/>
      <x:c r="G408" s="35"/>
      <x:c r="H408" s="35"/>
      <x:c r="I408" s="35"/>
    </x:row>
    <x:row r="409">
      <x:c r="A409" s="38" t="str"/>
      <x:c r="B409" s="38" t="str"/>
      <x:c r="C409" s="38" t="str"/>
      <x:c r="D409" s="46"/>
      <x:c r="E409" s="38" t="str"/>
      <x:c r="F409" s="38" t="str"/>
      <x:c r="G409" s="35"/>
      <x:c r="H409" s="35"/>
      <x:c r="I409" s="35"/>
    </x:row>
    <x:row r="410">
      <x:c r="A410" s="38" t="str"/>
      <x:c r="B410" s="38" t="str"/>
      <x:c r="C410" s="38" t="str"/>
      <x:c r="D410" s="46"/>
      <x:c r="E410" s="38" t="str"/>
      <x:c r="F410" s="38" t="str"/>
      <x:c r="G410" s="35"/>
      <x:c r="H410" s="35"/>
      <x:c r="I410" s="35"/>
    </x:row>
    <x:row r="411">
      <x:c r="A411" s="38" t="str"/>
      <x:c r="B411" s="38" t="str"/>
      <x:c r="C411" s="38" t="str"/>
      <x:c r="D411" s="46"/>
      <x:c r="E411" s="38" t="str"/>
      <x:c r="F411" s="38" t="str"/>
      <x:c r="G411" s="35"/>
      <x:c r="H411" s="35"/>
      <x:c r="I411" s="35"/>
    </x:row>
    <x:row r="412">
      <x:c r="A412" s="38" t="str"/>
      <x:c r="B412" s="38" t="str"/>
      <x:c r="C412" s="38" t="str"/>
      <x:c r="D412" s="46"/>
      <x:c r="E412" s="38" t="str"/>
      <x:c r="F412" s="38" t="str"/>
      <x:c r="G412" s="35"/>
      <x:c r="H412" s="35"/>
      <x:c r="I412" s="35"/>
    </x:row>
    <x:row r="413">
      <x:c r="A413" s="38" t="str"/>
      <x:c r="B413" s="38" t="str"/>
      <x:c r="C413" s="38" t="str"/>
      <x:c r="D413" s="46"/>
      <x:c r="E413" s="38" t="str"/>
      <x:c r="F413" s="38" t="str"/>
      <x:c r="G413" s="35"/>
      <x:c r="H413" s="35"/>
      <x:c r="I413" s="35"/>
    </x:row>
    <x:row r="414">
      <x:c r="A414" s="38" t="str"/>
      <x:c r="B414" s="38" t="str"/>
      <x:c r="C414" s="38" t="str"/>
      <x:c r="D414" s="46"/>
      <x:c r="E414" s="38" t="str"/>
      <x:c r="F414" s="38" t="str"/>
      <x:c r="G414" s="35"/>
      <x:c r="H414" s="35"/>
      <x:c r="I414" s="35"/>
    </x:row>
    <x:row r="415">
      <x:c r="A415" s="38" t="str"/>
      <x:c r="B415" s="38" t="str"/>
      <x:c r="C415" s="38" t="str"/>
      <x:c r="D415" s="46"/>
      <x:c r="E415" s="38" t="str"/>
      <x:c r="F415" s="38" t="str"/>
      <x:c r="G415" s="35"/>
      <x:c r="H415" s="35"/>
      <x:c r="I415" s="35"/>
    </x:row>
    <x:row r="416">
      <x:c r="A416" s="38" t="str"/>
      <x:c r="B416" s="38" t="str"/>
      <x:c r="C416" s="38" t="str"/>
      <x:c r="D416" s="46"/>
      <x:c r="E416" s="38" t="str"/>
      <x:c r="F416" s="38" t="str"/>
      <x:c r="G416" s="35"/>
      <x:c r="H416" s="35"/>
      <x:c r="I416" s="35"/>
    </x:row>
    <x:row r="417">
      <x:c r="A417" s="38" t="str"/>
      <x:c r="B417" s="38" t="str"/>
      <x:c r="C417" s="38" t="str"/>
      <x:c r="D417" s="46"/>
      <x:c r="E417" s="38" t="str"/>
      <x:c r="F417" s="38" t="str"/>
      <x:c r="G417" s="35"/>
      <x:c r="H417" s="35"/>
      <x:c r="I417" s="35"/>
    </x:row>
    <x:row r="418">
      <x:c r="A418" s="38" t="str"/>
      <x:c r="B418" s="38" t="str"/>
      <x:c r="C418" s="38" t="str"/>
      <x:c r="D418" s="46"/>
      <x:c r="E418" s="38" t="str"/>
      <x:c r="F418" s="38" t="str"/>
      <x:c r="G418" s="35"/>
      <x:c r="H418" s="35"/>
      <x:c r="I418" s="35"/>
    </x:row>
    <x:row r="419">
      <x:c r="A419" s="38" t="str"/>
      <x:c r="B419" s="38" t="str"/>
      <x:c r="C419" s="38" t="str"/>
      <x:c r="D419" s="46"/>
      <x:c r="E419" s="38" t="str"/>
      <x:c r="F419" s="38" t="str"/>
      <x:c r="G419" s="35"/>
      <x:c r="H419" s="35"/>
      <x:c r="I419" s="35"/>
    </x:row>
    <x:row r="420">
      <x:c r="A420" s="38" t="str"/>
      <x:c r="B420" s="38" t="str"/>
      <x:c r="C420" s="38" t="str"/>
      <x:c r="D420" s="46"/>
      <x:c r="E420" s="38" t="str"/>
      <x:c r="F420" s="38" t="str"/>
      <x:c r="G420" s="35"/>
      <x:c r="H420" s="35"/>
      <x:c r="I420" s="35"/>
    </x:row>
    <x:row r="421">
      <x:c r="A421" s="38" t="str"/>
      <x:c r="B421" s="38" t="str"/>
      <x:c r="C421" s="38" t="str"/>
      <x:c r="D421" s="46"/>
      <x:c r="E421" s="38" t="str"/>
      <x:c r="F421" s="38" t="str"/>
      <x:c r="G421" s="35"/>
      <x:c r="H421" s="35"/>
      <x:c r="I421" s="35"/>
    </x:row>
    <x:row r="422">
      <x:c r="A422" s="38" t="str"/>
      <x:c r="B422" s="38" t="str"/>
      <x:c r="C422" s="38" t="str"/>
      <x:c r="D422" s="46"/>
      <x:c r="E422" s="38" t="str"/>
      <x:c r="F422" s="38" t="str"/>
      <x:c r="G422" s="35"/>
      <x:c r="H422" s="35"/>
      <x:c r="I422" s="35"/>
    </x:row>
    <x:row r="423">
      <x:c r="A423" s="38" t="str"/>
      <x:c r="B423" s="38" t="str"/>
      <x:c r="C423" s="38" t="str"/>
      <x:c r="D423" s="46"/>
      <x:c r="E423" s="38" t="str"/>
      <x:c r="F423" s="38" t="str"/>
      <x:c r="G423" s="35"/>
      <x:c r="H423" s="35"/>
      <x:c r="I423" s="35"/>
    </x:row>
    <x:row r="424">
      <x:c r="A424" s="38" t="str"/>
      <x:c r="B424" s="38" t="str"/>
      <x:c r="C424" s="38" t="str"/>
      <x:c r="D424" s="46"/>
      <x:c r="E424" s="38" t="str"/>
      <x:c r="F424" s="38" t="str"/>
      <x:c r="G424" s="35"/>
      <x:c r="H424" s="35"/>
      <x:c r="I424" s="35"/>
    </x:row>
    <x:row r="425">
      <x:c r="A425" s="38" t="str"/>
      <x:c r="B425" s="38" t="str"/>
      <x:c r="C425" s="38" t="str"/>
      <x:c r="D425" s="46"/>
      <x:c r="E425" s="38" t="str"/>
      <x:c r="F425" s="38" t="str"/>
      <x:c r="G425" s="35"/>
      <x:c r="H425" s="35"/>
      <x:c r="I425" s="35"/>
    </x:row>
    <x:row r="426">
      <x:c r="A426" s="38" t="str"/>
      <x:c r="B426" s="38" t="str"/>
      <x:c r="C426" s="38" t="str"/>
      <x:c r="D426" s="46"/>
      <x:c r="E426" s="38" t="str"/>
      <x:c r="F426" s="38" t="str"/>
      <x:c r="G426" s="35"/>
      <x:c r="H426" s="35"/>
      <x:c r="I426" s="35"/>
    </x:row>
    <x:row r="427">
      <x:c r="A427" s="38" t="str"/>
      <x:c r="B427" s="38" t="str"/>
      <x:c r="C427" s="38" t="str"/>
      <x:c r="D427" s="46"/>
      <x:c r="E427" s="38" t="str"/>
      <x:c r="F427" s="38" t="str"/>
      <x:c r="G427" s="35"/>
      <x:c r="H427" s="35"/>
      <x:c r="I427" s="35"/>
    </x:row>
    <x:row r="428">
      <x:c r="A428" s="38" t="str"/>
      <x:c r="B428" s="38" t="str"/>
      <x:c r="C428" s="38" t="str"/>
      <x:c r="D428" s="46"/>
      <x:c r="E428" s="38" t="str"/>
      <x:c r="F428" s="38" t="str"/>
      <x:c r="G428" s="35"/>
      <x:c r="H428" s="35"/>
      <x:c r="I428" s="35"/>
    </x:row>
    <x:row r="429">
      <x:c r="A429" s="38" t="str"/>
      <x:c r="B429" s="38" t="str"/>
      <x:c r="C429" s="38" t="str"/>
      <x:c r="D429" s="46"/>
      <x:c r="E429" s="38" t="str"/>
      <x:c r="F429" s="38" t="str"/>
      <x:c r="G429" s="35"/>
      <x:c r="H429" s="35"/>
      <x:c r="I429" s="35"/>
    </x:row>
    <x:row r="430">
      <x:c r="A430" s="38" t="str"/>
      <x:c r="B430" s="38" t="str"/>
      <x:c r="C430" s="38" t="str"/>
      <x:c r="D430" s="46"/>
      <x:c r="E430" s="38" t="str"/>
      <x:c r="F430" s="38" t="str"/>
      <x:c r="G430" s="35"/>
      <x:c r="H430" s="35"/>
      <x:c r="I430" s="35"/>
    </x:row>
    <x:row r="431">
      <x:c r="A431" s="38" t="str"/>
      <x:c r="B431" s="38" t="str"/>
      <x:c r="C431" s="38" t="str"/>
      <x:c r="D431" s="46"/>
      <x:c r="E431" s="38" t="str"/>
      <x:c r="F431" s="38" t="str"/>
      <x:c r="G431" s="35"/>
      <x:c r="H431" s="35"/>
      <x:c r="I431" s="35"/>
    </x:row>
    <x:row r="432">
      <x:c r="A432" s="38" t="str"/>
      <x:c r="B432" s="38" t="str"/>
      <x:c r="C432" s="38" t="str"/>
      <x:c r="D432" s="46"/>
      <x:c r="E432" s="38" t="str"/>
      <x:c r="F432" s="38" t="str"/>
      <x:c r="G432" s="35"/>
      <x:c r="H432" s="35"/>
      <x:c r="I432" s="35"/>
    </x:row>
    <x:row r="433">
      <x:c r="A433" s="38" t="str"/>
      <x:c r="B433" s="38" t="str"/>
      <x:c r="C433" s="38" t="str"/>
      <x:c r="D433" s="46"/>
      <x:c r="E433" s="38" t="str"/>
      <x:c r="F433" s="38" t="str"/>
      <x:c r="G433" s="35"/>
      <x:c r="H433" s="35"/>
      <x:c r="I433" s="35"/>
    </x:row>
    <x:row r="434">
      <x:c r="A434" s="38" t="str"/>
      <x:c r="B434" s="38" t="str"/>
      <x:c r="C434" s="38" t="str"/>
      <x:c r="D434" s="46"/>
      <x:c r="E434" s="38" t="str"/>
      <x:c r="F434" s="38" t="str"/>
      <x:c r="G434" s="35"/>
      <x:c r="H434" s="35"/>
      <x:c r="I434" s="35"/>
    </x:row>
    <x:row r="435">
      <x:c r="A435" s="38" t="str"/>
      <x:c r="B435" s="38" t="str"/>
      <x:c r="C435" s="38" t="str"/>
      <x:c r="D435" s="46"/>
      <x:c r="E435" s="38" t="str"/>
      <x:c r="F435" s="38" t="str"/>
      <x:c r="G435" s="35"/>
      <x:c r="H435" s="35"/>
      <x:c r="I435" s="35"/>
    </x:row>
    <x:row r="436">
      <x:c r="A436" s="38" t="str"/>
      <x:c r="B436" s="38" t="str"/>
      <x:c r="C436" s="38" t="str"/>
      <x:c r="D436" s="46"/>
      <x:c r="E436" s="38" t="str"/>
      <x:c r="F436" s="38" t="str"/>
      <x:c r="G436" s="35"/>
      <x:c r="H436" s="35"/>
      <x:c r="I436" s="35"/>
    </x:row>
    <x:row r="437">
      <x:c r="A437" s="38" t="str"/>
      <x:c r="B437" s="38" t="str"/>
      <x:c r="C437" s="38" t="str"/>
      <x:c r="D437" s="46"/>
      <x:c r="E437" s="38" t="str"/>
      <x:c r="F437" s="38" t="str"/>
      <x:c r="G437" s="35"/>
      <x:c r="H437" s="35"/>
      <x:c r="I437" s="35"/>
    </x:row>
    <x:row r="438">
      <x:c r="A438" s="38" t="str"/>
      <x:c r="B438" s="38" t="str"/>
      <x:c r="C438" s="38" t="str"/>
      <x:c r="D438" s="46"/>
      <x:c r="E438" s="38" t="str"/>
      <x:c r="F438" s="38" t="str"/>
      <x:c r="G438" s="35"/>
      <x:c r="H438" s="35"/>
      <x:c r="I438" s="35"/>
    </x:row>
    <x:row r="439">
      <x:c r="A439" s="38" t="str"/>
      <x:c r="B439" s="38" t="str"/>
      <x:c r="C439" s="38" t="str"/>
      <x:c r="D439" s="46"/>
      <x:c r="E439" s="38" t="str"/>
      <x:c r="F439" s="38" t="str"/>
      <x:c r="G439" s="35"/>
      <x:c r="H439" s="35"/>
      <x:c r="I439" s="35"/>
    </x:row>
    <x:row r="440">
      <x:c r="A440" s="38" t="str"/>
      <x:c r="B440" s="38" t="str"/>
      <x:c r="C440" s="38" t="str"/>
      <x:c r="D440" s="46"/>
      <x:c r="E440" s="38" t="str"/>
      <x:c r="F440" s="38" t="str"/>
      <x:c r="G440" s="35"/>
      <x:c r="H440" s="35"/>
      <x:c r="I440" s="35"/>
    </x:row>
    <x:row r="441">
      <x:c r="A441" s="38" t="str"/>
      <x:c r="B441" s="38" t="str"/>
      <x:c r="C441" s="38" t="str"/>
      <x:c r="D441" s="46"/>
      <x:c r="E441" s="38" t="str"/>
      <x:c r="F441" s="38" t="str"/>
      <x:c r="G441" s="35"/>
      <x:c r="H441" s="35"/>
      <x:c r="I441" s="35"/>
    </x:row>
    <x:row r="442">
      <x:c r="A442" s="38" t="str"/>
      <x:c r="B442" s="38" t="str"/>
      <x:c r="C442" s="38" t="str"/>
      <x:c r="D442" s="46"/>
      <x:c r="E442" s="38" t="str"/>
      <x:c r="F442" s="38" t="str"/>
      <x:c r="G442" s="35"/>
      <x:c r="H442" s="35"/>
      <x:c r="I442" s="35"/>
    </x:row>
    <x:row r="443">
      <x:c r="A443" s="38" t="str"/>
      <x:c r="B443" s="38" t="str"/>
      <x:c r="C443" s="38" t="str"/>
      <x:c r="D443" s="46"/>
      <x:c r="E443" s="38" t="str"/>
      <x:c r="F443" s="38" t="str"/>
      <x:c r="G443" s="35"/>
      <x:c r="H443" s="35"/>
      <x:c r="I443" s="35"/>
    </x:row>
    <x:row r="444">
      <x:c r="A444" s="38" t="str"/>
      <x:c r="B444" s="38" t="str"/>
      <x:c r="C444" s="38" t="str"/>
      <x:c r="D444" s="46"/>
      <x:c r="E444" s="38" t="str"/>
      <x:c r="F444" s="38" t="str"/>
      <x:c r="G444" s="35"/>
      <x:c r="H444" s="35"/>
      <x:c r="I444" s="35"/>
    </x:row>
    <x:row r="445">
      <x:c r="A445" s="38" t="str"/>
      <x:c r="B445" s="38" t="str"/>
      <x:c r="C445" s="38" t="str"/>
      <x:c r="D445" s="46"/>
      <x:c r="E445" s="38" t="str"/>
      <x:c r="F445" s="38" t="str"/>
      <x:c r="G445" s="35"/>
      <x:c r="H445" s="35"/>
      <x:c r="I445" s="35"/>
    </x:row>
    <x:row r="446">
      <x:c r="A446" s="38" t="str"/>
      <x:c r="B446" s="38" t="str"/>
      <x:c r="C446" s="38" t="str"/>
      <x:c r="D446" s="46"/>
      <x:c r="E446" s="38" t="str"/>
      <x:c r="F446" s="38" t="str"/>
      <x:c r="G446" s="35"/>
      <x:c r="H446" s="35"/>
      <x:c r="I446" s="35"/>
    </x:row>
    <x:row r="447">
      <x:c r="A447" s="38" t="str"/>
      <x:c r="B447" s="38" t="str"/>
      <x:c r="C447" s="38" t="str"/>
      <x:c r="D447" s="46"/>
      <x:c r="E447" s="38" t="str"/>
      <x:c r="F447" s="38" t="str"/>
      <x:c r="G447" s="35"/>
      <x:c r="H447" s="35"/>
      <x:c r="I447" s="35"/>
    </x:row>
    <x:row r="448">
      <x:c r="A448" s="38" t="str"/>
      <x:c r="B448" s="38" t="str"/>
      <x:c r="C448" s="38" t="str"/>
      <x:c r="D448" s="46"/>
      <x:c r="E448" s="38" t="str"/>
      <x:c r="F448" s="38" t="str"/>
      <x:c r="G448" s="35"/>
      <x:c r="H448" s="35"/>
      <x:c r="I448" s="35"/>
    </x:row>
    <x:row r="449">
      <x:c r="A449" s="38" t="str"/>
      <x:c r="B449" s="38" t="str"/>
      <x:c r="C449" s="38" t="str"/>
      <x:c r="D449" s="46"/>
      <x:c r="E449" s="38" t="str"/>
      <x:c r="F449" s="38" t="str"/>
      <x:c r="G449" s="35"/>
      <x:c r="H449" s="35"/>
      <x:c r="I449" s="35"/>
    </x:row>
    <x:row r="450">
      <x:c r="A450" s="38" t="str"/>
      <x:c r="B450" s="38" t="str"/>
      <x:c r="C450" s="38" t="str"/>
      <x:c r="D450" s="46"/>
      <x:c r="E450" s="38" t="str"/>
      <x:c r="F450" s="38" t="str"/>
      <x:c r="G450" s="35"/>
      <x:c r="H450" s="35"/>
      <x:c r="I450" s="35"/>
    </x:row>
    <x:row r="451">
      <x:c r="A451" s="38" t="str"/>
      <x:c r="B451" s="38" t="str"/>
      <x:c r="C451" s="38" t="str"/>
      <x:c r="D451" s="46"/>
      <x:c r="E451" s="38" t="str"/>
      <x:c r="F451" s="38" t="str"/>
      <x:c r="G451" s="35"/>
      <x:c r="H451" s="35"/>
      <x:c r="I451" s="35"/>
    </x:row>
    <x:row r="452">
      <x:c r="A452" s="38" t="str"/>
      <x:c r="B452" s="38" t="str"/>
      <x:c r="C452" s="38" t="str"/>
      <x:c r="D452" s="46"/>
      <x:c r="E452" s="38" t="str"/>
      <x:c r="F452" s="38" t="str"/>
      <x:c r="G452" s="35"/>
      <x:c r="H452" s="35"/>
      <x:c r="I452" s="35"/>
    </x:row>
    <x:row r="453">
      <x:c r="A453" s="38" t="str"/>
      <x:c r="B453" s="38" t="str"/>
      <x:c r="C453" s="38" t="str"/>
      <x:c r="D453" s="46"/>
      <x:c r="E453" s="38" t="str"/>
      <x:c r="F453" s="38" t="str"/>
      <x:c r="G453" s="35"/>
      <x:c r="H453" s="35"/>
      <x:c r="I453" s="35"/>
    </x:row>
    <x:row r="454">
      <x:c r="A454" s="38" t="str"/>
      <x:c r="B454" s="38" t="str"/>
      <x:c r="C454" s="38" t="str"/>
      <x:c r="D454" s="46"/>
      <x:c r="E454" s="38" t="str"/>
      <x:c r="F454" s="38" t="str"/>
      <x:c r="G454" s="35"/>
      <x:c r="H454" s="35"/>
      <x:c r="I454" s="35"/>
    </x:row>
    <x:row r="455">
      <x:c r="A455" s="38" t="str"/>
      <x:c r="B455" s="38" t="str"/>
      <x:c r="C455" s="38" t="str"/>
      <x:c r="D455" s="46"/>
      <x:c r="E455" s="38" t="str"/>
      <x:c r="F455" s="38" t="str"/>
      <x:c r="G455" s="35"/>
      <x:c r="H455" s="35"/>
      <x:c r="I455" s="35"/>
    </x:row>
    <x:row r="456">
      <x:c r="A456" s="38" t="str"/>
      <x:c r="B456" s="38" t="str"/>
      <x:c r="C456" s="38" t="str"/>
      <x:c r="D456" s="46"/>
      <x:c r="E456" s="38" t="str"/>
      <x:c r="F456" s="38" t="str"/>
      <x:c r="G456" s="35"/>
      <x:c r="H456" s="35"/>
      <x:c r="I456" s="35"/>
    </x:row>
    <x:row r="457">
      <x:c r="A457" s="38" t="str"/>
      <x:c r="B457" s="38" t="str"/>
      <x:c r="C457" s="38" t="str"/>
      <x:c r="D457" s="46"/>
      <x:c r="E457" s="38" t="str"/>
      <x:c r="F457" s="38" t="str"/>
      <x:c r="G457" s="35"/>
      <x:c r="H457" s="35"/>
      <x:c r="I457" s="35"/>
    </x:row>
    <x:row r="458">
      <x:c r="A458" s="38" t="str"/>
      <x:c r="B458" s="38" t="str"/>
      <x:c r="C458" s="38" t="str"/>
      <x:c r="D458" s="46"/>
      <x:c r="E458" s="38" t="str"/>
      <x:c r="F458" s="38" t="str"/>
      <x:c r="G458" s="35"/>
      <x:c r="H458" s="35"/>
      <x:c r="I458" s="35"/>
    </x:row>
    <x:row r="459">
      <x:c r="A459" s="38" t="str"/>
      <x:c r="B459" s="38" t="str"/>
      <x:c r="C459" s="38" t="str"/>
      <x:c r="D459" s="46"/>
      <x:c r="E459" s="38" t="str"/>
      <x:c r="F459" s="38" t="str"/>
      <x:c r="G459" s="35"/>
      <x:c r="H459" s="35"/>
      <x:c r="I459" s="35"/>
    </x:row>
    <x:row r="460">
      <x:c r="A460" s="38" t="str"/>
      <x:c r="B460" s="38" t="str"/>
      <x:c r="C460" s="38" t="str"/>
      <x:c r="D460" s="46"/>
      <x:c r="E460" s="38" t="str"/>
      <x:c r="F460" s="38" t="str"/>
      <x:c r="G460" s="35"/>
      <x:c r="H460" s="35"/>
      <x:c r="I460" s="35"/>
    </x:row>
    <x:row r="461">
      <x:c r="A461" s="38" t="str"/>
      <x:c r="B461" s="38" t="str"/>
      <x:c r="C461" s="38" t="str"/>
      <x:c r="D461" s="46"/>
      <x:c r="E461" s="38" t="str"/>
      <x:c r="F461" s="38" t="str"/>
      <x:c r="G461" s="35"/>
      <x:c r="H461" s="35"/>
      <x:c r="I461" s="35"/>
    </x:row>
    <x:row r="462">
      <x:c r="A462" s="38" t="str"/>
      <x:c r="B462" s="38" t="str"/>
      <x:c r="C462" s="38" t="str"/>
      <x:c r="D462" s="46"/>
      <x:c r="E462" s="38" t="str"/>
      <x:c r="F462" s="38" t="str"/>
      <x:c r="G462" s="35"/>
      <x:c r="H462" s="35"/>
      <x:c r="I462" s="35"/>
    </x:row>
    <x:row r="463">
      <x:c r="A463" s="38" t="str"/>
      <x:c r="B463" s="38" t="str"/>
      <x:c r="C463" s="38" t="str"/>
      <x:c r="D463" s="46"/>
      <x:c r="E463" s="38" t="str"/>
      <x:c r="F463" s="38" t="str"/>
      <x:c r="G463" s="35"/>
      <x:c r="H463" s="35"/>
      <x:c r="I463" s="35"/>
    </x:row>
    <x:row r="464">
      <x:c r="A464" s="38" t="str"/>
      <x:c r="B464" s="38" t="str"/>
      <x:c r="C464" s="38" t="str"/>
      <x:c r="D464" s="46"/>
      <x:c r="E464" s="38" t="str"/>
      <x:c r="F464" s="38" t="str"/>
      <x:c r="G464" s="35"/>
      <x:c r="H464" s="35"/>
      <x:c r="I464" s="35"/>
    </x:row>
    <x:row r="465">
      <x:c r="A465" s="38" t="str"/>
      <x:c r="B465" s="38" t="str"/>
      <x:c r="C465" s="38" t="str"/>
      <x:c r="D465" s="46"/>
      <x:c r="E465" s="38" t="str"/>
      <x:c r="F465" s="38" t="str"/>
      <x:c r="G465" s="35"/>
      <x:c r="H465" s="35"/>
      <x:c r="I465" s="35"/>
    </x:row>
    <x:row r="466">
      <x:c r="A466" s="38" t="str"/>
      <x:c r="B466" s="38" t="str"/>
      <x:c r="C466" s="38" t="str"/>
      <x:c r="D466" s="46"/>
      <x:c r="E466" s="38" t="str"/>
      <x:c r="F466" s="38" t="str"/>
      <x:c r="G466" s="35"/>
      <x:c r="H466" s="35"/>
      <x:c r="I466" s="35"/>
    </x:row>
    <x:row r="467">
      <x:c r="A467" s="38" t="str"/>
      <x:c r="B467" s="38" t="str"/>
      <x:c r="C467" s="38" t="str"/>
      <x:c r="D467" s="46"/>
      <x:c r="E467" s="38" t="str"/>
      <x:c r="F467" s="38" t="str"/>
      <x:c r="G467" s="35"/>
      <x:c r="H467" s="35"/>
      <x:c r="I467" s="35"/>
    </x:row>
    <x:row r="468">
      <x:c r="A468" s="38" t="str"/>
      <x:c r="B468" s="38" t="str"/>
      <x:c r="C468" s="38" t="str"/>
      <x:c r="D468" s="46"/>
      <x:c r="E468" s="38" t="str"/>
      <x:c r="F468" s="38" t="str"/>
      <x:c r="G468" s="35"/>
      <x:c r="H468" s="35"/>
      <x:c r="I468" s="35"/>
    </x:row>
    <x:row r="469">
      <x:c r="A469" s="38" t="str"/>
      <x:c r="B469" s="38" t="str"/>
      <x:c r="C469" s="38" t="str"/>
      <x:c r="D469" s="46"/>
      <x:c r="E469" s="38" t="str"/>
      <x:c r="F469" s="38" t="str"/>
      <x:c r="G469" s="35"/>
      <x:c r="H469" s="35"/>
      <x:c r="I469" s="35"/>
    </x:row>
    <x:row r="470">
      <x:c r="A470" s="38" t="str"/>
      <x:c r="B470" s="38" t="str"/>
      <x:c r="C470" s="38" t="str"/>
      <x:c r="D470" s="46"/>
      <x:c r="E470" s="38" t="str"/>
      <x:c r="F470" s="38" t="str"/>
      <x:c r="G470" s="35"/>
      <x:c r="H470" s="35"/>
      <x:c r="I470" s="35"/>
    </x:row>
    <x:row r="471">
      <x:c r="A471" s="38" t="str"/>
      <x:c r="B471" s="38" t="str"/>
      <x:c r="C471" s="38" t="str"/>
      <x:c r="D471" s="46"/>
      <x:c r="E471" s="38" t="str"/>
      <x:c r="F471" s="38" t="str"/>
      <x:c r="G471" s="35"/>
      <x:c r="H471" s="35"/>
      <x:c r="I471" s="35"/>
    </x:row>
    <x:row r="472">
      <x:c r="A472" s="38" t="str"/>
      <x:c r="B472" s="38" t="str"/>
      <x:c r="C472" s="38" t="str"/>
      <x:c r="D472" s="46"/>
      <x:c r="E472" s="38" t="str"/>
      <x:c r="F472" s="38" t="str"/>
      <x:c r="G472" s="35"/>
      <x:c r="H472" s="35"/>
      <x:c r="I472" s="35"/>
    </x:row>
    <x:row r="473">
      <x:c r="A473" s="38" t="str"/>
      <x:c r="B473" s="38" t="str"/>
      <x:c r="C473" s="38" t="str"/>
      <x:c r="D473" s="46"/>
      <x:c r="E473" s="38" t="str"/>
      <x:c r="F473" s="38" t="str"/>
      <x:c r="G473" s="35"/>
      <x:c r="H473" s="35"/>
      <x:c r="I473" s="35"/>
    </x:row>
    <x:row r="474">
      <x:c r="A474" s="38" t="str"/>
      <x:c r="B474" s="38" t="str"/>
      <x:c r="C474" s="38" t="str"/>
      <x:c r="D474" s="46"/>
      <x:c r="E474" s="38" t="str"/>
      <x:c r="F474" s="38" t="str"/>
      <x:c r="G474" s="35"/>
      <x:c r="H474" s="35"/>
      <x:c r="I474" s="35"/>
    </x:row>
    <x:row r="475">
      <x:c r="A475" s="38" t="str"/>
      <x:c r="B475" s="38" t="str"/>
      <x:c r="C475" s="38" t="str"/>
      <x:c r="D475" s="46"/>
      <x:c r="E475" s="38" t="str"/>
      <x:c r="F475" s="38" t="str"/>
      <x:c r="G475" s="35"/>
      <x:c r="H475" s="35"/>
      <x:c r="I475" s="35"/>
    </x:row>
    <x:row r="476">
      <x:c r="A476" s="38" t="str"/>
      <x:c r="B476" s="38" t="str"/>
      <x:c r="C476" s="38" t="str"/>
      <x:c r="D476" s="46"/>
      <x:c r="E476" s="38" t="str"/>
      <x:c r="F476" s="38" t="str"/>
      <x:c r="G476" s="35"/>
      <x:c r="H476" s="35"/>
      <x:c r="I476" s="35"/>
    </x:row>
    <x:row r="477">
      <x:c r="A477" s="38" t="str"/>
      <x:c r="B477" s="38" t="str"/>
      <x:c r="C477" s="38" t="str"/>
      <x:c r="D477" s="46"/>
      <x:c r="E477" s="38" t="str"/>
      <x:c r="F477" s="38" t="str"/>
      <x:c r="G477" s="35"/>
      <x:c r="H477" s="35"/>
      <x:c r="I477" s="35"/>
    </x:row>
    <x:row r="478">
      <x:c r="A478" s="38" t="str"/>
      <x:c r="B478" s="38" t="str"/>
      <x:c r="C478" s="38" t="str"/>
      <x:c r="D478" s="46"/>
      <x:c r="E478" s="38" t="str"/>
      <x:c r="F478" s="38" t="str"/>
      <x:c r="G478" s="35"/>
      <x:c r="H478" s="35"/>
      <x:c r="I478" s="35"/>
    </x:row>
    <x:row r="479">
      <x:c r="A479" s="38" t="str"/>
      <x:c r="B479" s="38" t="str"/>
      <x:c r="C479" s="38" t="str"/>
      <x:c r="D479" s="46"/>
      <x:c r="E479" s="38" t="str"/>
      <x:c r="F479" s="38" t="str"/>
      <x:c r="G479" s="35"/>
      <x:c r="H479" s="35"/>
      <x:c r="I479" s="35"/>
    </x:row>
    <x:row r="480">
      <x:c r="A480" s="38" t="str"/>
      <x:c r="B480" s="38" t="str"/>
      <x:c r="C480" s="38" t="str"/>
      <x:c r="D480" s="46"/>
      <x:c r="E480" s="38" t="str"/>
      <x:c r="F480" s="38" t="str"/>
      <x:c r="G480" s="35"/>
      <x:c r="H480" s="35"/>
      <x:c r="I480" s="35"/>
    </x:row>
    <x:row r="481">
      <x:c r="A481" s="38" t="str"/>
      <x:c r="B481" s="38" t="str"/>
      <x:c r="C481" s="38" t="str"/>
      <x:c r="D481" s="46"/>
      <x:c r="E481" s="38" t="str"/>
      <x:c r="F481" s="38" t="str"/>
      <x:c r="G481" s="35"/>
      <x:c r="H481" s="35"/>
      <x:c r="I481" s="35"/>
    </x:row>
    <x:row r="482">
      <x:c r="A482" s="38" t="str"/>
      <x:c r="B482" s="38" t="str"/>
      <x:c r="C482" s="38" t="str"/>
      <x:c r="D482" s="46"/>
      <x:c r="E482" s="38" t="str"/>
      <x:c r="F482" s="38" t="str"/>
      <x:c r="G482" s="35"/>
      <x:c r="H482" s="35"/>
      <x:c r="I482" s="35"/>
    </x:row>
    <x:row r="483">
      <x:c r="A483" s="38" t="str"/>
      <x:c r="B483" s="38" t="str"/>
      <x:c r="C483" s="38" t="str"/>
      <x:c r="D483" s="46"/>
      <x:c r="E483" s="38" t="str"/>
      <x:c r="F483" s="38" t="str"/>
      <x:c r="G483" s="35"/>
      <x:c r="H483" s="35"/>
      <x:c r="I483" s="35"/>
    </x:row>
    <x:row r="484">
      <x:c r="A484" s="38" t="str"/>
      <x:c r="B484" s="38" t="str"/>
      <x:c r="C484" s="38" t="str"/>
      <x:c r="D484" s="46"/>
      <x:c r="E484" s="38" t="str"/>
      <x:c r="F484" s="38" t="str"/>
      <x:c r="G484" s="35"/>
      <x:c r="H484" s="35"/>
      <x:c r="I484" s="35"/>
    </x:row>
    <x:row r="485">
      <x:c r="A485" s="38" t="str"/>
      <x:c r="B485" s="38" t="str"/>
      <x:c r="C485" s="38" t="str"/>
      <x:c r="D485" s="46"/>
      <x:c r="E485" s="38" t="str"/>
      <x:c r="F485" s="38" t="str"/>
      <x:c r="G485" s="35"/>
      <x:c r="H485" s="35"/>
      <x:c r="I485" s="35"/>
    </x:row>
    <x:row r="486">
      <x:c r="A486" s="38" t="str"/>
      <x:c r="B486" s="38" t="str"/>
      <x:c r="C486" s="38" t="str"/>
      <x:c r="D486" s="46"/>
      <x:c r="E486" s="38" t="str"/>
      <x:c r="F486" s="38" t="str"/>
      <x:c r="G486" s="35"/>
      <x:c r="H486" s="35"/>
      <x:c r="I486" s="35"/>
    </x:row>
    <x:row r="487">
      <x:c r="A487" s="38" t="str"/>
      <x:c r="B487" s="38" t="str"/>
      <x:c r="C487" s="38" t="str"/>
      <x:c r="D487" s="46"/>
      <x:c r="E487" s="38" t="str"/>
      <x:c r="F487" s="38" t="str"/>
      <x:c r="G487" s="35"/>
      <x:c r="H487" s="35"/>
      <x:c r="I487" s="35"/>
    </x:row>
    <x:row r="488">
      <x:c r="A488" s="38" t="str"/>
      <x:c r="B488" s="38" t="str"/>
      <x:c r="C488" s="38" t="str"/>
      <x:c r="D488" s="46"/>
      <x:c r="E488" s="38" t="str"/>
      <x:c r="F488" s="38" t="str"/>
      <x:c r="G488" s="35"/>
      <x:c r="H488" s="35"/>
      <x:c r="I488" s="35"/>
    </x:row>
    <x:row r="489">
      <x:c r="A489" s="38" t="str"/>
      <x:c r="B489" s="38" t="str"/>
      <x:c r="C489" s="38" t="str"/>
      <x:c r="D489" s="46"/>
      <x:c r="E489" s="38" t="str"/>
      <x:c r="F489" s="38" t="str"/>
      <x:c r="G489" s="35"/>
      <x:c r="H489" s="35"/>
      <x:c r="I489" s="35"/>
    </x:row>
    <x:row r="490">
      <x:c r="A490" s="38" t="str"/>
      <x:c r="B490" s="38" t="str"/>
      <x:c r="C490" s="38" t="str"/>
      <x:c r="D490" s="46"/>
      <x:c r="E490" s="38" t="str"/>
      <x:c r="F490" s="38" t="str"/>
      <x:c r="G490" s="35"/>
      <x:c r="H490" s="35"/>
      <x:c r="I490" s="35"/>
    </x:row>
    <x:row r="491">
      <x:c r="A491" s="38" t="str"/>
      <x:c r="B491" s="38" t="str"/>
      <x:c r="C491" s="38" t="str"/>
      <x:c r="D491" s="46"/>
      <x:c r="E491" s="38" t="str"/>
      <x:c r="F491" s="38" t="str"/>
      <x:c r="G491" s="35"/>
      <x:c r="H491" s="35"/>
      <x:c r="I491" s="35"/>
    </x:row>
    <x:row r="492">
      <x:c r="A492" s="38" t="str"/>
      <x:c r="B492" s="38" t="str"/>
      <x:c r="C492" s="38" t="str"/>
      <x:c r="D492" s="46"/>
      <x:c r="E492" s="38" t="str"/>
      <x:c r="F492" s="38" t="str"/>
      <x:c r="G492" s="35"/>
      <x:c r="H492" s="35"/>
      <x:c r="I492" s="35"/>
    </x:row>
    <x:row r="493">
      <x:c r="A493" s="38" t="str"/>
      <x:c r="B493" s="38" t="str"/>
      <x:c r="C493" s="38" t="str"/>
      <x:c r="D493" s="46"/>
      <x:c r="E493" s="38" t="str"/>
      <x:c r="F493" s="38" t="str"/>
      <x:c r="G493" s="35"/>
      <x:c r="H493" s="35"/>
      <x:c r="I493" s="35"/>
    </x:row>
    <x:row r="494">
      <x:c r="A494" s="38" t="str"/>
      <x:c r="B494" s="38" t="str"/>
      <x:c r="C494" s="38" t="str"/>
      <x:c r="D494" s="46"/>
      <x:c r="E494" s="38" t="str"/>
      <x:c r="F494" s="38" t="str"/>
      <x:c r="G494" s="35"/>
      <x:c r="H494" s="35"/>
      <x:c r="I494" s="35"/>
    </x:row>
    <x:row r="495">
      <x:c r="A495" s="38" t="str"/>
      <x:c r="B495" s="38" t="str"/>
      <x:c r="C495" s="38" t="str"/>
      <x:c r="D495" s="46"/>
      <x:c r="E495" s="38" t="str"/>
      <x:c r="F495" s="38" t="str"/>
      <x:c r="G495" s="35"/>
      <x:c r="H495" s="35"/>
      <x:c r="I495" s="35"/>
    </x:row>
    <x:row r="496">
      <x:c r="A496" s="38" t="str"/>
      <x:c r="B496" s="38" t="str"/>
      <x:c r="C496" s="38" t="str"/>
      <x:c r="D496" s="46"/>
      <x:c r="E496" s="38" t="str"/>
      <x:c r="F496" s="38" t="str"/>
      <x:c r="G496" s="35"/>
      <x:c r="H496" s="35"/>
      <x:c r="I496" s="35"/>
    </x:row>
    <x:row r="497">
      <x:c r="A497" s="38" t="str"/>
      <x:c r="B497" s="38" t="str"/>
      <x:c r="C497" s="38" t="str"/>
      <x:c r="D497" s="46"/>
      <x:c r="E497" s="38" t="str"/>
      <x:c r="F497" s="38" t="str"/>
      <x:c r="G497" s="35"/>
      <x:c r="H497" s="35"/>
      <x:c r="I497" s="35"/>
    </x:row>
    <x:row r="498">
      <x:c r="A498" s="38" t="str"/>
      <x:c r="B498" s="38" t="str"/>
      <x:c r="C498" s="38" t="str"/>
      <x:c r="D498" s="46"/>
      <x:c r="E498" s="38" t="str"/>
      <x:c r="F498" s="38" t="str"/>
      <x:c r="G498" s="35"/>
      <x:c r="H498" s="35"/>
      <x:c r="I498" s="35"/>
    </x:row>
    <x:row r="499">
      <x:c r="A499" s="38" t="str"/>
      <x:c r="B499" s="38" t="str"/>
      <x:c r="C499" s="38" t="str"/>
      <x:c r="D499" s="46"/>
      <x:c r="E499" s="38" t="str"/>
      <x:c r="F499" s="38" t="str"/>
      <x:c r="G499" s="35"/>
      <x:c r="H499" s="35"/>
      <x:c r="I499" s="35"/>
    </x:row>
    <x:row r="500">
      <x:c r="A500" s="38" t="str"/>
      <x:c r="B500" s="38" t="str"/>
      <x:c r="C500" s="38" t="str"/>
      <x:c r="D500" s="46"/>
      <x:c r="E500" s="38" t="str"/>
      <x:c r="F500" s="38" t="str"/>
      <x:c r="G500" s="35"/>
      <x:c r="H500" s="35"/>
      <x:c r="I500" s="35"/>
    </x:row>
    <x:row r="501">
      <x:c r="A501" s="38" t="str"/>
      <x:c r="B501" s="38" t="str"/>
      <x:c r="C501" s="38" t="str"/>
      <x:c r="D501" s="46"/>
      <x:c r="E501" s="38" t="str"/>
      <x:c r="F501" s="38" t="str"/>
      <x:c r="G501" s="35"/>
      <x:c r="H501" s="35"/>
      <x:c r="I501" s="35"/>
    </x:row>
    <x:row r="502">
      <x:c r="A502" s="38" t="str"/>
      <x:c r="B502" s="38" t="str"/>
      <x:c r="C502" s="38" t="str"/>
      <x:c r="D502" s="46"/>
      <x:c r="E502" s="38" t="str"/>
      <x:c r="F502" s="38" t="str"/>
      <x:c r="G502" s="35"/>
      <x:c r="H502" s="35"/>
      <x:c r="I502" s="35"/>
    </x:row>
    <x:row r="503">
      <x:c r="A503" s="38" t="str"/>
      <x:c r="B503" s="38" t="str"/>
      <x:c r="C503" s="38" t="str"/>
      <x:c r="D503" s="46"/>
      <x:c r="E503" s="38" t="str"/>
      <x:c r="F503" s="38" t="str"/>
      <x:c r="G503" s="35"/>
      <x:c r="H503" s="35"/>
      <x:c r="I503" s="35"/>
    </x:row>
    <x:row r="504">
      <x:c r="A504" s="38" t="str"/>
      <x:c r="B504" s="38" t="str"/>
      <x:c r="C504" s="38" t="str"/>
      <x:c r="D504" s="46"/>
      <x:c r="E504" s="38" t="str"/>
      <x:c r="F504" s="38" t="str"/>
      <x:c r="G504" s="35"/>
      <x:c r="H504" s="35"/>
      <x:c r="I504" s="35"/>
    </x:row>
    <x:row r="505">
      <x:c r="A505" s="38" t="str"/>
      <x:c r="B505" s="38" t="str"/>
      <x:c r="C505" s="38" t="str"/>
      <x:c r="D505" s="46"/>
      <x:c r="E505" s="38" t="str"/>
      <x:c r="F505" s="38" t="str"/>
      <x:c r="G505" s="35"/>
      <x:c r="H505" s="35"/>
      <x:c r="I505" s="35"/>
    </x:row>
  </x:sheetData>
  <x:mergeCells>
    <x:mergeCell ref="A1:F1"/>
    <x:mergeCell ref="A2:F2"/>
  </x:mergeCells>
  <x:conditionalFormatting sqref="A6:F505">
    <x:cfRule type="expression" dxfId="9" priority="1">
      <x:formula>AND($F6&lt;&gt;"Completada",$D6&lt;TODAY(),$D6&lt;&gt;"")</x:formula>
    </x:cfRule>
  </x:conditionalFormatting>
  <x:conditionalFormatting sqref="F6:F505">
    <x:cfRule type="containsText" dxfId="10" priority="2" operator="containsText" text="Completada"/>
  </x:conditionalFormatting>
  <x:dataValidations count="3">
    <x:dataValidation type="list" sqref="C6:C505">
      <x:formula1>'Configuración'!$D$5:$D$25</x:formula1>
    </x:dataValidation>
    <x:dataValidation type="list" sqref="E6:E505">
      <x:formula1>'Configuración'!$H$5:$H$10</x:formula1>
    </x:dataValidation>
    <x:dataValidation type="list" sqref="F6:F505">
      <x:formula1>'Configuración'!$I$5:$I$10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7cba83b68040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.3799991607666" hidden="0" customWidth="1"/>
    <x:col min="3" max="3" width="15" hidden="0" customWidth="1"/>
    <x:col min="4" max="4" width="15" hidden="0" customWidth="1"/>
    <x:col min="5" max="5" width="13.130000114440918" hidden="0" customWidth="1"/>
  </x:cols>
  <x:sheetData>
    <x:row r="1" ht="28.5" customHeight="1">
      <x:c r="A1" s="34" t="str">
        <x:v>Presupuesto Mensual</x:v>
      </x:c>
      <x:c r="B1" s="34" t="str">
        <x:v>Presupuesto Mensual</x:v>
      </x:c>
      <x:c r="C1" s="34" t="str">
        <x:v>Presupuesto Mensual</x:v>
      </x:c>
      <x:c r="D1" s="34" t="str">
        <x:v>Presupuesto Mensual</x:v>
      </x:c>
      <x:c r="E1" s="34" t="str">
        <x:v>Presupuesto Mensual</x:v>
      </x:c>
    </x:row>
    <x:row r="2" ht="19.5" customHeight="1">
      <x:c r="A2" s="36" t="str">
        <x:v>Presupuesto planificado frente a gasto real por categoría.</x:v>
      </x:c>
      <x:c r="B2" s="36" t="str">
        <x:v>Presupuesto planificado frente a gasto real por categoría.</x:v>
      </x:c>
      <x:c r="C2" s="36" t="str">
        <x:v>Presupuesto planificado frente a gasto real por categoría.</x:v>
      </x:c>
      <x:c r="D2" s="36" t="str">
        <x:v>Presupuesto planificado frente a gasto real por categoría.</x:v>
      </x:c>
      <x:c r="E2" s="36" t="str">
        <x:v>Presupuesto planificado frente a gasto real por categoría.</x:v>
      </x:c>
    </x:row>
    <x:row r="3">
      <x:c r="A3" s="35"/>
      <x:c r="B3" s="35"/>
      <x:c r="C3" s="35"/>
      <x:c r="D3" s="35"/>
      <x:c r="E3" s="35"/>
    </x:row>
    <x:row r="4">
      <x:c r="A4" s="35"/>
      <x:c r="B4" s="35"/>
      <x:c r="C4" s="35"/>
      <x:c r="D4" s="35"/>
      <x:c r="E4" s="35"/>
    </x:row>
    <x:row r="5">
      <x:c r="A5" s="37" t="str">
        <x:v>Categoría</x:v>
      </x:c>
      <x:c r="B5" s="37" t="str">
        <x:v>Presupuesto planificado</x:v>
      </x:c>
      <x:c r="C5" s="37" t="str">
        <x:v>Gasto real</x:v>
      </x:c>
      <x:c r="D5" s="37" t="str">
        <x:v>Diferencia</x:v>
      </x:c>
      <x:c r="E5" s="37" t="str">
        <x:v>% utilizado</x:v>
      </x:c>
    </x:row>
    <x:row r="6">
      <x:c r="A6" s="38" t="str">
        <x:v>Renta/Hipoteca</x:v>
      </x:c>
      <x:c r="B6" s="39" t="n">
        <x:v>1500</x:v>
      </x:c>
      <x:c r="C6" s="39" t="n">
        <x:f>SUMIFS('Registro de Gastos'!$E$6:$E$505,'Registro de Gastos'!$B$6:$B$505,A6,'Registro de Gastos'!$A$6:$A$505,"&gt;="&amp;EOMONTH(TODAY(),-1)+1,'Registro de Gastos'!$A$6:$A$505,"&lt;="&amp;EOMONTH(TODAY(),0))</x:f>
        <x:v>1450</x:v>
      </x:c>
      <x:c r="D6" s="39" t="n">
        <x:f>B6-C6</x:f>
        <x:v>50</x:v>
      </x:c>
      <x:c r="E6" s="40" t="n">
        <x:f>IFERROR(C6/B6,"")</x:f>
        <x:v>0.9666666666666667</x:v>
      </x:c>
    </x:row>
    <x:row r="7">
      <x:c r="A7" s="38" t="str">
        <x:v>Agua</x:v>
      </x:c>
      <x:c r="B7" s="39" t="n">
        <x:v>60</x:v>
      </x:c>
      <x:c r="C7" s="39" t="n">
        <x:f>SUMIFS('Registro de Gastos'!$E$6:$E$505,'Registro de Gastos'!$B$6:$B$505,A7,'Registro de Gastos'!$A$6:$A$505,"&gt;="&amp;EOMONTH(TODAY(),-1)+1,'Registro de Gastos'!$A$6:$A$505,"&lt;="&amp;EOMONTH(TODAY(),0))</x:f>
        <x:v>0</x:v>
      </x:c>
      <x:c r="D7" s="39" t="n">
        <x:f>B7-C7</x:f>
        <x:v>60</x:v>
      </x:c>
      <x:c r="E7" s="40" t="n">
        <x:f>IFERROR(C7/B7,"")</x:f>
        <x:v>0</x:v>
      </x:c>
    </x:row>
    <x:row r="8">
      <x:c r="A8" s="38" t="str">
        <x:v>Electricidad</x:v>
      </x:c>
      <x:c r="B8" s="39" t="n">
        <x:v>120</x:v>
      </x:c>
      <x:c r="C8" s="39" t="n">
        <x:f>SUMIFS('Registro de Gastos'!$E$6:$E$505,'Registro de Gastos'!$B$6:$B$505,A8,'Registro de Gastos'!$A$6:$A$505,"&gt;="&amp;EOMONTH(TODAY(),-1)+1,'Registro de Gastos'!$A$6:$A$505,"&lt;="&amp;EOMONTH(TODAY(),0))</x:f>
        <x:v>115</x:v>
      </x:c>
      <x:c r="D8" s="39" t="n">
        <x:f>B8-C8</x:f>
        <x:v>5</x:v>
      </x:c>
      <x:c r="E8" s="40" t="n">
        <x:f>IFERROR(C8/B8,"")</x:f>
        <x:v>0.9583333333333334</x:v>
      </x:c>
    </x:row>
    <x:row r="9">
      <x:c r="A9" s="38" t="str">
        <x:v>Gas</x:v>
      </x:c>
      <x:c r="B9" s="39" t="n">
        <x:v>55</x:v>
      </x:c>
      <x:c r="C9" s="39" t="n">
        <x:f>SUMIFS('Registro de Gastos'!$E$6:$E$505,'Registro de Gastos'!$B$6:$B$505,A9,'Registro de Gastos'!$A$6:$A$505,"&gt;="&amp;EOMONTH(TODAY(),-1)+1,'Registro de Gastos'!$A$6:$A$505,"&lt;="&amp;EOMONTH(TODAY(),0))</x:f>
        <x:v>0</x:v>
      </x:c>
      <x:c r="D9" s="39" t="n">
        <x:f>B9-C9</x:f>
        <x:v>55</x:v>
      </x:c>
      <x:c r="E9" s="40" t="n">
        <x:f>IFERROR(C9/B9,"")</x:f>
        <x:v>0</x:v>
      </x:c>
    </x:row>
    <x:row r="10">
      <x:c r="A10" s="38" t="str">
        <x:v>Internet</x:v>
      </x:c>
      <x:c r="B10" s="39" t="n">
        <x:v>60</x:v>
      </x:c>
      <x:c r="C10" s="39" t="n">
        <x:f>SUMIFS('Registro de Gastos'!$E$6:$E$505,'Registro de Gastos'!$B$6:$B$505,A10,'Registro de Gastos'!$A$6:$A$505,"&gt;="&amp;EOMONTH(TODAY(),-1)+1,'Registro de Gastos'!$A$6:$A$505,"&lt;="&amp;EOMONTH(TODAY(),0))</x:f>
        <x:v>0</x:v>
      </x:c>
      <x:c r="D10" s="39" t="n">
        <x:f>B10-C10</x:f>
        <x:v>60</x:v>
      </x:c>
      <x:c r="E10" s="40" t="n">
        <x:f>IFERROR(C10/B10,"")</x:f>
        <x:v>0</x:v>
      </x:c>
    </x:row>
    <x:row r="11">
      <x:c r="A11" s="38" t="str">
        <x:v>Teléfono</x:v>
      </x:c>
      <x:c r="B11" s="39" t="n">
        <x:v>75</x:v>
      </x:c>
      <x:c r="C11" s="39" t="n">
        <x:f>SUMIFS('Registro de Gastos'!$E$6:$E$505,'Registro de Gastos'!$B$6:$B$505,A11,'Registro de Gastos'!$A$6:$A$505,"&gt;="&amp;EOMONTH(TODAY(),-1)+1,'Registro de Gastos'!$A$6:$A$505,"&lt;="&amp;EOMONTH(TODAY(),0))</x:f>
        <x:v>0</x:v>
      </x:c>
      <x:c r="D11" s="39" t="n">
        <x:f>B11-C11</x:f>
        <x:v>75</x:v>
      </x:c>
      <x:c r="E11" s="40" t="n">
        <x:f>IFERROR(C11/B11,"")</x:f>
        <x:v>0</x:v>
      </x:c>
    </x:row>
    <x:row r="12">
      <x:c r="A12" s="38" t="str">
        <x:v>Mercado</x:v>
      </x:c>
      <x:c r="B12" s="39" t="n">
        <x:v>650</x:v>
      </x:c>
      <x:c r="C12" s="39" t="n">
        <x:f>SUMIFS('Registro de Gastos'!$E$6:$E$505,'Registro de Gastos'!$B$6:$B$505,A12,'Registro de Gastos'!$A$6:$A$505,"&gt;="&amp;EOMONTH(TODAY(),-1)+1,'Registro de Gastos'!$A$6:$A$505,"&lt;="&amp;EOMONTH(TODAY(),0))</x:f>
        <x:v>185</x:v>
      </x:c>
      <x:c r="D12" s="39" t="n">
        <x:f>B12-C12</x:f>
        <x:v>465</x:v>
      </x:c>
      <x:c r="E12" s="40" t="n">
        <x:f>IFERROR(C12/B12,"")</x:f>
        <x:v>0.2846153846153846</x:v>
      </x:c>
    </x:row>
    <x:row r="13">
      <x:c r="A13" s="38" t="str">
        <x:v>Transporte</x:v>
      </x:c>
      <x:c r="B13" s="39" t="n">
        <x:v>120</x:v>
      </x:c>
      <x:c r="C13" s="39" t="n">
        <x:f>SUMIFS('Registro de Gastos'!$E$6:$E$505,'Registro de Gastos'!$B$6:$B$505,A13,'Registro de Gastos'!$A$6:$A$505,"&gt;="&amp;EOMONTH(TODAY(),-1)+1,'Registro de Gastos'!$A$6:$A$505,"&lt;="&amp;EOMONTH(TODAY(),0))</x:f>
        <x:v>80</x:v>
      </x:c>
      <x:c r="D13" s="39" t="n">
        <x:f>B13-C13</x:f>
        <x:v>40</x:v>
      </x:c>
      <x:c r="E13" s="40" t="n">
        <x:f>IFERROR(C13/B13,"")</x:f>
        <x:v>0.6666666666666666</x:v>
      </x:c>
    </x:row>
    <x:row r="14">
      <x:c r="A14" s="38" t="str">
        <x:v>Combustible</x:v>
      </x:c>
      <x:c r="B14" s="39" t="n">
        <x:v>180</x:v>
      </x:c>
      <x:c r="C14" s="39" t="n">
        <x:f>SUMIFS('Registro de Gastos'!$E$6:$E$505,'Registro de Gastos'!$B$6:$B$505,A14,'Registro de Gastos'!$A$6:$A$505,"&gt;="&amp;EOMONTH(TODAY(),-1)+1,'Registro de Gastos'!$A$6:$A$505,"&lt;="&amp;EOMONTH(TODAY(),0))</x:f>
        <x:v>0</x:v>
      </x:c>
      <x:c r="D14" s="39" t="n">
        <x:f>B14-C14</x:f>
        <x:v>180</x:v>
      </x:c>
      <x:c r="E14" s="40" t="n">
        <x:f>IFERROR(C14/B14,"")</x:f>
        <x:v>0</x:v>
      </x:c>
    </x:row>
    <x:row r="15">
      <x:c r="A15" s="38" t="str">
        <x:v>Salud</x:v>
      </x:c>
      <x:c r="B15" s="39" t="n">
        <x:v>200</x:v>
      </x:c>
      <x:c r="C15" s="39" t="n">
        <x:f>SUMIFS('Registro de Gastos'!$E$6:$E$505,'Registro de Gastos'!$B$6:$B$505,A15,'Registro de Gastos'!$A$6:$A$505,"&gt;="&amp;EOMONTH(TODAY(),-1)+1,'Registro de Gastos'!$A$6:$A$505,"&lt;="&amp;EOMONTH(TODAY(),0))</x:f>
        <x:v>0</x:v>
      </x:c>
      <x:c r="D15" s="39" t="n">
        <x:f>B15-C15</x:f>
        <x:v>200</x:v>
      </x:c>
      <x:c r="E15" s="40" t="n">
        <x:f>IFERROR(C15/B15,"")</x:f>
        <x:v>0</x:v>
      </x:c>
    </x:row>
    <x:row r="16">
      <x:c r="A16" s="38" t="str">
        <x:v>Educación</x:v>
      </x:c>
      <x:c r="B16" s="39" t="n">
        <x:v>350</x:v>
      </x:c>
      <x:c r="C16" s="39" t="n">
        <x:f>SUMIFS('Registro de Gastos'!$E$6:$E$505,'Registro de Gastos'!$B$6:$B$505,A16,'Registro de Gastos'!$A$6:$A$505,"&gt;="&amp;EOMONTH(TODAY(),-1)+1,'Registro de Gastos'!$A$6:$A$505,"&lt;="&amp;EOMONTH(TODAY(),0))</x:f>
        <x:v>0</x:v>
      </x:c>
      <x:c r="D16" s="39" t="n">
        <x:f>B16-C16</x:f>
        <x:v>350</x:v>
      </x:c>
      <x:c r="E16" s="40" t="n">
        <x:f>IFERROR(C16/B16,"")</x:f>
        <x:v>0</x:v>
      </x:c>
    </x:row>
    <x:row r="17">
      <x:c r="A17" s="38" t="str">
        <x:v>Mascotas</x:v>
      </x:c>
      <x:c r="B17" s="39" t="n">
        <x:v>90</x:v>
      </x:c>
      <x:c r="C17" s="39" t="n">
        <x:f>SUMIFS('Registro de Gastos'!$E$6:$E$505,'Registro de Gastos'!$B$6:$B$505,A17,'Registro de Gastos'!$A$6:$A$505,"&gt;="&amp;EOMONTH(TODAY(),-1)+1,'Registro de Gastos'!$A$6:$A$505,"&lt;="&amp;EOMONTH(TODAY(),0))</x:f>
        <x:v>0</x:v>
      </x:c>
      <x:c r="D17" s="39" t="n">
        <x:f>B17-C17</x:f>
        <x:v>90</x:v>
      </x:c>
      <x:c r="E17" s="40" t="n">
        <x:f>IFERROR(C17/B17,"")</x:f>
        <x:v>0</x:v>
      </x:c>
    </x:row>
    <x:row r="18">
      <x:c r="A18" s="38" t="str">
        <x:v>Entretenimiento</x:v>
      </x:c>
      <x:c r="B18" s="39" t="n">
        <x:v>250</x:v>
      </x:c>
      <x:c r="C18" s="39" t="n">
        <x:f>SUMIFS('Registro de Gastos'!$E$6:$E$505,'Registro de Gastos'!$B$6:$B$505,A18,'Registro de Gastos'!$A$6:$A$505,"&gt;="&amp;EOMONTH(TODAY(),-1)+1,'Registro de Gastos'!$A$6:$A$505,"&lt;="&amp;EOMONTH(TODAY(),0))</x:f>
        <x:v>0</x:v>
      </x:c>
      <x:c r="D18" s="39" t="n">
        <x:f>B18-C18</x:f>
        <x:v>250</x:v>
      </x:c>
      <x:c r="E18" s="40" t="n">
        <x:f>IFERROR(C18/B18,"")</x:f>
        <x:v>0</x:v>
      </x:c>
    </x:row>
    <x:row r="19">
      <x:c r="A19" s="38" t="str">
        <x:v>Impuestos</x:v>
      </x:c>
      <x:c r="B19" s="39" t="n">
        <x:v>150</x:v>
      </x:c>
      <x:c r="C19" s="39" t="n">
        <x:f>SUMIFS('Registro de Gastos'!$E$6:$E$505,'Registro de Gastos'!$B$6:$B$505,A19,'Registro de Gastos'!$A$6:$A$505,"&gt;="&amp;EOMONTH(TODAY(),-1)+1,'Registro de Gastos'!$A$6:$A$505,"&lt;="&amp;EOMONTH(TODAY(),0))</x:f>
        <x:v>0</x:v>
      </x:c>
      <x:c r="D19" s="39" t="n">
        <x:f>B19-C19</x:f>
        <x:v>150</x:v>
      </x:c>
      <x:c r="E19" s="40" t="n">
        <x:f>IFERROR(C19/B19,"")</x:f>
        <x:v>0</x:v>
      </x:c>
    </x:row>
    <x:row r="20">
      <x:c r="A20" s="38" t="str">
        <x:v>Seguros</x:v>
      </x:c>
      <x:c r="B20" s="39" t="n">
        <x:v>180</x:v>
      </x:c>
      <x:c r="C20" s="39" t="n">
        <x:f>SUMIFS('Registro de Gastos'!$E$6:$E$505,'Registro de Gastos'!$B$6:$B$505,A20,'Registro de Gastos'!$A$6:$A$505,"&gt;="&amp;EOMONTH(TODAY(),-1)+1,'Registro de Gastos'!$A$6:$A$505,"&lt;="&amp;EOMONTH(TODAY(),0))</x:f>
        <x:v>0</x:v>
      </x:c>
      <x:c r="D20" s="39" t="n">
        <x:f>B20-C20</x:f>
        <x:v>180</x:v>
      </x:c>
      <x:c r="E20" s="40" t="n">
        <x:f>IFERROR(C20/B20,"")</x:f>
        <x:v>0</x:v>
      </x:c>
    </x:row>
    <x:row r="21">
      <x:c r="A21" s="38" t="str">
        <x:v>Mantenimiento</x:v>
      </x:c>
      <x:c r="B21" s="39" t="n">
        <x:v>160</x:v>
      </x:c>
      <x:c r="C21" s="39" t="n">
        <x:f>SUMIFS('Registro de Gastos'!$E$6:$E$505,'Registro de Gastos'!$B$6:$B$505,A21,'Registro de Gastos'!$A$6:$A$505,"&gt;="&amp;EOMONTH(TODAY(),-1)+1,'Registro de Gastos'!$A$6:$A$505,"&lt;="&amp;EOMONTH(TODAY(),0))</x:f>
        <x:v>0</x:v>
      </x:c>
      <x:c r="D21" s="39" t="n">
        <x:f>B21-C21</x:f>
        <x:v>160</x:v>
      </x:c>
      <x:c r="E21" s="40" t="n">
        <x:f>IFERROR(C21/B21,"")</x:f>
        <x:v>0</x:v>
      </x:c>
    </x:row>
    <x:row r="22">
      <x:c r="A22" s="38" t="str">
        <x:v>Suscripciones</x:v>
      </x:c>
      <x:c r="B22" s="39" t="n">
        <x:v>80</x:v>
      </x:c>
      <x:c r="C22" s="39" t="n">
        <x:f>SUMIFS('Registro de Gastos'!$E$6:$E$505,'Registro de Gastos'!$B$6:$B$505,A22,'Registro de Gastos'!$A$6:$A$505,"&gt;="&amp;EOMONTH(TODAY(),-1)+1,'Registro de Gastos'!$A$6:$A$505,"&lt;="&amp;EOMONTH(TODAY(),0))</x:f>
        <x:v>42</x:v>
      </x:c>
      <x:c r="D22" s="39" t="n">
        <x:f>B22-C22</x:f>
        <x:v>38</x:v>
      </x:c>
      <x:c r="E22" s="40" t="n">
        <x:f>IFERROR(C22/B22,"")</x:f>
        <x:v>0.525</x:v>
      </x:c>
    </x:row>
    <x:row r="23">
      <x:c r="A23" s="38" t="str">
        <x:v>Otros</x:v>
      </x:c>
      <x:c r="B23" s="39" t="n">
        <x:v>200</x:v>
      </x:c>
      <x:c r="C23" s="39" t="n">
        <x:f>SUMIFS('Registro de Gastos'!$E$6:$E$505,'Registro de Gastos'!$B$6:$B$505,A23,'Registro de Gastos'!$A$6:$A$505,"&gt;="&amp;EOMONTH(TODAY(),-1)+1,'Registro de Gastos'!$A$6:$A$505,"&lt;="&amp;EOMONTH(TODAY(),0))</x:f>
        <x:v>0</x:v>
      </x:c>
      <x:c r="D23" s="39" t="n">
        <x:f>B23-C23</x:f>
        <x:v>200</x:v>
      </x:c>
      <x:c r="E23" s="40" t="n">
        <x:f>IFERROR(C23/B23,"")</x:f>
        <x:v>0</x:v>
      </x:c>
    </x:row>
  </x:sheetData>
  <x:mergeCells>
    <x:mergeCell ref="A1:E1"/>
    <x:mergeCell ref="A2:E2"/>
  </x:mergeCells>
  <x:conditionalFormatting sqref="E6:E23">
    <x:cfRule type="dataBar" priority="1">
      <x:dataBar>
        <x:cfvo type="min"/>
        <x:cfvo type="max"/>
        <x:color rgb="FF2563EB"/>
      </x:dataBar>
    </x:cfRule>
  </x:conditionalFormatting>
  <x:conditionalFormatting sqref="A6:E23">
    <x:cfRule type="expression" dxfId="11" priority="2">
      <x:formula>$E6&gt;1</x:formula>
    </x:cfRule>
  </x:conditionalFormatting>
  <x:pageMargins left="0.7" right="0.7" top="0.75" bottom="0.75" header="0.3" footer="0.3"/>
  <x:drawing xmlns:r="http://schemas.openxmlformats.org/officeDocument/2006/relationships" r:id="R0f52f173738748bc"/>
  <x:tableParts count="1">
    <x:tablePart xmlns:r="http://schemas.openxmlformats.org/officeDocument/2006/relationships" r:id="Rdfffd51e4dcd4c8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9.3799991607666" hidden="0" customWidth="1"/>
    <x:col min="6" max="6" width="18.1299991607666" hidden="0" customWidth="1"/>
    <x:col min="7" max="7" width="16.8799991607666" hidden="0" customWidth="1"/>
    <x:col min="8" max="8" width="13.130000114440918" hidden="0" customWidth="1"/>
    <x:col min="9" max="9" width="3.75" hidden="0" customWidth="1"/>
    <x:col min="10" max="10" width="22.5" hidden="0" customWidth="1"/>
    <x:col min="11" max="11" width="16.25" hidden="0" customWidth="1"/>
  </x:cols>
  <x:sheetData>
    <x:row r="1" ht="28.5" customHeight="1">
      <x:c r="A1" s="34" t="str">
        <x:v>Proyección Financiera</x:v>
      </x:c>
      <x:c r="B1" s="34" t="str">
        <x:v>Proyección Financiera</x:v>
      </x:c>
      <x:c r="C1" s="34" t="str">
        <x:v>Proyección Financiera</x:v>
      </x:c>
      <x:c r="D1" s="34" t="str">
        <x:v>Proyección Financiera</x:v>
      </x:c>
      <x:c r="E1" s="34" t="str">
        <x:v>Proyección Financiera</x:v>
      </x:c>
      <x:c r="F1" s="34" t="str">
        <x:v>Proyección Financiera</x:v>
      </x:c>
      <x:c r="G1" s="34" t="str">
        <x:v>Proyección Financiera</x:v>
      </x:c>
      <x:c r="H1" s="34" t="str">
        <x:v>Proyección Financiera</x:v>
      </x:c>
      <x:c r="I1" s="35"/>
      <x:c r="J1" s="35"/>
      <x:c r="K1" s="35"/>
    </x:row>
    <x:row r="2" ht="19.5" customHeight="1">
      <x:c r="A2" s="36" t="str">
        <x:v>Proyección automática de 3, 6 y 12 meses basada en promedios actuales.</x:v>
      </x:c>
      <x:c r="B2" s="36" t="str">
        <x:v>Proyección automática de 3, 6 y 12 meses basada en promedios actuales.</x:v>
      </x:c>
      <x:c r="C2" s="36" t="str">
        <x:v>Proyección automática de 3, 6 y 12 meses basada en promedios actuales.</x:v>
      </x:c>
      <x:c r="D2" s="36" t="str">
        <x:v>Proyección automática de 3, 6 y 12 meses basada en promedios actuales.</x:v>
      </x:c>
      <x:c r="E2" s="36" t="str">
        <x:v>Proyección automática de 3, 6 y 12 meses basada en promedios actuales.</x:v>
      </x:c>
      <x:c r="F2" s="36" t="str">
        <x:v>Proyección automática de 3, 6 y 12 meses basada en promedios actuales.</x:v>
      </x:c>
      <x:c r="G2" s="36" t="str">
        <x:v>Proyección automática de 3, 6 y 12 meses basada en promedios actuales.</x:v>
      </x:c>
      <x:c r="H2" s="36" t="str">
        <x:v>Proyección automática de 3, 6 y 12 meses basada en promedios actuales.</x:v>
      </x:c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</x:row>
    <x:row r="5">
      <x:c r="A5" s="37" t="str">
        <x:v>Mes</x:v>
      </x:c>
      <x:c r="B5" s="37" t="str">
        <x:v>Ingreso proyectado</x:v>
      </x:c>
      <x:c r="C5" s="37" t="str">
        <x:v>Gasto proyectado</x:v>
      </x:c>
      <x:c r="D5" s="37" t="str">
        <x:v>Ahorro proyectado</x:v>
      </x:c>
      <x:c r="E5" s="37" t="str">
        <x:v>Deuda pendiente proyectada</x:v>
      </x:c>
      <x:c r="F5" s="37" t="str">
        <x:v>Patrimonio proyectado</x:v>
      </x:c>
      <x:c r="G5" s="37" t="str">
        <x:v>Ahorro acumulado</x:v>
      </x:c>
      <x:c r="H5" s="37" t="str">
        <x:v>Escenario</x:v>
      </x:c>
      <x:c r="I5" s="35"/>
      <x:c r="J5" s="37" t="str">
        <x:v>Indicador</x:v>
      </x:c>
      <x:c r="K5" s="37" t="str">
        <x:v>Valor</x:v>
      </x:c>
    </x:row>
    <x:row r="6">
      <x:c r="A6" s="42" t="n">
        <x:v>46174</x:v>
      </x:c>
      <x:c r="B6" s="39" t="n">
        <x:f>IFERROR(AVERAGEIF('Ahorro Mensual'!$B$6:$B$41,"&gt;0"),0)</x:f>
        <x:v>4970</x:v>
      </x:c>
      <x:c r="C6" s="39" t="n">
        <x:f>IFERROR(AVERAGEIF('Presupuesto Mensual'!$C$6:$C$23,"&gt;0"),SUM('Presupuesto Mensual'!$B$6:$B$23))</x:f>
        <x:v>374.4</x:v>
      </x:c>
      <x:c r="D6" s="39" t="n">
        <x:f>B6-C6</x:f>
        <x:v>4595.6</x:v>
      </x:c>
      <x:c r="E6" s="39" t="n">
        <x:f>MAX(0,SUM('Control de Deudas y Cuotas'!$D$6:$D$505)-SUM('Control de Deudas y Cuotas'!$E$6:$E$505)*ROWS($A$6:A6))</x:f>
        <x:v>13020</x:v>
      </x:c>
      <x:c r="F6" s="39" t="n">
        <x:f>G6-E6</x:f>
        <x:v>-7624.4</x:v>
      </x:c>
      <x:c r="G6" s="39" t="n">
        <x:f>MAX('Fondo de Emergencia'!$C$6:$C$505)+SUM($D$6:D6)</x:f>
        <x:v>5395.6</x:v>
      </x:c>
      <x:c r="H6" s="38" t="str">
        <x:v>3 meses</x:v>
      </x:c>
      <x:c r="I6" s="35"/>
      <x:c r="J6" s="38" t="str">
        <x:v>Promedio ingresos</x:v>
      </x:c>
      <x:c r="K6" s="39" t="n">
        <x:f>B6</x:f>
        <x:v>4970</x:v>
      </x:c>
    </x:row>
    <x:row r="7">
      <x:c r="A7" s="42" t="n">
        <x:v>46204</x:v>
      </x:c>
      <x:c r="B7" s="39" t="n">
        <x:f>IFERROR(AVERAGEIF('Ahorro Mensual'!$B$6:$B$41,"&gt;0"),0)</x:f>
        <x:v>4970</x:v>
      </x:c>
      <x:c r="C7" s="39" t="n">
        <x:f>IFERROR(AVERAGEIF('Presupuesto Mensual'!$C$6:$C$23,"&gt;0"),SUM('Presupuesto Mensual'!$B$6:$B$23))</x:f>
        <x:v>374.4</x:v>
      </x:c>
      <x:c r="D7" s="39" t="n">
        <x:f>B7-C7</x:f>
        <x:v>4595.6</x:v>
      </x:c>
      <x:c r="E7" s="39" t="n">
        <x:f>MAX(0,SUM('Control de Deudas y Cuotas'!$D$6:$D$505)-SUM('Control de Deudas y Cuotas'!$E$6:$E$505)*ROWS($A$6:A7))</x:f>
        <x:v>12340</x:v>
      </x:c>
      <x:c r="F7" s="39" t="n">
        <x:f>G7-E7</x:f>
        <x:v>-2348.7999999999993</x:v>
      </x:c>
      <x:c r="G7" s="39" t="n">
        <x:f>MAX('Fondo de Emergencia'!$C$6:$C$505)+SUM($D$6:D7)</x:f>
        <x:v>9991.2</x:v>
      </x:c>
      <x:c r="H7" s="38" t="str">
        <x:v>3 meses</x:v>
      </x:c>
      <x:c r="I7" s="35"/>
      <x:c r="J7" s="38" t="str">
        <x:v>Promedio gastos</x:v>
      </x:c>
      <x:c r="K7" s="39" t="n">
        <x:f>C6</x:f>
        <x:v>374.4</x:v>
      </x:c>
    </x:row>
    <x:row r="8">
      <x:c r="A8" s="42" t="n">
        <x:v>46235</x:v>
      </x:c>
      <x:c r="B8" s="39" t="n">
        <x:f>IFERROR(AVERAGEIF('Ahorro Mensual'!$B$6:$B$41,"&gt;0"),0)</x:f>
        <x:v>4970</x:v>
      </x:c>
      <x:c r="C8" s="39" t="n">
        <x:f>IFERROR(AVERAGEIF('Presupuesto Mensual'!$C$6:$C$23,"&gt;0"),SUM('Presupuesto Mensual'!$B$6:$B$23))</x:f>
        <x:v>374.4</x:v>
      </x:c>
      <x:c r="D8" s="39" t="n">
        <x:f>B8-C8</x:f>
        <x:v>4595.6</x:v>
      </x:c>
      <x:c r="E8" s="39" t="n">
        <x:f>MAX(0,SUM('Control de Deudas y Cuotas'!$D$6:$D$505)-SUM('Control de Deudas y Cuotas'!$E$6:$E$505)*ROWS($A$6:A8))</x:f>
        <x:v>11660</x:v>
      </x:c>
      <x:c r="F8" s="39" t="n">
        <x:f>G8-E8</x:f>
        <x:v>2926.800000000001</x:v>
      </x:c>
      <x:c r="G8" s="39" t="n">
        <x:f>MAX('Fondo de Emergencia'!$C$6:$C$505)+SUM($D$6:D8)</x:f>
        <x:v>14586.800000000001</x:v>
      </x:c>
      <x:c r="H8" s="38" t="str">
        <x:v>3 meses</x:v>
      </x:c>
      <x:c r="I8" s="35"/>
      <x:c r="J8" s="38" t="str">
        <x:v>Fecha libertad de deudas</x:v>
      </x:c>
      <x:c r="K8" s="38" t="str">
        <x:f>IFERROR(INDEX($A$6:$A$17,MATCH(0,$E$6:$E$17,0)),"Más de 12 meses")</x:f>
        <x:v>Más de 12 meses</x:v>
      </x:c>
    </x:row>
    <x:row r="9">
      <x:c r="A9" s="42" t="n">
        <x:v>46266</x:v>
      </x:c>
      <x:c r="B9" s="39" t="n">
        <x:f>IFERROR(AVERAGEIF('Ahorro Mensual'!$B$6:$B$41,"&gt;0"),0)</x:f>
        <x:v>4970</x:v>
      </x:c>
      <x:c r="C9" s="39" t="n">
        <x:f>IFERROR(AVERAGEIF('Presupuesto Mensual'!$C$6:$C$23,"&gt;0"),SUM('Presupuesto Mensual'!$B$6:$B$23))</x:f>
        <x:v>374.4</x:v>
      </x:c>
      <x:c r="D9" s="39" t="n">
        <x:f>B9-C9</x:f>
        <x:v>4595.6</x:v>
      </x:c>
      <x:c r="E9" s="39" t="n">
        <x:f>MAX(0,SUM('Control de Deudas y Cuotas'!$D$6:$D$505)-SUM('Control de Deudas y Cuotas'!$E$6:$E$505)*ROWS($A$6:A9))</x:f>
        <x:v>10980</x:v>
      </x:c>
      <x:c r="F9" s="39" t="n">
        <x:f>G9-E9</x:f>
        <x:v>8202.400000000001</x:v>
      </x:c>
      <x:c r="G9" s="39" t="n">
        <x:f>MAX('Fondo de Emergencia'!$C$6:$C$505)+SUM($D$6:D9)</x:f>
        <x:v>19182.4</x:v>
      </x:c>
      <x:c r="H9" s="38" t="str">
        <x:v>6 meses</x:v>
      </x:c>
      <x:c r="I9" s="35"/>
      <x:c r="J9" s="38" t="str">
        <x:v>Crecimiento ahorro 12m</x:v>
      </x:c>
      <x:c r="K9" s="39" t="n">
        <x:f>G17-MAX('Fondo de Emergencia'!$C$6:$C$505)</x:f>
        <x:v>55147.19999999999</x:v>
      </x:c>
    </x:row>
    <x:row r="10">
      <x:c r="A10" s="42" t="n">
        <x:v>46296</x:v>
      </x:c>
      <x:c r="B10" s="39" t="n">
        <x:f>IFERROR(AVERAGEIF('Ahorro Mensual'!$B$6:$B$41,"&gt;0"),0)</x:f>
        <x:v>4970</x:v>
      </x:c>
      <x:c r="C10" s="39" t="n">
        <x:f>IFERROR(AVERAGEIF('Presupuesto Mensual'!$C$6:$C$23,"&gt;0"),SUM('Presupuesto Mensual'!$B$6:$B$23))</x:f>
        <x:v>374.4</x:v>
      </x:c>
      <x:c r="D10" s="39" t="n">
        <x:f>B10-C10</x:f>
        <x:v>4595.6</x:v>
      </x:c>
      <x:c r="E10" s="39" t="n">
        <x:f>MAX(0,SUM('Control de Deudas y Cuotas'!$D$6:$D$505)-SUM('Control de Deudas y Cuotas'!$E$6:$E$505)*ROWS($A$6:A10))</x:f>
        <x:v>10300</x:v>
      </x:c>
      <x:c r="F10" s="39" t="n">
        <x:f>G10-E10</x:f>
        <x:v>13478</x:v>
      </x:c>
      <x:c r="G10" s="39" t="n">
        <x:f>MAX('Fondo de Emergencia'!$C$6:$C$505)+SUM($D$6:D10)</x:f>
        <x:v>23778</x:v>
      </x:c>
      <x:c r="H10" s="38" t="str">
        <x:v>6 meses</x:v>
      </x:c>
      <x:c r="I10" s="35"/>
      <x:c r="J10" s="35"/>
      <x:c r="K10" s="35"/>
    </x:row>
    <x:row r="11">
      <x:c r="A11" s="42" t="n">
        <x:v>46327</x:v>
      </x:c>
      <x:c r="B11" s="39" t="n">
        <x:f>IFERROR(AVERAGEIF('Ahorro Mensual'!$B$6:$B$41,"&gt;0"),0)</x:f>
        <x:v>4970</x:v>
      </x:c>
      <x:c r="C11" s="39" t="n">
        <x:f>IFERROR(AVERAGEIF('Presupuesto Mensual'!$C$6:$C$23,"&gt;0"),SUM('Presupuesto Mensual'!$B$6:$B$23))</x:f>
        <x:v>374.4</x:v>
      </x:c>
      <x:c r="D11" s="39" t="n">
        <x:f>B11-C11</x:f>
        <x:v>4595.6</x:v>
      </x:c>
      <x:c r="E11" s="39" t="n">
        <x:f>MAX(0,SUM('Control de Deudas y Cuotas'!$D$6:$D$505)-SUM('Control de Deudas y Cuotas'!$E$6:$E$505)*ROWS($A$6:A11))</x:f>
        <x:v>9620</x:v>
      </x:c>
      <x:c r="F11" s="39" t="n">
        <x:f>G11-E11</x:f>
        <x:v>18753.6</x:v>
      </x:c>
      <x:c r="G11" s="39" t="n">
        <x:f>MAX('Fondo de Emergencia'!$C$6:$C$505)+SUM($D$6:D11)</x:f>
        <x:v>28373.6</x:v>
      </x:c>
      <x:c r="H11" s="38" t="str">
        <x:v>6 meses</x:v>
      </x:c>
      <x:c r="I11" s="35"/>
      <x:c r="J11" s="35"/>
      <x:c r="K11" s="35"/>
    </x:row>
    <x:row r="12">
      <x:c r="A12" s="42" t="n">
        <x:v>46357</x:v>
      </x:c>
      <x:c r="B12" s="39" t="n">
        <x:f>IFERROR(AVERAGEIF('Ahorro Mensual'!$B$6:$B$41,"&gt;0"),0)</x:f>
        <x:v>4970</x:v>
      </x:c>
      <x:c r="C12" s="39" t="n">
        <x:f>IFERROR(AVERAGEIF('Presupuesto Mensual'!$C$6:$C$23,"&gt;0"),SUM('Presupuesto Mensual'!$B$6:$B$23))</x:f>
        <x:v>374.4</x:v>
      </x:c>
      <x:c r="D12" s="39" t="n">
        <x:f>B12-C12</x:f>
        <x:v>4595.6</x:v>
      </x:c>
      <x:c r="E12" s="39" t="n">
        <x:f>MAX(0,SUM('Control de Deudas y Cuotas'!$D$6:$D$505)-SUM('Control de Deudas y Cuotas'!$E$6:$E$505)*ROWS($A$6:A12))</x:f>
        <x:v>8940</x:v>
      </x:c>
      <x:c r="F12" s="39" t="n">
        <x:f>G12-E12</x:f>
        <x:v>24029.199999999997</x:v>
      </x:c>
      <x:c r="G12" s="39" t="n">
        <x:f>MAX('Fondo de Emergencia'!$C$6:$C$505)+SUM($D$6:D12)</x:f>
        <x:v>32969.2</x:v>
      </x:c>
      <x:c r="H12" s="38" t="str">
        <x:v>12 meses</x:v>
      </x:c>
      <x:c r="I12" s="35"/>
      <x:c r="J12" s="35"/>
      <x:c r="K12" s="35"/>
    </x:row>
    <x:row r="13">
      <x:c r="A13" s="42" t="n">
        <x:v>46388</x:v>
      </x:c>
      <x:c r="B13" s="39" t="n">
        <x:f>IFERROR(AVERAGEIF('Ahorro Mensual'!$B$6:$B$41,"&gt;0"),0)</x:f>
        <x:v>4970</x:v>
      </x:c>
      <x:c r="C13" s="39" t="n">
        <x:f>IFERROR(AVERAGEIF('Presupuesto Mensual'!$C$6:$C$23,"&gt;0"),SUM('Presupuesto Mensual'!$B$6:$B$23))</x:f>
        <x:v>374.4</x:v>
      </x:c>
      <x:c r="D13" s="39" t="n">
        <x:f>B13-C13</x:f>
        <x:v>4595.6</x:v>
      </x:c>
      <x:c r="E13" s="39" t="n">
        <x:f>MAX(0,SUM('Control de Deudas y Cuotas'!$D$6:$D$505)-SUM('Control de Deudas y Cuotas'!$E$6:$E$505)*ROWS($A$6:A13))</x:f>
        <x:v>8260</x:v>
      </x:c>
      <x:c r="F13" s="39" t="n">
        <x:f>G13-E13</x:f>
        <x:v>29304.799999999996</x:v>
      </x:c>
      <x:c r="G13" s="39" t="n">
        <x:f>MAX('Fondo de Emergencia'!$C$6:$C$505)+SUM($D$6:D13)</x:f>
        <x:v>37564.799999999996</x:v>
      </x:c>
      <x:c r="H13" s="38" t="str">
        <x:v>12 meses</x:v>
      </x:c>
      <x:c r="I13" s="35"/>
      <x:c r="J13" s="35"/>
      <x:c r="K13" s="35"/>
    </x:row>
    <x:row r="14">
      <x:c r="A14" s="42" t="n">
        <x:v>46419</x:v>
      </x:c>
      <x:c r="B14" s="39" t="n">
        <x:f>IFERROR(AVERAGEIF('Ahorro Mensual'!$B$6:$B$41,"&gt;0"),0)</x:f>
        <x:v>4970</x:v>
      </x:c>
      <x:c r="C14" s="39" t="n">
        <x:f>IFERROR(AVERAGEIF('Presupuesto Mensual'!$C$6:$C$23,"&gt;0"),SUM('Presupuesto Mensual'!$B$6:$B$23))</x:f>
        <x:v>374.4</x:v>
      </x:c>
      <x:c r="D14" s="39" t="n">
        <x:f>B14-C14</x:f>
        <x:v>4595.6</x:v>
      </x:c>
      <x:c r="E14" s="39" t="n">
        <x:f>MAX(0,SUM('Control de Deudas y Cuotas'!$D$6:$D$505)-SUM('Control de Deudas y Cuotas'!$E$6:$E$505)*ROWS($A$6:A14))</x:f>
        <x:v>7580</x:v>
      </x:c>
      <x:c r="F14" s="39" t="n">
        <x:f>G14-E14</x:f>
        <x:v>34580.399999999994</x:v>
      </x:c>
      <x:c r="G14" s="39" t="n">
        <x:f>MAX('Fondo de Emergencia'!$C$6:$C$505)+SUM($D$6:D14)</x:f>
        <x:v>42160.399999999994</x:v>
      </x:c>
      <x:c r="H14" s="38" t="str">
        <x:v>12 meses</x:v>
      </x:c>
      <x:c r="I14" s="35"/>
      <x:c r="J14" s="35"/>
      <x:c r="K14" s="35"/>
    </x:row>
    <x:row r="15">
      <x:c r="A15" s="42" t="n">
        <x:v>46447</x:v>
      </x:c>
      <x:c r="B15" s="39" t="n">
        <x:f>IFERROR(AVERAGEIF('Ahorro Mensual'!$B$6:$B$41,"&gt;0"),0)</x:f>
        <x:v>4970</x:v>
      </x:c>
      <x:c r="C15" s="39" t="n">
        <x:f>IFERROR(AVERAGEIF('Presupuesto Mensual'!$C$6:$C$23,"&gt;0"),SUM('Presupuesto Mensual'!$B$6:$B$23))</x:f>
        <x:v>374.4</x:v>
      </x:c>
      <x:c r="D15" s="39" t="n">
        <x:f>B15-C15</x:f>
        <x:v>4595.6</x:v>
      </x:c>
      <x:c r="E15" s="39" t="n">
        <x:f>MAX(0,SUM('Control de Deudas y Cuotas'!$D$6:$D$505)-SUM('Control de Deudas y Cuotas'!$E$6:$E$505)*ROWS($A$6:A15))</x:f>
        <x:v>6900</x:v>
      </x:c>
      <x:c r="F15" s="39" t="n">
        <x:f>G15-E15</x:f>
        <x:v>39855.99999999999</x:v>
      </x:c>
      <x:c r="G15" s="39" t="n">
        <x:f>MAX('Fondo de Emergencia'!$C$6:$C$505)+SUM($D$6:D15)</x:f>
        <x:v>46755.99999999999</x:v>
      </x:c>
      <x:c r="H15" s="38" t="str">
        <x:v>12 meses</x:v>
      </x:c>
      <x:c r="I15" s="35"/>
      <x:c r="J15" s="35"/>
      <x:c r="K15" s="35"/>
    </x:row>
    <x:row r="16">
      <x:c r="A16" s="42" t="n">
        <x:v>46478</x:v>
      </x:c>
      <x:c r="B16" s="39" t="n">
        <x:f>IFERROR(AVERAGEIF('Ahorro Mensual'!$B$6:$B$41,"&gt;0"),0)</x:f>
        <x:v>4970</x:v>
      </x:c>
      <x:c r="C16" s="39" t="n">
        <x:f>IFERROR(AVERAGEIF('Presupuesto Mensual'!$C$6:$C$23,"&gt;0"),SUM('Presupuesto Mensual'!$B$6:$B$23))</x:f>
        <x:v>374.4</x:v>
      </x:c>
      <x:c r="D16" s="39" t="n">
        <x:f>B16-C16</x:f>
        <x:v>4595.6</x:v>
      </x:c>
      <x:c r="E16" s="39" t="n">
        <x:f>MAX(0,SUM('Control de Deudas y Cuotas'!$D$6:$D$505)-SUM('Control de Deudas y Cuotas'!$E$6:$E$505)*ROWS($A$6:A16))</x:f>
        <x:v>6220</x:v>
      </x:c>
      <x:c r="F16" s="39" t="n">
        <x:f>G16-E16</x:f>
        <x:v>45131.59999999999</x:v>
      </x:c>
      <x:c r="G16" s="39" t="n">
        <x:f>MAX('Fondo de Emergencia'!$C$6:$C$505)+SUM($D$6:D16)</x:f>
        <x:v>51351.59999999999</x:v>
      </x:c>
      <x:c r="H16" s="38" t="str">
        <x:v>12 meses</x:v>
      </x:c>
      <x:c r="I16" s="35"/>
      <x:c r="J16" s="35"/>
      <x:c r="K16" s="35"/>
    </x:row>
    <x:row r="17">
      <x:c r="A17" s="42" t="n">
        <x:v>46508</x:v>
      </x:c>
      <x:c r="B17" s="39" t="n">
        <x:f>IFERROR(AVERAGEIF('Ahorro Mensual'!$B$6:$B$41,"&gt;0"),0)</x:f>
        <x:v>4970</x:v>
      </x:c>
      <x:c r="C17" s="39" t="n">
        <x:f>IFERROR(AVERAGEIF('Presupuesto Mensual'!$C$6:$C$23,"&gt;0"),SUM('Presupuesto Mensual'!$B$6:$B$23))</x:f>
        <x:v>374.4</x:v>
      </x:c>
      <x:c r="D17" s="39" t="n">
        <x:f>B17-C17</x:f>
        <x:v>4595.6</x:v>
      </x:c>
      <x:c r="E17" s="39" t="n">
        <x:f>MAX(0,SUM('Control de Deudas y Cuotas'!$D$6:$D$505)-SUM('Control de Deudas y Cuotas'!$E$6:$E$505)*ROWS($A$6:A17))</x:f>
        <x:v>5540</x:v>
      </x:c>
      <x:c r="F17" s="39" t="n">
        <x:f>G17-E17</x:f>
        <x:v>50407.19999999999</x:v>
      </x:c>
      <x:c r="G17" s="39" t="n">
        <x:f>MAX('Fondo de Emergencia'!$C$6:$C$505)+SUM($D$6:D17)</x:f>
        <x:v>55947.19999999999</x:v>
      </x:c>
      <x:c r="H17" s="38" t="str">
        <x:v>12 meses</x:v>
      </x:c>
      <x:c r="I17" s="35"/>
      <x:c r="J17" s="35"/>
      <x:c r="K17" s="3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9904333df994f33"/>
  <x:tableParts count="1">
    <x:tablePart xmlns:r="http://schemas.openxmlformats.org/officeDocument/2006/relationships" r:id="R622038b0079a4ae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</x:cols>
  <x:sheetData>
    <x:row r="1" ht="28.5" customHeight="1">
      <x:c r="A1" s="34" t="str">
        <x:v>Configuración</x:v>
      </x:c>
      <x:c r="B1" s="34" t="str">
        <x:v>Configuración</x:v>
      </x:c>
      <x:c r="C1" s="34" t="str">
        <x:v>Configuración</x:v>
      </x:c>
      <x:c r="D1" s="34" t="str">
        <x:v>Configuración</x:v>
      </x:c>
      <x:c r="E1" s="34" t="str">
        <x:v>Configuración</x:v>
      </x:c>
      <x:c r="F1" s="34" t="str">
        <x:v>Configuración</x:v>
      </x:c>
      <x:c r="G1" s="34" t="str">
        <x:v>Configuración</x:v>
      </x:c>
      <x:c r="H1" s="34" t="str">
        <x:v>Configuración</x:v>
      </x:c>
      <x:c r="I1" s="34" t="str">
        <x:v>Configuración</x:v>
      </x:c>
      <x:c r="J1" s="34" t="str">
        <x:v>Configuración</x:v>
      </x:c>
    </x:row>
    <x:row r="2" ht="19.5" customHeight="1">
      <x:c r="A2" s="36" t="str">
        <x:v>Edita estas listas para actualizar los menús desplegables y objetivos del sistema.</x:v>
      </x:c>
      <x:c r="B2" s="36" t="str">
        <x:v>Edita estas listas para actualizar los menús desplegables y objetivos del sistema.</x:v>
      </x:c>
      <x:c r="C2" s="36" t="str">
        <x:v>Edita estas listas para actualizar los menús desplegables y objetivos del sistema.</x:v>
      </x:c>
      <x:c r="D2" s="36" t="str">
        <x:v>Edita estas listas para actualizar los menús desplegables y objetivos del sistema.</x:v>
      </x:c>
      <x:c r="E2" s="36" t="str">
        <x:v>Edita estas listas para actualizar los menús desplegables y objetivos del sistema.</x:v>
      </x:c>
      <x:c r="F2" s="36" t="str">
        <x:v>Edita estas listas para actualizar los menús desplegables y objetivos del sistema.</x:v>
      </x:c>
      <x:c r="G2" s="36" t="str">
        <x:v>Edita estas listas para actualizar los menús desplegables y objetivos del sistema.</x:v>
      </x:c>
      <x:c r="H2" s="36" t="str">
        <x:v>Edita estas listas para actualizar los menús desplegables y objetivos del sistema.</x:v>
      </x:c>
      <x:c r="I2" s="36" t="str">
        <x:v>Edita estas listas para actualizar los menús desplegables y objetivos del sistema.</x:v>
      </x:c>
      <x:c r="J2" s="36" t="str">
        <x:v>Edita estas listas para actualizar los menús desplegables y objetivos del sistema.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A4" s="49" t="str">
        <x:v>Categorías de ingreso</x:v>
      </x:c>
      <x:c r="B4" s="49" t="str">
        <x:v>Categorías de gasto</x:v>
      </x:c>
      <x:c r="C4" s="49" t="str">
        <x:v>Subcategorías</x:v>
      </x:c>
      <x:c r="D4" s="49" t="str">
        <x:v>Responsables</x:v>
      </x:c>
      <x:c r="E4" s="49" t="str">
        <x:v>Métodos de pago</x:v>
      </x:c>
      <x:c r="F4" s="49" t="str">
        <x:v>Estados pago</x:v>
      </x:c>
      <x:c r="G4" s="49" t="str">
        <x:v>Frecuencias</x:v>
      </x:c>
      <x:c r="H4" s="49" t="str">
        <x:v>Prioridades</x:v>
      </x:c>
      <x:c r="I4" s="49" t="str">
        <x:v>Estados tarea</x:v>
      </x:c>
      <x:c r="J4" s="49" t="str">
        <x:v>Categorías metas</x:v>
      </x:c>
    </x:row>
    <x:row r="5">
      <x:c r="A5" s="50" t="str">
        <x:v>Salario</x:v>
      </x:c>
      <x:c r="B5" s="50" t="str">
        <x:v>Renta/Hipoteca</x:v>
      </x:c>
      <x:c r="C5" s="50" t="str">
        <x:v>Alquiler</x:v>
      </x:c>
      <x:c r="D5" s="50" t="str">
        <x:v>Persona 1</x:v>
      </x:c>
      <x:c r="E5" s="50" t="str">
        <x:v>Efectivo</x:v>
      </x:c>
      <x:c r="F5" s="50" t="str">
        <x:v>Pagado</x:v>
      </x:c>
      <x:c r="G5" s="50" t="str">
        <x:v>Semanal</x:v>
      </x:c>
      <x:c r="H5" s="50" t="str">
        <x:v>Alta</x:v>
      </x:c>
      <x:c r="I5" s="50" t="str">
        <x:v>Pendiente</x:v>
      </x:c>
      <x:c r="J5" s="50" t="str">
        <x:v>Viajes</x:v>
      </x:c>
    </x:row>
    <x:row r="6">
      <x:c r="A6" s="50" t="str">
        <x:v>Negocio</x:v>
      </x:c>
      <x:c r="B6" s="50" t="str">
        <x:v>Agua</x:v>
      </x:c>
      <x:c r="C6" s="50" t="str">
        <x:v>Servicios</x:v>
      </x:c>
      <x:c r="D6" s="50" t="str">
        <x:v>Persona 2</x:v>
      </x:c>
      <x:c r="E6" s="50" t="str">
        <x:v>Débito</x:v>
      </x:c>
      <x:c r="F6" s="50" t="str">
        <x:v>Pendiente</x:v>
      </x:c>
      <x:c r="G6" s="50" t="str">
        <x:v>Mensual</x:v>
      </x:c>
      <x:c r="H6" s="50" t="str">
        <x:v>Media</x:v>
      </x:c>
      <x:c r="I6" s="50" t="str">
        <x:v>En proceso</x:v>
      </x:c>
      <x:c r="J6" s="50" t="str">
        <x:v>Casa</x:v>
      </x:c>
    </x:row>
    <x:row r="7">
      <x:c r="A7" s="50" t="str">
        <x:v>Freelance</x:v>
      </x:c>
      <x:c r="B7" s="50" t="str">
        <x:v>Electricidad</x:v>
      </x:c>
      <x:c r="C7" s="50" t="str">
        <x:v>Supermercado</x:v>
      </x:c>
      <x:c r="D7" s="50" t="str">
        <x:v>Familia</x:v>
      </x:c>
      <x:c r="E7" s="50" t="str">
        <x:v>Crédito</x:v>
      </x:c>
      <x:c r="F7" s="50"/>
      <x:c r="G7" s="50" t="str">
        <x:v>Bimestral</x:v>
      </x:c>
      <x:c r="H7" s="50" t="str">
        <x:v>Baja</x:v>
      </x:c>
      <x:c r="I7" s="50" t="str">
        <x:v>Completada</x:v>
      </x:c>
      <x:c r="J7" s="50" t="str">
        <x:v>Vehículo</x:v>
      </x:c>
    </x:row>
    <x:row r="8">
      <x:c r="A8" s="50" t="str">
        <x:v>Inversiones</x:v>
      </x:c>
      <x:c r="B8" s="50" t="str">
        <x:v>Gas</x:v>
      </x:c>
      <x:c r="C8" s="50" t="str">
        <x:v>Transporte público</x:v>
      </x:c>
      <x:c r="D8" s="50"/>
      <x:c r="E8" s="50" t="str">
        <x:v>Transferencia</x:v>
      </x:c>
      <x:c r="F8" s="50"/>
      <x:c r="G8" s="50" t="str">
        <x:v>Trimestral</x:v>
      </x:c>
      <x:c r="H8" s="50"/>
      <x:c r="I8" s="50"/>
      <x:c r="J8" s="50" t="str">
        <x:v>Estudios</x:v>
      </x:c>
    </x:row>
    <x:row r="9">
      <x:c r="A9" s="50" t="str">
        <x:v>Alquileres</x:v>
      </x:c>
      <x:c r="B9" s="50" t="str">
        <x:v>Internet</x:v>
      </x:c>
      <x:c r="C9" s="50" t="str">
        <x:v>Gasolina</x:v>
      </x:c>
      <x:c r="D9" s="50"/>
      <x:c r="E9" s="50" t="str">
        <x:v>Pago automático</x:v>
      </x:c>
      <x:c r="F9" s="50"/>
      <x:c r="G9" s="50" t="str">
        <x:v>Semestral</x:v>
      </x:c>
      <x:c r="H9" s="50"/>
      <x:c r="I9" s="50"/>
      <x:c r="J9" s="50" t="str">
        <x:v>Negocio</x:v>
      </x:c>
    </x:row>
    <x:row r="10">
      <x:c r="A10" s="50" t="str">
        <x:v>Bonificaciones</x:v>
      </x:c>
      <x:c r="B10" s="50" t="str">
        <x:v>Teléfono</x:v>
      </x:c>
      <x:c r="C10" s="50" t="str">
        <x:v>Medicamentos</x:v>
      </x:c>
      <x:c r="D10" s="50"/>
      <x:c r="E10" s="50" t="str">
        <x:v>Otros</x:v>
      </x:c>
      <x:c r="F10" s="50"/>
      <x:c r="G10" s="50" t="str">
        <x:v>Anual</x:v>
      </x:c>
      <x:c r="H10" s="50"/>
      <x:c r="I10" s="50"/>
      <x:c r="J10" s="50" t="str">
        <x:v>Jubilación</x:v>
      </x:c>
    </x:row>
    <x:row r="11">
      <x:c r="A11" s="50" t="str">
        <x:v>Otros</x:v>
      </x:c>
      <x:c r="B11" s="50" t="str">
        <x:v>Mercado</x:v>
      </x:c>
      <x:c r="C11" s="50" t="str">
        <x:v>Colegio</x:v>
      </x:c>
      <x:c r="D11" s="50"/>
      <x:c r="E11" s="50"/>
      <x:c r="F11" s="50"/>
      <x:c r="G11" s="50"/>
      <x:c r="H11" s="50"/>
      <x:c r="I11" s="50"/>
      <x:c r="J11" s="50" t="str">
        <x:v>Otros</x:v>
      </x:c>
    </x:row>
    <x:row r="12">
      <x:c r="A12" s="50"/>
      <x:c r="B12" s="50" t="str">
        <x:v>Transporte</x:v>
      </x:c>
      <x:c r="C12" s="50" t="str">
        <x:v>Veterinario</x:v>
      </x:c>
      <x:c r="D12" s="50"/>
      <x:c r="E12" s="50"/>
      <x:c r="F12" s="50"/>
      <x:c r="G12" s="50"/>
      <x:c r="H12" s="50"/>
      <x:c r="I12" s="50"/>
      <x:c r="J12" s="50"/>
    </x:row>
    <x:row r="13">
      <x:c r="A13" s="50"/>
      <x:c r="B13" s="50" t="str">
        <x:v>Combustible</x:v>
      </x:c>
      <x:c r="C13" s="50" t="str">
        <x:v>Ocio</x:v>
      </x:c>
      <x:c r="D13" s="50"/>
      <x:c r="E13" s="50"/>
      <x:c r="F13" s="50"/>
      <x:c r="G13" s="50"/>
      <x:c r="H13" s="50"/>
      <x:c r="I13" s="50"/>
      <x:c r="J13" s="50"/>
    </x:row>
    <x:row r="14">
      <x:c r="A14" s="50"/>
      <x:c r="B14" s="50" t="str">
        <x:v>Salud</x:v>
      </x:c>
      <x:c r="C14" s="50" t="str">
        <x:v>Streaming</x:v>
      </x:c>
      <x:c r="D14" s="50"/>
      <x:c r="E14" s="50"/>
      <x:c r="F14" s="50"/>
      <x:c r="G14" s="50"/>
      <x:c r="H14" s="50"/>
      <x:c r="I14" s="50"/>
      <x:c r="J14" s="50"/>
    </x:row>
    <x:row r="15">
      <x:c r="A15" s="50"/>
      <x:c r="B15" s="50" t="str">
        <x:v>Educación</x:v>
      </x:c>
      <x:c r="C15" s="50" t="str">
        <x:v>Reparaciones</x:v>
      </x:c>
      <x:c r="D15" s="50"/>
      <x:c r="E15" s="50"/>
      <x:c r="F15" s="50"/>
      <x:c r="G15" s="50"/>
      <x:c r="H15" s="50"/>
      <x:c r="I15" s="50"/>
      <x:c r="J15" s="50"/>
    </x:row>
    <x:row r="16">
      <x:c r="A16" s="50"/>
      <x:c r="B16" s="50" t="str">
        <x:v>Mascotas</x:v>
      </x:c>
      <x:c r="C16" s="50" t="str">
        <x:v>Emergencia</x:v>
      </x:c>
      <x:c r="D16" s="50"/>
      <x:c r="E16" s="50"/>
      <x:c r="F16" s="50"/>
      <x:c r="G16" s="50"/>
      <x:c r="H16" s="50"/>
      <x:c r="I16" s="50"/>
      <x:c r="J16" s="50"/>
    </x:row>
    <x:row r="17">
      <x:c r="A17" s="50"/>
      <x:c r="B17" s="50" t="str">
        <x:v>Entretenimiento</x:v>
      </x:c>
      <x:c r="C17" s="50" t="str">
        <x:v>Otros</x:v>
      </x:c>
      <x:c r="D17" s="50"/>
      <x:c r="E17" s="50"/>
      <x:c r="F17" s="50"/>
      <x:c r="G17" s="50"/>
      <x:c r="H17" s="50"/>
      <x:c r="I17" s="50"/>
      <x:c r="J17" s="50"/>
    </x:row>
    <x:row r="18">
      <x:c r="A18" s="50"/>
      <x:c r="B18" s="50" t="str">
        <x:v>Impuestos</x:v>
      </x:c>
      <x:c r="C18" s="50"/>
      <x:c r="D18" s="50"/>
      <x:c r="E18" s="50"/>
      <x:c r="F18" s="50"/>
      <x:c r="G18" s="50"/>
      <x:c r="H18" s="50"/>
      <x:c r="I18" s="50"/>
      <x:c r="J18" s="50"/>
    </x:row>
    <x:row r="19">
      <x:c r="A19" s="50"/>
      <x:c r="B19" s="50" t="str">
        <x:v>Seguros</x:v>
      </x:c>
      <x:c r="C19" s="50"/>
      <x:c r="D19" s="50"/>
      <x:c r="E19" s="50"/>
      <x:c r="F19" s="50"/>
      <x:c r="G19" s="50"/>
      <x:c r="H19" s="50"/>
      <x:c r="I19" s="50"/>
      <x:c r="J19" s="50"/>
    </x:row>
    <x:row r="20">
      <x:c r="A20" s="50"/>
      <x:c r="B20" s="50" t="str">
        <x:v>Mantenimiento</x:v>
      </x:c>
      <x:c r="C20" s="50"/>
      <x:c r="D20" s="50"/>
      <x:c r="E20" s="50"/>
      <x:c r="F20" s="50"/>
      <x:c r="G20" s="50"/>
      <x:c r="H20" s="50"/>
      <x:c r="I20" s="50"/>
      <x:c r="J20" s="50"/>
    </x:row>
    <x:row r="21">
      <x:c r="A21" s="50"/>
      <x:c r="B21" s="50" t="str">
        <x:v>Suscripciones</x:v>
      </x:c>
      <x:c r="C21" s="50"/>
      <x:c r="D21" s="50"/>
      <x:c r="E21" s="50"/>
      <x:c r="F21" s="50"/>
      <x:c r="G21" s="50"/>
      <x:c r="H21" s="50"/>
      <x:c r="I21" s="50"/>
      <x:c r="J21" s="50"/>
    </x:row>
    <x:row r="22">
      <x:c r="A22" s="50"/>
      <x:c r="B22" s="50" t="str">
        <x:v>Otros</x:v>
      </x:c>
      <x:c r="C22" s="50"/>
      <x:c r="D22" s="50"/>
      <x:c r="E22" s="50"/>
      <x:c r="F22" s="50"/>
      <x:c r="G22" s="50"/>
      <x:c r="H22" s="50"/>
      <x:c r="I22" s="50"/>
      <x:c r="J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</x:row>
    <x:row r="28">
      <x:c r="A28" s="37" t="str">
        <x:v>Objetivo financiero</x:v>
      </x:c>
      <x:c r="B28" s="37" t="str">
        <x:v>Valor</x:v>
      </x:c>
      <x:c r="C28" s="37" t="str">
        <x:v>Unidad</x:v>
      </x:c>
      <x:c r="D28" s="37" t="str">
        <x:v>Notas</x:v>
      </x:c>
      <x:c r="E28" s="35"/>
      <x:c r="F28" s="35"/>
      <x:c r="G28" s="35"/>
      <x:c r="H28" s="35"/>
      <x:c r="I28" s="35"/>
      <x:c r="J28" s="35"/>
    </x:row>
    <x:row r="29">
      <x:c r="A29" s="38" t="str">
        <x:v>Meses fondo emergencia base</x:v>
      </x:c>
      <x:c r="B29" s="38" t="n">
        <x:v>3</x:v>
      </x:c>
      <x:c r="C29" s="38" t="str">
        <x:v>meses</x:v>
      </x:c>
      <x:c r="D29" s="38" t="str">
        <x:v>Mínimo recomendado</x:v>
      </x:c>
      <x:c r="E29" s="35"/>
      <x:c r="F29" s="35"/>
      <x:c r="G29" s="35"/>
      <x:c r="H29" s="35"/>
      <x:c r="I29" s="35"/>
      <x:c r="J29" s="35"/>
    </x:row>
    <x:row r="30">
      <x:c r="A30" s="38" t="str">
        <x:v>Meses fondo emergencia ideal</x:v>
      </x:c>
      <x:c r="B30" s="38" t="n">
        <x:v>6</x:v>
      </x:c>
      <x:c r="C30" s="38" t="str">
        <x:v>meses</x:v>
      </x:c>
      <x:c r="D30" s="38" t="str">
        <x:v>Cobertura saludable</x:v>
      </x:c>
      <x:c r="E30" s="35"/>
      <x:c r="F30" s="35"/>
      <x:c r="G30" s="35"/>
      <x:c r="H30" s="35"/>
      <x:c r="I30" s="35"/>
      <x:c r="J30" s="35"/>
    </x:row>
    <x:row r="31">
      <x:c r="A31" s="38" t="str">
        <x:v>Meses fondo emergencia excelente</x:v>
      </x:c>
      <x:c r="B31" s="38" t="n">
        <x:v>12</x:v>
      </x:c>
      <x:c r="C31" s="38" t="str">
        <x:v>meses</x:v>
      </x:c>
      <x:c r="D31" s="38" t="str">
        <x:v>Cobertura robusta</x:v>
      </x:c>
      <x:c r="E31" s="35"/>
      <x:c r="F31" s="35"/>
      <x:c r="G31" s="35"/>
      <x:c r="H31" s="35"/>
      <x:c r="I31" s="35"/>
      <x:c r="J31" s="35"/>
    </x:row>
    <x:row r="32">
      <x:c r="A32" s="38" t="str">
        <x:v>Uso saludable tarjeta</x:v>
      </x:c>
      <x:c r="B32" s="40" t="n">
        <x:v>0.3</x:v>
      </x:c>
      <x:c r="C32" s="38" t="str">
        <x:v>% del límite</x:v>
      </x:c>
      <x:c r="D32" s="38" t="str">
        <x:v>Alerta verde hasta 30%</x:v>
      </x:c>
      <x:c r="E32" s="35"/>
      <x:c r="F32" s="35"/>
      <x:c r="G32" s="35"/>
      <x:c r="H32" s="35"/>
      <x:c r="I32" s="35"/>
      <x:c r="J32" s="35"/>
    </x:row>
    <x:row r="33">
      <x:c r="A33" s="38" t="str">
        <x:v>Uso atención tarjeta</x:v>
      </x:c>
      <x:c r="B33" s="40" t="n">
        <x:v>0.5</x:v>
      </x:c>
      <x:c r="C33" s="38" t="str">
        <x:v>% del límite</x:v>
      </x:c>
      <x:c r="D33" s="38" t="str">
        <x:v>Alerta amarilla hasta 50%</x:v>
      </x:c>
      <x:c r="E33" s="35"/>
      <x:c r="F33" s="35"/>
      <x:c r="G33" s="35"/>
      <x:c r="H33" s="35"/>
      <x:c r="I33" s="35"/>
      <x:c r="J33" s="35"/>
    </x:row>
    <x:row r="34">
      <x:c r="A34" s="38" t="str">
        <x:v>Uso riesgo tarjeta</x:v>
      </x:c>
      <x:c r="B34" s="40" t="n">
        <x:v>0.8</x:v>
      </x:c>
      <x:c r="C34" s="38" t="str">
        <x:v>% del límite</x:v>
      </x:c>
      <x:c r="D34" s="38" t="str">
        <x:v>Alerta roja desde 80%</x:v>
      </x:c>
      <x:c r="E34" s="35"/>
      <x:c r="F34" s="35"/>
      <x:c r="G34" s="35"/>
      <x:c r="H34" s="35"/>
      <x:c r="I34" s="35"/>
      <x:c r="J34" s="35"/>
    </x:row>
  </x:sheetData>
  <x:mergeCells>
    <x:mergeCell ref="A1:J1"/>
    <x:mergeCell ref="A2:J2"/>
  </x:mergeCells>
  <x:pageMargins left="0.7" right="0.7" top="0.75" bottom="0.75" header="0.3" footer="0.3"/>
</x:worksheet>
</file>