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e5732b322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8ac380868234431"/>
    <x:sheet xmlns:r="http://schemas.openxmlformats.org/officeDocument/2006/relationships" name="Movimientos" sheetId="2" r:id="R78c5036980bb41bf"/>
    <x:sheet xmlns:r="http://schemas.openxmlformats.org/officeDocument/2006/relationships" name="Pagos recurrentes" sheetId="3" r:id="R58e0c828aea34290"/>
    <x:sheet xmlns:r="http://schemas.openxmlformats.org/officeDocument/2006/relationships" name="Mercado" sheetId="4" r:id="Rc100d7f627e6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$#,##0.00;[Red]-$#,##0.00;&quot;-&quot;"/>
    <x:numFmt numFmtId="202" formatCode="0.0%"/>
  </x:numFmts>
  <x:fonts count="16">
    <x:font>
      <x:sz val="11"/>
      <x:name val="Carlito"/>
    </x:font>
    <x:font>
      <x:b/>
      <x:sz val="19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sz val="11"/>
      <x:color rgb="FFFFFFFF"/>
      <x:name val="Carlito"/>
    </x:font>
    <x:font>
      <x:b/>
      <x:sz val="14"/>
      <x:color rgb="FF0F172A"/>
      <x:name val="Carlito"/>
    </x:font>
    <x:font>
      <x:b/>
      <x:sz val="18"/>
      <x:color rgb="FF0F172A"/>
      <x:name val="Carlito"/>
    </x:font>
    <x:font>
      <x:b/>
      <x:sz val="19"/>
      <x:color rgb="FFFFFFFF"/>
      <x:name val="Aptos"/>
    </x:font>
    <x:font>
      <x:sz val="11"/>
      <x:name val="Aptos"/>
    </x:font>
    <x:font>
      <x:i/>
      <x:sz val="11"/>
      <x:color rgb="FF334155"/>
      <x:name val="Aptos"/>
    </x:font>
    <x:font>
      <x:b/>
      <x:sz val="11"/>
      <x:color rgb="FFFFFFFF"/>
      <x:name val="Aptos"/>
    </x:font>
    <x:font>
      <x:sz val="11"/>
      <x:color rgb="FF0F172A"/>
      <x:name val="Aptos"/>
    </x:font>
    <x:font>
      <x:sz val="11"/>
      <x:color rgb="FFFFFFFF"/>
      <x:name val="Aptos"/>
    </x:font>
    <x:font>
      <x:b/>
      <x:sz val="14"/>
      <x:color rgb="FF0F172A"/>
      <x:name val="Aptos"/>
    </x:font>
    <x:font>
      <x:b/>
      <x:sz val="18"/>
      <x:color rgb="FF0F172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1" fontId="4" fillId="4" borderId="2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2" fontId="4" fillId="4" borderId="2" xfId="0" applyNumberFormat="1" applyFont="1" applyFill="1" applyBorder="1" applyAlignment="1">
      <x:alignment vertical="center" wrapText="1"/>
    </x:xf>
    <x:xf numFmtId="201" fontId="6" fillId="4" borderId="2" xfId="0" applyNumberFormat="1" applyFont="1" applyFill="1" applyBorder="1" applyAlignment="1">
      <x:alignment vertical="center" wrapText="1"/>
    </x:xf>
    <x:xf numFmtId="202" fontId="6" fillId="4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201" fontId="6" fillId="4" borderId="2" xfId="0" applyNumberFormat="1" applyFont="1" applyFill="1" applyBorder="1" applyAlignment="1">
      <x:alignment horizontal="center" vertical="center" wrapText="1"/>
    </x:xf>
    <x:xf numFmtId="202" fontId="6" fillId="4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3" fillId="4" borderId="2" xfId="0" applyNumberFormat="1" applyFont="1" applyFill="1" applyBorder="1" applyAlignment="1">
      <x:alignment vertical="center" wrapText="1"/>
    </x:xf>
    <x:xf numFmtId="201" fontId="14" fillId="4" borderId="2" xfId="0" applyNumberFormat="1" applyFont="1" applyFill="1" applyBorder="1" applyAlignment="1">
      <x:alignment horizontal="center" vertical="center" wrapText="1"/>
    </x:xf>
    <x:xf numFmtId="202" fontId="14" fillId="4" borderId="2" xfId="0" applyNumberFormat="1" applyFont="1" applyFill="1" applyBorder="1" applyAlignment="1">
      <x:alignment horizontal="center" vertical="center" wrapText="1"/>
    </x:xf>
    <x:xf numFmtId="0" fontId="14" fillId="4" borderId="2" xfId="0" applyNumberFormat="1" applyFont="1" applyFill="1" applyBorder="1" applyAlignment="1">
      <x:alignment horizontal="center" vertical="center" wrapText="1"/>
    </x:xf>
    <x:xf numFmtId="0" fontId="15" fillId="4" borderId="2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/>
    <x:xf numFmtId="201" fontId="12" fillId="4" borderId="2" xfId="0" applyNumberFormat="1" applyFont="1" applyFill="1" applyBorder="1" applyAlignment="1">
      <x:alignment vertical="center" wrapText="1"/>
    </x:xf>
    <x:xf numFmtId="202" fontId="12" fillId="4" borderId="2" xfId="0" applyNumberFormat="1" applyFont="1" applyFill="1" applyBorder="1" applyAlignment="1">
      <x:alignment vertical="center" wrapText="1"/>
    </x:xf>
    <x:xf numFmtId="200" fontId="12" fillId="4" borderId="2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616f1f30f4b89" /><Relationship Type="http://schemas.openxmlformats.org/officeDocument/2006/relationships/theme" Target="/xl/theme/theme1.xml" Id="Ra0c6b0ae19604a97" /><Relationship Type="http://schemas.openxmlformats.org/officeDocument/2006/relationships/sharedStrings" Target="/xl/sharedStrings.xml" Id="Rc2e69801f81c4685" /><Relationship Type="http://schemas.openxmlformats.org/officeDocument/2006/relationships/worksheet" Target="/xl/worksheets/sheet1.xml" Id="Re8ac380868234431" /><Relationship Type="http://schemas.openxmlformats.org/officeDocument/2006/relationships/worksheet" Target="/xl/worksheets/sheet2.xml" Id="R78c5036980bb41bf" /><Relationship Type="http://schemas.openxmlformats.org/officeDocument/2006/relationships/worksheet" Target="/xl/worksheets/sheet3.xml" Id="R58e0c828aea34290" /><Relationship Type="http://schemas.openxmlformats.org/officeDocument/2006/relationships/worksheet" Target="/xl/worksheets/sheet4.xml" Id="Rc100d7f627e642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cdd78f4d6c4c06" /><Relationship Type="http://schemas.openxmlformats.org/officeDocument/2006/relationships/chart" Target="/xl/drawings/charts/chart2.xml" Id="Rd5abb436872c4eb3" /><Relationship Type="http://schemas.openxmlformats.org/officeDocument/2006/relationships/chart" Target="/xl/drawings/charts/chart3.xml" Id="Ra027eac3c72e4f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por categoría del mes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Gasto del mes</c:v>
          </c:tx>
          <c:cat>
            <c:strRef>
              <c:f>'Dashboard'!$A$12:$A$25</c:f>
              <c:strCache>
                <c:ptCount val="0"/>
              </c:strCache>
            </c:strRef>
          </c:cat>
          <c:val>
            <c:numRef>
              <c:f>'Dashboard'!$B$12:$B$25</c:f>
              <c:numCache>
                <c:formatCode>$#,##0.00;[Red]-$#,##0.00;"-"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Gastos fijos vs variables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Monto</c:v>
          </c:tx>
          <c:cat>
            <c:strRef>
              <c:f>'Dashboard'!$E$12:$E$13</c:f>
              <c:strCache>
                <c:ptCount val="0"/>
              </c:strCache>
            </c:strRef>
          </c:cat>
          <c:val>
            <c:numRef>
              <c:f>'Dashboard'!$F$12:$F$13</c:f>
              <c:numCache>
                <c:formatCode>$#,##0.00;[Red]-$#,##0.00;"-"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Comparación mensual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Ingresos</c:v>
          </c:tx>
          <c:cat>
            <c:strRef>
              <c:f>'Dashboard'!$I$12:$I$16</c:f>
              <c:strCache>
                <c:ptCount val="0"/>
              </c:strCache>
            </c:strRef>
          </c:cat>
          <c:val>
            <c:numRef>
              <c:f>'Dashboard'!$J$12:$J$16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Gastos</c:v>
          </c:tx>
          <c:cat>
            <c:strRef>
              <c:f>'Dashboard'!$I$12:$I$16</c:f>
              <c:strCache>
                <c:ptCount val="0"/>
              </c:strCache>
            </c:strRef>
          </c:cat>
          <c:val>
            <c:numRef>
              <c:f>'Dashboard'!$K$12:$K$16</c:f>
              <c:numCache>
                <c:formatCode>$#,##0.00;[Red]-$#,##0.00;"-"</c:formatCode>
                <c:ptCount val="0"/>
              </c:numCache>
            </c:numRef>
          </c:val>
          <c:smooth val="0"/>
        </c:ser>
        <c:ser>
          <c:idx val="2"/>
          <c:order val="2"/>
          <c:tx>
            <c:v>Disponible</c:v>
          </c:tx>
          <c:cat>
            <c:strRef>
              <c:f>'Dashboard'!$I$12:$I$16</c:f>
              <c:strCache>
                <c:ptCount val="0"/>
              </c:strCache>
            </c:strRef>
          </c:cat>
          <c:val>
            <c:numRef>
              <c:f>'Dashboard'!$L$12:$L$16</c:f>
              <c:numCache>
                <c:formatCode>$#,##0.00;[Red]-$#,##0.00;"-"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cdd78f4d6c4c06"/>
        </a:graphicData>
      </a:graphic>
    </xdr:graphicFrame>
    <xdr:clientData/>
  </xdr:twoCellAnchor>
  <xdr:twoCellAnchor>
    <xdr:from>
      <xdr:col>4</xdr:col>
      <xdr:colOff>0</xdr:colOff>
      <xdr:row>14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abb436872c4eb3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27eac3c72e4f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Movimientos" displayName="tblMovimientos" ref="A5:E505" headerRowCount="1">
  <x:autoFilter ref="A5:E505"/>
  <x:tableColumns count="5">
    <x:tableColumn id="1" name="Fecha"/>
    <x:tableColumn id="2" name="Tipo"/>
    <x:tableColumn id="3" name="Categoría"/>
    <x:tableColumn id="4" name="Descripción"/>
    <x:tableColumn id="5" name="Monto"/>
  </x:tableColumns>
  <x:tableStyleInfo name="TableStyleMedium2" showRowStripes="1"/>
</x:table>
</file>

<file path=xl/tables/table2.xml><?xml version="1.0" encoding="utf-8"?>
<x:table xmlns:x="http://schemas.openxmlformats.org/spreadsheetml/2006/main" id="2" name="tblPagosRecurrentes" displayName="tblPagosRecurrentes" ref="A5:C505" headerRowCount="1">
  <x:autoFilter ref="A5:C505"/>
  <x:tableColumns count="3">
    <x:tableColumn id="1" name="Concepto"/>
    <x:tableColumn id="2" name="Monto"/>
    <x:tableColumn id="3" name="Día de pago"/>
  </x:tableColumns>
  <x:tableStyleInfo name="TableStyleMedium2" showRowStripes="1"/>
</x:table>
</file>

<file path=xl/tables/table3.xml><?xml version="1.0" encoding="utf-8"?>
<x:table xmlns:x="http://schemas.openxmlformats.org/spreadsheetml/2006/main" id="3" name="tblMercado" displayName="tblMercado" ref="A5:D505" headerRowCount="1">
  <x:autoFilter ref="A5:D505"/>
  <x:tableColumns count="4">
    <x:tableColumn id="1" name="Producto"/>
    <x:tableColumn id="2" name="Última compra"/>
    <x:tableColumn id="3" name="Estado"/>
    <x:tableColumn id="4" name="Orden compr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122028824346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baf84d17947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264f9482bd45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fb1cb719bf4e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15" hidden="0" customWidth="1"/>
    <x:col min="3" max="3" width="11.880000114440918" hidden="0" customWidth="1"/>
    <x:col min="4" max="4" width="16.25" hidden="0" customWidth="1"/>
    <x:col min="5" max="5" width="21.25" hidden="0" customWidth="1"/>
    <x:col min="6" max="6" width="15" hidden="0" customWidth="1"/>
    <x:col min="7" max="7" width="11.25" hidden="0" customWidth="1"/>
    <x:col min="8" max="8" width="15" hidden="0" customWidth="1"/>
    <x:col min="9" max="9" width="1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" hidden="0" customWidth="1"/>
    <x:col min="14" max="14" width="1" hidden="0" customWidth="1"/>
    <x:col min="15" max="15" width="1" hidden="0" customWidth="1"/>
    <x:col min="16" max="16" width="1" hidden="0" customWidth="1"/>
    <x:col min="17" max="17" width="1" hidden="0" customWidth="1"/>
    <x:col min="18" max="18" width="1" hidden="0" customWidth="1"/>
  </x:cols>
  <x:sheetData>
    <x:row r="1" ht="31.5" customHeight="1">
      <x:c r="A1" s="30" t="str">
        <x:v>Dashboard</x:v>
      </x:c>
      <x:c r="B1" s="30" t="str">
        <x:v>Dashboard</x:v>
      </x:c>
      <x:c r="C1" s="30" t="str">
        <x:v>Dashboard</x:v>
      </x:c>
      <x:c r="D1" s="30" t="str">
        <x:v>Dashboard</x:v>
      </x:c>
      <x:c r="E1" s="30" t="str">
        <x:v>Dashboard</x:v>
      </x:c>
      <x:c r="F1" s="30" t="str">
        <x:v>Dashboard</x:v>
      </x:c>
      <x:c r="G1" s="30" t="str">
        <x:v>Dashboard</x:v>
      </x:c>
      <x:c r="H1" s="30" t="str">
        <x:v>Dashboard</x:v>
      </x:c>
      <x:c r="I1" s="30" t="str">
        <x:v>Dashboard</x:v>
      </x:c>
      <x:c r="J1" s="30" t="str">
        <x:v>Dashboard</x:v>
      </x:c>
      <x:c r="K1" s="30" t="str">
        <x:v>Dashboard</x:v>
      </x:c>
      <x:c r="L1" s="30" t="str">
        <x:v>Dashboard</x:v>
      </x:c>
      <x:c r="M1" s="30" t="str">
        <x:v>Dashboard</x:v>
      </x:c>
      <x:c r="N1" s="30" t="str">
        <x:v>Dashboard</x:v>
      </x:c>
      <x:c r="O1" s="31"/>
      <x:c r="P1" s="31"/>
      <x:c r="Q1" s="31"/>
      <x:c r="R1" s="31"/>
    </x:row>
    <x:row r="2" ht="19.5" customHeight="1">
      <x:c r="A2" s="32" t="str">
        <x:v>Vista mensual simple: elige el mes y todo se actualiza.</x:v>
      </x:c>
      <x:c r="B2" s="32" t="str">
        <x:v>Vista mensual simple: elige el mes y todo se actualiza.</x:v>
      </x:c>
      <x:c r="C2" s="32" t="str">
        <x:v>Vista mensual simple: elige el mes y todo se actualiza.</x:v>
      </x:c>
      <x:c r="D2" s="32" t="str">
        <x:v>Vista mensual simple: elige el mes y todo se actualiza.</x:v>
      </x:c>
      <x:c r="E2" s="32" t="str">
        <x:v>Vista mensual simple: elige el mes y todo se actualiza.</x:v>
      </x:c>
      <x:c r="F2" s="32" t="str">
        <x:v>Vista mensual simple: elige el mes y todo se actualiza.</x:v>
      </x:c>
      <x:c r="G2" s="32" t="str">
        <x:v>Vista mensual simple: elige el mes y todo se actualiza.</x:v>
      </x:c>
      <x:c r="H2" s="32" t="str">
        <x:v>Vista mensual simple: elige el mes y todo se actualiza.</x:v>
      </x:c>
      <x:c r="I2" s="32" t="str">
        <x:v>Vista mensual simple: elige el mes y todo se actualiza.</x:v>
      </x:c>
      <x:c r="J2" s="32" t="str">
        <x:v>Vista mensual simple: elige el mes y todo se actualiza.</x:v>
      </x:c>
      <x:c r="K2" s="32" t="str">
        <x:v>Vista mensual simple: elige el mes y todo se actualiza.</x:v>
      </x:c>
      <x:c r="L2" s="32" t="str">
        <x:v>Vista mensual simple: elige el mes y todo se actualiza.</x:v>
      </x:c>
      <x:c r="M2" s="32" t="str">
        <x:v>Vista mensual simple: elige el mes y todo se actualiza.</x:v>
      </x:c>
      <x:c r="N2" s="32" t="str">
        <x:v>Vista mensual simple: elige el mes y todo se actualiza.</x:v>
      </x:c>
      <x:c r="O2" s="31"/>
      <x:c r="P2" s="31"/>
      <x:c r="Q2" s="31"/>
      <x:c r="R2" s="31"/>
    </x:row>
    <x:row r="3">
      <x:c r="A3" s="33" t="str">
        <x:v>Selector de mes</x:v>
      </x:c>
      <x:c r="B3" s="33" t="str">
        <x:v>Enero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</x:row>
    <x:row r="4">
      <x:c r="A4" s="34" t="str">
        <x:v>Número de mes</x:v>
      </x:c>
      <x:c r="B4" s="35" t="n">
        <x:f>MATCH(B3,{"Enero","Febrero","Marzo","Abril","Mayo","Junio","Julio","Agosto","Septiembre","Octubre","Noviembre","Diciembre"},0)</x:f>
        <x:v>1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</x:row>
    <x:row r="6">
      <x:c r="A6" s="33" t="str">
        <x:v>Ingresos del mes</x:v>
      </x:c>
      <x:c r="B6" s="33" t="str">
        <x:v>Gastos fijos</x:v>
      </x:c>
      <x:c r="C6" s="33" t="str">
        <x:v>Gastos variables</x:v>
      </x:c>
      <x:c r="D6" s="33" t="str">
        <x:v>Dinero disponible</x:v>
      </x:c>
      <x:c r="E6" s="33" t="str">
        <x:v>Total gastos</x:v>
      </x:c>
      <x:c r="F6" s="33" t="str">
        <x:v>% gastado</x:v>
      </x:c>
      <x:c r="G6" s="33" t="str">
        <x:v>Pagos del mes</x:v>
      </x:c>
      <x:c r="H6" s="33" t="str">
        <x:v>Productos por comprar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</x:row>
    <x:row r="7">
      <x:c r="A7" s="36" t="n">
        <x:f>SUMIFS(Movimientos!$E$6:$E$505,Movimientos!$B$6:$B$505,"Ingreso",Movimientos!$A$6:$A$505,"&gt;="&amp;DATE(2026,$B$4,1),Movimientos!$A$6:$A$505,"&lt;"&amp;EDATE(DATE(2026,$B$4,1),1))</x:f>
        <x:v>2500</x:v>
      </x:c>
      <x:c r="B7" s="36" t="n">
        <x:f>SUMIFS(Movimientos!$E$6:$E$505,Movimientos!$B$6:$B$505,"Fijo",Movimientos!$A$6:$A$505,"&gt;="&amp;DATE(2026,$B$4,1),Movimientos!$A$6:$A$505,"&lt;"&amp;EDATE(DATE(2026,$B$4,1),1))</x:f>
        <x:v>800</x:v>
      </x:c>
      <x:c r="C7" s="36" t="n">
        <x:f>SUMIFS(Movimientos!$E$6:$E$505,Movimientos!$B$6:$B$505,"Variable",Movimientos!$A$6:$A$505,"&gt;="&amp;DATE(2026,$B$4,1),Movimientos!$A$6:$A$505,"&lt;"&amp;EDATE(DATE(2026,$B$4,1),1))</x:f>
        <x:v>125</x:v>
      </x:c>
      <x:c r="D7" s="36" t="n">
        <x:f>A7-B7-C7</x:f>
        <x:v>1575</x:v>
      </x:c>
      <x:c r="E7" s="36" t="n">
        <x:f>B7+C7</x:f>
        <x:v>925</x:v>
      </x:c>
      <x:c r="F7" s="37" t="n">
        <x:f>IFERROR(E7/A7,0)</x:f>
        <x:v>0.37</x:v>
      </x:c>
      <x:c r="G7" s="38" t="n">
        <x:f>COUNT('Pagos recurrentes'!$C$6:$C$505)</x:f>
        <x:v>4</x:v>
      </x:c>
      <x:c r="H7" s="38" t="n">
        <x:f>COUNTIF(Mercado!$C$6:$C$505,"Comprar")</x:f>
        <x:v>3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</x:row>
    <x:row r="8">
      <x:c r="A8" s="39" t="str">
        <x:v>💰</x:v>
      </x:c>
      <x:c r="B8" s="39" t="str">
        <x:v>🏠</x:v>
      </x:c>
      <x:c r="C8" s="39" t="str">
        <x:v>🛒</x:v>
      </x:c>
      <x:c r="D8" s="39" t="str">
        <x:v>✅</x:v>
      </x:c>
      <x:c r="E8" s="39" t="str">
        <x:v>📊</x:v>
      </x:c>
      <x:c r="F8" s="39" t="str">
        <x:v>📌</x:v>
      </x:c>
      <x:c r="G8" s="39" t="str">
        <x:v>📅</x:v>
      </x:c>
      <x:c r="H8" s="39" t="str">
        <x:v>🛒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</x:row>
    <x:row r="9">
      <x:c r="A9" s="31"/>
      <x:c r="B9" s="31"/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</x:row>
    <x:row r="11">
      <x:c r="A11" s="33" t="str">
        <x:v>Categoría</x:v>
      </x:c>
      <x:c r="B11" s="33" t="str">
        <x:v>Gasto del mes</x:v>
      </x:c>
      <x:c r="C11" s="33" t="str">
        <x:v>% total</x:v>
      </x:c>
      <x:c r="D11" s="31"/>
      <x:c r="E11" s="33" t="str">
        <x:v>Tipo</x:v>
      </x:c>
      <x:c r="F11" s="33" t="str">
        <x:v>Monto</x:v>
      </x:c>
      <x:c r="G11" s="33" t="str">
        <x:v>%</x:v>
      </x:c>
      <x:c r="H11" s="31"/>
      <x:c r="I11" s="33" t="str">
        <x:v>Mes</x:v>
      </x:c>
      <x:c r="J11" s="33" t="str">
        <x:v>Ingresos</x:v>
      </x:c>
      <x:c r="K11" s="33" t="str">
        <x:v>Gastos</x:v>
      </x:c>
      <x:c r="L11" s="33" t="str">
        <x:v>Disponible</x:v>
      </x:c>
      <x:c r="M11" s="31"/>
      <x:c r="N11" s="40" t="str">
        <x:v>Mes</x:v>
      </x:c>
      <x:c r="O11" s="40" t="str">
        <x:v>MesNum</x:v>
      </x:c>
      <x:c r="P11" s="40" t="str">
        <x:v>Ingresos</x:v>
      </x:c>
      <x:c r="Q11" s="40" t="str">
        <x:v>Gastos</x:v>
      </x:c>
      <x:c r="R11" s="40" t="str">
        <x:v>Disponible</x:v>
      </x:c>
    </x:row>
    <x:row r="12">
      <x:c r="A12" s="34" t="str">
        <x:v>Renta</x:v>
      </x:c>
      <x:c r="B12" s="41" t="n">
        <x:f>SUMIFS(Movimientos!$E$6:$E$505,Movimientos!$C$6:$C$505,A12,Movimientos!$B$6:$B$505,"&lt;&gt;Ingreso",Movimientos!$A$6:$A$505,"&gt;="&amp;DATE(2026,$B$4,1),Movimientos!$A$6:$A$505,"&lt;"&amp;EDATE(DATE(2026,$B$4,1),1))</x:f>
        <x:v>800</x:v>
      </x:c>
      <x:c r="C12" s="42" t="n">
        <x:f>IFERROR(B12/SUM($B$12:$B$25),0)</x:f>
        <x:v>0.8648648648648649</x:v>
      </x:c>
      <x:c r="D12" s="31"/>
      <x:c r="E12" s="34" t="str">
        <x:v>Fijo</x:v>
      </x:c>
      <x:c r="F12" s="41" t="n">
        <x:f>$B$7</x:f>
        <x:v>800</x:v>
      </x:c>
      <x:c r="G12" s="42" t="n">
        <x:f>IFERROR(F12/$E$7,0)</x:f>
        <x:v>0.8648648648648649</x:v>
      </x:c>
      <x:c r="H12" s="31"/>
      <x:c r="I12" s="34" t="str">
        <x:v>Enero</x:v>
      </x:c>
      <x:c r="J12" s="41" t="n">
        <x:f>P12</x:f>
        <x:v>2500</x:v>
      </x:c>
      <x:c r="K12" s="41" t="n">
        <x:f>Q12</x:f>
        <x:v>925</x:v>
      </x:c>
      <x:c r="L12" s="41" t="n">
        <x:f>R12</x:f>
        <x:v>1575</x:v>
      </x:c>
      <x:c r="M12" s="31"/>
      <x:c r="N12" s="40" t="str">
        <x:v>Enero</x:v>
      </x:c>
      <x:c r="O12" s="40" t="n">
        <x:v>1</x:v>
      </x:c>
      <x:c r="P12" s="40" t="n">
        <x:f>SUMIFS(Movimientos!$E$6:$E$505,Movimientos!$B$6:$B$505,"Ingreso",Movimientos!$A$6:$A$505,"&gt;="&amp;DATE(2026,O12,1),Movimientos!$A$6:$A$505,"&lt;"&amp;EDATE(DATE(2026,O12,1),1))</x:f>
        <x:v>2500</x:v>
      </x:c>
      <x:c r="Q12" s="40" t="n">
        <x:f>SUMIFS(Movimientos!$E$6:$E$505,Movimientos!$B$6:$B$505,"&lt;&gt;Ingreso",Movimientos!$A$6:$A$505,"&gt;="&amp;DATE(2026,O12,1),Movimientos!$A$6:$A$505,"&lt;"&amp;EDATE(DATE(2026,O12,1),1))</x:f>
        <x:v>925</x:v>
      </x:c>
      <x:c r="R12" s="40" t="n">
        <x:f>P12-Q12</x:f>
        <x:v>1575</x:v>
      </x:c>
    </x:row>
    <x:row r="13">
      <x:c r="A13" s="34" t="str">
        <x:v>Internet</x:v>
      </x:c>
      <x:c r="B13" s="41" t="n">
        <x:f>SUMIFS(Movimientos!$E$6:$E$505,Movimientos!$C$6:$C$505,A13,Movimientos!$B$6:$B$505,"&lt;&gt;Ingreso",Movimientos!$A$6:$A$505,"&gt;="&amp;DATE(2026,$B$4,1),Movimientos!$A$6:$A$505,"&lt;"&amp;EDATE(DATE(2026,$B$4,1),1))</x:f>
        <x:v>0</x:v>
      </x:c>
      <x:c r="C13" s="42" t="n">
        <x:f>IFERROR(B13/SUM($B$12:$B$25),0)</x:f>
        <x:v>0</x:v>
      </x:c>
      <x:c r="D13" s="31"/>
      <x:c r="E13" s="34" t="str">
        <x:v>Variable</x:v>
      </x:c>
      <x:c r="F13" s="41" t="n">
        <x:f>$C$7</x:f>
        <x:v>125</x:v>
      </x:c>
      <x:c r="G13" s="42" t="n">
        <x:f>IFERROR(F13/$E$7,0)</x:f>
        <x:v>0.13513513513513514</x:v>
      </x:c>
      <x:c r="H13" s="31"/>
      <x:c r="I13" s="34" t="str">
        <x:v>Febrero</x:v>
      </x:c>
      <x:c r="J13" s="41" t="n">
        <x:f>P13</x:f>
        <x:v>2500</x:v>
      </x:c>
      <x:c r="K13" s="41" t="n">
        <x:f>Q13</x:f>
        <x:v>1000</x:v>
      </x:c>
      <x:c r="L13" s="41" t="n">
        <x:f>R13</x:f>
        <x:v>1500</x:v>
      </x:c>
      <x:c r="M13" s="31"/>
      <x:c r="N13" s="40" t="str">
        <x:v>Febrero</x:v>
      </x:c>
      <x:c r="O13" s="40" t="n">
        <x:v>2</x:v>
      </x:c>
      <x:c r="P13" s="40" t="n">
        <x:f>SUMIFS(Movimientos!$E$6:$E$505,Movimientos!$B$6:$B$505,"Ingreso",Movimientos!$A$6:$A$505,"&gt;="&amp;DATE(2026,O13,1),Movimientos!$A$6:$A$505,"&lt;"&amp;EDATE(DATE(2026,O13,1),1))</x:f>
        <x:v>2500</x:v>
      </x:c>
      <x:c r="Q13" s="40" t="n">
        <x:f>SUMIFS(Movimientos!$E$6:$E$505,Movimientos!$B$6:$B$505,"&lt;&gt;Ingreso",Movimientos!$A$6:$A$505,"&gt;="&amp;DATE(2026,O13,1),Movimientos!$A$6:$A$505,"&lt;"&amp;EDATE(DATE(2026,O13,1),1))</x:f>
        <x:v>1000</x:v>
      </x:c>
      <x:c r="R13" s="40" t="n">
        <x:f>P13-Q13</x:f>
        <x:v>1500</x:v>
      </x:c>
    </x:row>
    <x:row r="14">
      <x:c r="A14" s="34" t="str">
        <x:v>Luz</x:v>
      </x:c>
      <x:c r="B14" s="41" t="n">
        <x:f>SUMIFS(Movimientos!$E$6:$E$505,Movimientos!$C$6:$C$505,A14,Movimientos!$B$6:$B$505,"&lt;&gt;Ingreso",Movimientos!$A$6:$A$505,"&gt;="&amp;DATE(2026,$B$4,1),Movimientos!$A$6:$A$505,"&lt;"&amp;EDATE(DATE(2026,$B$4,1),1))</x:f>
        <x:v>0</x:v>
      </x:c>
      <x:c r="C14" s="42" t="n">
        <x:f>IFERROR(B14/SUM($B$12:$B$25),0)</x:f>
        <x:v>0</x:v>
      </x:c>
      <x:c r="D14" s="31"/>
      <x:c r="E14" s="31"/>
      <x:c r="F14" s="31"/>
      <x:c r="G14" s="31"/>
      <x:c r="H14" s="31"/>
      <x:c r="I14" s="34" t="str">
        <x:v>Marzo</x:v>
      </x:c>
      <x:c r="J14" s="41" t="n">
        <x:f>P14</x:f>
        <x:v>2500</x:v>
      </x:c>
      <x:c r="K14" s="41" t="n">
        <x:f>Q14</x:f>
        <x:v>888</x:v>
      </x:c>
      <x:c r="L14" s="41" t="n">
        <x:f>R14</x:f>
        <x:v>1612</x:v>
      </x:c>
      <x:c r="M14" s="31"/>
      <x:c r="N14" s="40" t="str">
        <x:v>Marzo</x:v>
      </x:c>
      <x:c r="O14" s="40" t="n">
        <x:v>3</x:v>
      </x:c>
      <x:c r="P14" s="40" t="n">
        <x:f>SUMIFS(Movimientos!$E$6:$E$505,Movimientos!$B$6:$B$505,"Ingreso",Movimientos!$A$6:$A$505,"&gt;="&amp;DATE(2026,O14,1),Movimientos!$A$6:$A$505,"&lt;"&amp;EDATE(DATE(2026,O14,1),1))</x:f>
        <x:v>2500</x:v>
      </x:c>
      <x:c r="Q14" s="40" t="n">
        <x:f>SUMIFS(Movimientos!$E$6:$E$505,Movimientos!$B$6:$B$505,"&lt;&gt;Ingreso",Movimientos!$A$6:$A$505,"&gt;="&amp;DATE(2026,O14,1),Movimientos!$A$6:$A$505,"&lt;"&amp;EDATE(DATE(2026,O14,1),1))</x:f>
        <x:v>888</x:v>
      </x:c>
      <x:c r="R14" s="40" t="n">
        <x:f>P14-Q14</x:f>
        <x:v>1612</x:v>
      </x:c>
    </x:row>
    <x:row r="15">
      <x:c r="A15" s="34" t="str">
        <x:v>Agua</x:v>
      </x:c>
      <x:c r="B15" s="41" t="n">
        <x:f>SUMIFS(Movimientos!$E$6:$E$505,Movimientos!$C$6:$C$505,A15,Movimientos!$B$6:$B$505,"&lt;&gt;Ingreso",Movimientos!$A$6:$A$505,"&gt;="&amp;DATE(2026,$B$4,1),Movimientos!$A$6:$A$505,"&lt;"&amp;EDATE(DATE(2026,$B$4,1),1))</x:f>
        <x:v>0</x:v>
      </x:c>
      <x:c r="C15" s="42" t="n">
        <x:f>IFERROR(B15/SUM($B$12:$B$25),0)</x:f>
        <x:v>0</x:v>
      </x:c>
      <x:c r="D15" s="31"/>
      <x:c r="E15" s="31"/>
      <x:c r="F15" s="31"/>
      <x:c r="G15" s="31"/>
      <x:c r="H15" s="31"/>
      <x:c r="I15" s="34" t="str">
        <x:v>Abril</x:v>
      </x:c>
      <x:c r="J15" s="41" t="n">
        <x:f>P15</x:f>
        <x:v>2500</x:v>
      </x:c>
      <x:c r="K15" s="41" t="n">
        <x:f>Q15</x:f>
        <x:v>1010</x:v>
      </x:c>
      <x:c r="L15" s="41" t="n">
        <x:f>R15</x:f>
        <x:v>1490</x:v>
      </x:c>
      <x:c r="M15" s="31"/>
      <x:c r="N15" s="40" t="str">
        <x:v>Abril</x:v>
      </x:c>
      <x:c r="O15" s="40" t="n">
        <x:v>4</x:v>
      </x:c>
      <x:c r="P15" s="40" t="n">
        <x:f>SUMIFS(Movimientos!$E$6:$E$505,Movimientos!$B$6:$B$505,"Ingreso",Movimientos!$A$6:$A$505,"&gt;="&amp;DATE(2026,O15,1),Movimientos!$A$6:$A$505,"&lt;"&amp;EDATE(DATE(2026,O15,1),1))</x:f>
        <x:v>2500</x:v>
      </x:c>
      <x:c r="Q15" s="40" t="n">
        <x:f>SUMIFS(Movimientos!$E$6:$E$505,Movimientos!$B$6:$B$505,"&lt;&gt;Ingreso",Movimientos!$A$6:$A$505,"&gt;="&amp;DATE(2026,O15,1),Movimientos!$A$6:$A$505,"&lt;"&amp;EDATE(DATE(2026,O15,1),1))</x:f>
        <x:v>1010</x:v>
      </x:c>
      <x:c r="R15" s="40" t="n">
        <x:f>P15-Q15</x:f>
        <x:v>1490</x:v>
      </x:c>
    </x:row>
    <x:row r="16">
      <x:c r="A16" s="34" t="str">
        <x:v>Gas</x:v>
      </x:c>
      <x:c r="B16" s="41" t="n">
        <x:f>SUMIFS(Movimientos!$E$6:$E$505,Movimientos!$C$6:$C$505,A16,Movimientos!$B$6:$B$505,"&lt;&gt;Ingreso",Movimientos!$A$6:$A$505,"&gt;="&amp;DATE(2026,$B$4,1),Movimientos!$A$6:$A$505,"&lt;"&amp;EDATE(DATE(2026,$B$4,1),1))</x:f>
        <x:v>0</x:v>
      </x:c>
      <x:c r="C16" s="42" t="n">
        <x:f>IFERROR(B16/SUM($B$12:$B$25),0)</x:f>
        <x:v>0</x:v>
      </x:c>
      <x:c r="D16" s="31"/>
      <x:c r="E16" s="31"/>
      <x:c r="F16" s="31"/>
      <x:c r="G16" s="31"/>
      <x:c r="H16" s="31"/>
      <x:c r="I16" s="34" t="str">
        <x:v>Mayo</x:v>
      </x:c>
      <x:c r="J16" s="41" t="n">
        <x:f>P16</x:f>
        <x:v>0</x:v>
      </x:c>
      <x:c r="K16" s="41" t="n">
        <x:f>Q16</x:f>
        <x:v>0</x:v>
      </x:c>
      <x:c r="L16" s="41" t="n">
        <x:f>R16</x:f>
        <x:v>0</x:v>
      </x:c>
      <x:c r="M16" s="31"/>
      <x:c r="N16" s="40" t="str">
        <x:v>Mayo</x:v>
      </x:c>
      <x:c r="O16" s="40" t="n">
        <x:v>5</x:v>
      </x:c>
      <x:c r="P16" s="40" t="n">
        <x:f>SUMIFS(Movimientos!$E$6:$E$505,Movimientos!$B$6:$B$505,"Ingreso",Movimientos!$A$6:$A$505,"&gt;="&amp;DATE(2026,O16,1),Movimientos!$A$6:$A$505,"&lt;"&amp;EDATE(DATE(2026,O16,1),1))</x:f>
        <x:v>0</x:v>
      </x:c>
      <x:c r="Q16" s="40" t="n">
        <x:f>SUMIFS(Movimientos!$E$6:$E$505,Movimientos!$B$6:$B$505,"&lt;&gt;Ingreso",Movimientos!$A$6:$A$505,"&gt;="&amp;DATE(2026,O16,1),Movimientos!$A$6:$A$505,"&lt;"&amp;EDATE(DATE(2026,O16,1),1))</x:f>
        <x:v>0</x:v>
      </x:c>
      <x:c r="R16" s="40" t="n">
        <x:f>P16-Q16</x:f>
        <x:v>0</x:v>
      </x:c>
    </x:row>
    <x:row r="17">
      <x:c r="A17" s="34" t="str">
        <x:v>Teléfono</x:v>
      </x:c>
      <x:c r="B17" s="41" t="n">
        <x:f>SUMIFS(Movimientos!$E$6:$E$505,Movimientos!$C$6:$C$505,A17,Movimientos!$B$6:$B$505,"&lt;&gt;Ingreso",Movimientos!$A$6:$A$505,"&gt;="&amp;DATE(2026,$B$4,1),Movimientos!$A$6:$A$505,"&lt;"&amp;EDATE(DATE(2026,$B$4,1),1))</x:f>
        <x:v>0</x:v>
      </x:c>
      <x:c r="C17" s="42" t="n">
        <x:f>IFERROR(B17/SUM($B$12:$B$25),0)</x:f>
        <x:v>0</x:v>
      </x:c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40" t="str">
        <x:v>Junio</x:v>
      </x:c>
      <x:c r="O17" s="40" t="n">
        <x:v>6</x:v>
      </x:c>
      <x:c r="P17" s="40" t="n">
        <x:f>SUMIFS(Movimientos!$E$6:$E$505,Movimientos!$B$6:$B$505,"Ingreso",Movimientos!$A$6:$A$505,"&gt;="&amp;DATE(2026,O17,1),Movimientos!$A$6:$A$505,"&lt;"&amp;EDATE(DATE(2026,O17,1),1))</x:f>
        <x:v>0</x:v>
      </x:c>
      <x:c r="Q17" s="40" t="n">
        <x:f>SUMIFS(Movimientos!$E$6:$E$505,Movimientos!$B$6:$B$505,"&lt;&gt;Ingreso",Movimientos!$A$6:$A$505,"&gt;="&amp;DATE(2026,O17,1),Movimientos!$A$6:$A$505,"&lt;"&amp;EDATE(DATE(2026,O17,1),1))</x:f>
        <x:v>0</x:v>
      </x:c>
      <x:c r="R17" s="40" t="n">
        <x:f>P17-Q17</x:f>
        <x:v>0</x:v>
      </x:c>
    </x:row>
    <x:row r="18">
      <x:c r="A18" s="34" t="str">
        <x:v>Mercado</x:v>
      </x:c>
      <x:c r="B18" s="41" t="n">
        <x:f>SUMIFS(Movimientos!$E$6:$E$505,Movimientos!$C$6:$C$505,A18,Movimientos!$B$6:$B$505,"&lt;&gt;Ingreso",Movimientos!$A$6:$A$505,"&gt;="&amp;DATE(2026,$B$4,1),Movimientos!$A$6:$A$505,"&lt;"&amp;EDATE(DATE(2026,$B$4,1),1))</x:f>
        <x:v>120</x:v>
      </x:c>
      <x:c r="C18" s="42" t="n">
        <x:f>IFERROR(B18/SUM($B$12:$B$25),0)</x:f>
        <x:v>0.12972972972972974</x:v>
      </x:c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</x:row>
    <x:row r="19">
      <x:c r="A19" s="34" t="str">
        <x:v>Transporte</x:v>
      </x:c>
      <x:c r="B19" s="41" t="n">
        <x:f>SUMIFS(Movimientos!$E$6:$E$505,Movimientos!$C$6:$C$505,A19,Movimientos!$B$6:$B$505,"&lt;&gt;Ingreso",Movimientos!$A$6:$A$505,"&gt;="&amp;DATE(2026,$B$4,1),Movimientos!$A$6:$A$505,"&lt;"&amp;EDATE(DATE(2026,$B$4,1),1))</x:f>
        <x:v>0</x:v>
      </x:c>
      <x:c r="C19" s="42" t="n">
        <x:f>IFERROR(B19/SUM($B$12:$B$25),0)</x:f>
        <x:v>0</x:v>
      </x:c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</x:row>
    <x:row r="20">
      <x:c r="A20" s="34" t="str">
        <x:v>Salud</x:v>
      </x:c>
      <x:c r="B20" s="41" t="n">
        <x:f>SUMIFS(Movimientos!$E$6:$E$505,Movimientos!$C$6:$C$505,A20,Movimientos!$B$6:$B$505,"&lt;&gt;Ingreso",Movimientos!$A$6:$A$505,"&gt;="&amp;DATE(2026,$B$4,1),Movimientos!$A$6:$A$505,"&lt;"&amp;EDATE(DATE(2026,$B$4,1),1))</x:f>
        <x:v>0</x:v>
      </x:c>
      <x:c r="C20" s="42" t="n">
        <x:f>IFERROR(B20/SUM($B$12:$B$25),0)</x:f>
        <x:v>0</x:v>
      </x:c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</x:row>
    <x:row r="21">
      <x:c r="A21" s="34" t="str">
        <x:v>Entretenimiento</x:v>
      </x:c>
      <x:c r="B21" s="41" t="n">
        <x:f>SUMIFS(Movimientos!$E$6:$E$505,Movimientos!$C$6:$C$505,A21,Movimientos!$B$6:$B$505,"&lt;&gt;Ingreso",Movimientos!$A$6:$A$505,"&gt;="&amp;DATE(2026,$B$4,1),Movimientos!$A$6:$A$505,"&lt;"&amp;EDATE(DATE(2026,$B$4,1),1))</x:f>
        <x:v>0</x:v>
      </x:c>
      <x:c r="C21" s="42" t="n">
        <x:f>IFERROR(B21/SUM($B$12:$B$25),0)</x:f>
        <x:v>0</x:v>
      </x:c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</x:row>
    <x:row r="22">
      <x:c r="A22" s="34" t="str">
        <x:v>Restaurante</x:v>
      </x:c>
      <x:c r="B22" s="41" t="n">
        <x:f>SUMIFS(Movimientos!$E$6:$E$505,Movimientos!$C$6:$C$505,A22,Movimientos!$B$6:$B$505,"&lt;&gt;Ingreso",Movimientos!$A$6:$A$505,"&gt;="&amp;DATE(2026,$B$4,1),Movimientos!$A$6:$A$505,"&lt;"&amp;EDATE(DATE(2026,$B$4,1),1))</x:f>
        <x:v>0</x:v>
      </x:c>
      <x:c r="C22" s="42" t="n">
        <x:f>IFERROR(B22/SUM($B$12:$B$25),0)</x:f>
        <x:v>0</x:v>
      </x:c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</x:row>
    <x:row r="23">
      <x:c r="A23" s="34" t="str">
        <x:v>Helado</x:v>
      </x:c>
      <x:c r="B23" s="41" t="n">
        <x:f>SUMIFS(Movimientos!$E$6:$E$505,Movimientos!$C$6:$C$505,A23,Movimientos!$B$6:$B$505,"&lt;&gt;Ingreso",Movimientos!$A$6:$A$505,"&gt;="&amp;DATE(2026,$B$4,1),Movimientos!$A$6:$A$505,"&lt;"&amp;EDATE(DATE(2026,$B$4,1),1))</x:f>
        <x:v>5</x:v>
      </x:c>
      <x:c r="C23" s="42" t="n">
        <x:f>IFERROR(B23/SUM($B$12:$B$25),0)</x:f>
        <x:v>0.005405405405405406</x:v>
      </x:c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</x:row>
    <x:row r="24">
      <x:c r="A24" s="34" t="str">
        <x:v>Otros</x:v>
      </x:c>
      <x:c r="B24" s="41" t="n">
        <x:f>SUMIFS(Movimientos!$E$6:$E$505,Movimientos!$C$6:$C$505,A24,Movimientos!$B$6:$B$505,"&lt;&gt;Ingreso",Movimientos!$A$6:$A$505,"&gt;="&amp;DATE(2026,$B$4,1),Movimientos!$A$6:$A$505,"&lt;"&amp;EDATE(DATE(2026,$B$4,1),1))</x:f>
        <x:v>0</x:v>
      </x:c>
      <x:c r="C24" s="42" t="n">
        <x:f>IFERROR(B24/SUM($B$12:$B$25),0)</x:f>
        <x:v>0</x:v>
      </x:c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</x:row>
    <x:row r="25">
      <x:c r="A25" s="34"/>
      <x:c r="B25" s="41" t="n">
        <x:f>SUMIFS(Movimientos!$E$6:$E$505,Movimientos!$C$6:$C$505,A25,Movimientos!$B$6:$B$505,"&lt;&gt;Ingreso",Movimientos!$A$6:$A$505,"&gt;="&amp;DATE(2026,$B$4,1),Movimientos!$A$6:$A$505,"&lt;"&amp;EDATE(DATE(2026,$B$4,1),1))</x:f>
        <x:v>0</x:v>
      </x:c>
      <x:c r="C25" s="42" t="n">
        <x:f>IFERROR(B25/SUM($B$12:$B$25),0)</x:f>
        <x:v>0</x:v>
      </x:c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</x:row>
    <x:row r="29">
      <x:c r="A29" s="33" t="str">
        <x:v>Próximos pagos del mes</x:v>
      </x:c>
      <x:c r="B29" s="33" t="str">
        <x:v>Monto</x:v>
      </x:c>
      <x:c r="C29" s="33" t="str">
        <x:v>Día</x:v>
      </x:c>
      <x:c r="D29" s="31"/>
      <x:c r="E29" s="33" t="str">
        <x:v>Productos para comprar</x:v>
      </x:c>
      <x:c r="F29" s="33" t="str">
        <x:v>Última compra</x:v>
      </x:c>
      <x:c r="G29" s="33" t="str">
        <x:v>Estado</x:v>
      </x:c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</x:row>
    <x:row r="30">
      <x:c r="A30" s="34" t="str">
        <x:f>IF('Pagos recurrentes'!A6="","",'Pagos recurrentes'!A6)</x:f>
        <x:v>Renta</x:v>
      </x:c>
      <x:c r="B30" s="41" t="n">
        <x:f>IF('Pagos recurrentes'!A6="","",'Pagos recurrentes'!B6)</x:f>
        <x:v>800</x:v>
      </x:c>
      <x:c r="C30" s="34" t="n">
        <x:f>IF('Pagos recurrentes'!A6="","",'Pagos recurrentes'!C6)</x:f>
        <x:v>5</x:v>
      </x:c>
      <x:c r="D30" s="31"/>
      <x:c r="E30" s="34" t="str">
        <x:f>IFERROR(INDEX(Mercado!$A$6:$A$505,MATCH(1,Mercado!$D$6:$D$505,0)),"")</x:f>
        <x:v>Leche</x:v>
      </x:c>
      <x:c r="F30" s="43" t="n">
        <x:f>IFERROR(INDEX(Mercado!$B$6:$B$505,MATCH(1,Mercado!$D$6:$D$505,0)),"")</x:f>
        <x:v>46174</x:v>
      </x:c>
      <x:c r="G30" s="34" t="str">
        <x:f>IF(E30="","","Comprar")</x:f>
        <x:v>Comprar</x:v>
      </x:c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</x:row>
    <x:row r="31">
      <x:c r="A31" s="34" t="str">
        <x:f>IF('Pagos recurrentes'!A7="","",'Pagos recurrentes'!A7)</x:f>
        <x:v>Internet</x:v>
      </x:c>
      <x:c r="B31" s="41" t="n">
        <x:f>IF('Pagos recurrentes'!A7="","",'Pagos recurrentes'!B7)</x:f>
        <x:v>35</x:v>
      </x:c>
      <x:c r="C31" s="34" t="n">
        <x:f>IF('Pagos recurrentes'!A7="","",'Pagos recurrentes'!C7)</x:f>
        <x:v>10</x:v>
      </x:c>
      <x:c r="D31" s="31"/>
      <x:c r="E31" s="34" t="str">
        <x:f>IFERROR(INDEX(Mercado!$A$6:$A$505,MATCH(2,Mercado!$D$6:$D$505,0)),"")</x:f>
        <x:v>Huevos</x:v>
      </x:c>
      <x:c r="F31" s="43" t="n">
        <x:f>IFERROR(INDEX(Mercado!$B$6:$B$505,MATCH(2,Mercado!$D$6:$D$505,0)),"")</x:f>
        <x:v>46170</x:v>
      </x:c>
      <x:c r="G31" s="34" t="str">
        <x:f>IF(E31="","","Comprar")</x:f>
        <x:v>Comprar</x:v>
      </x:c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</x:row>
    <x:row r="32">
      <x:c r="A32" s="34" t="str">
        <x:f>IF('Pagos recurrentes'!A8="","",'Pagos recurrentes'!A8)</x:f>
        <x:v>Luz</x:v>
      </x:c>
      <x:c r="B32" s="41" t="n">
        <x:f>IF('Pagos recurrentes'!A8="","",'Pagos recurrentes'!B8)</x:f>
        <x:v>40</x:v>
      </x:c>
      <x:c r="C32" s="34" t="n">
        <x:f>IF('Pagos recurrentes'!A8="","",'Pagos recurrentes'!C8)</x:f>
        <x:v>15</x:v>
      </x:c>
      <x:c r="D32" s="31"/>
      <x:c r="E32" s="34" t="str">
        <x:f>IFERROR(INDEX(Mercado!$A$6:$A$505,MATCH(3,Mercado!$D$6:$D$505,0)),"")</x:f>
        <x:v>Papel higiénico</x:v>
      </x:c>
      <x:c r="F32" s="43" t="n">
        <x:f>IFERROR(INDEX(Mercado!$B$6:$B$505,MATCH(3,Mercado!$D$6:$D$505,0)),"")</x:f>
        <x:v>46162</x:v>
      </x:c>
      <x:c r="G32" s="34" t="str">
        <x:f>IF(E32="","","Comprar")</x:f>
        <x:v>Comprar</x:v>
      </x:c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</x:row>
    <x:row r="33">
      <x:c r="A33" s="34" t="str">
        <x:f>IF('Pagos recurrentes'!A9="","",'Pagos recurrentes'!A9)</x:f>
        <x:v>Teléfono</x:v>
      </x:c>
      <x:c r="B33" s="41" t="n">
        <x:f>IF('Pagos recurrentes'!A9="","",'Pagos recurrentes'!B9)</x:f>
        <x:v>30</x:v>
      </x:c>
      <x:c r="C33" s="34" t="n">
        <x:f>IF('Pagos recurrentes'!A9="","",'Pagos recurrentes'!C9)</x:f>
        <x:v>20</x:v>
      </x:c>
      <x:c r="D33" s="31"/>
      <x:c r="E33" s="34" t="str">
        <x:f>IFERROR(INDEX(Mercado!$A$6:$A$505,MATCH(4,Mercado!$D$6:$D$505,0)),"")</x:f>
      </x:c>
      <x:c r="F33" s="43" t="str">
        <x:f>IFERROR(INDEX(Mercado!$B$6:$B$505,MATCH(4,Mercado!$D$6:$D$505,0)),"")</x:f>
      </x:c>
      <x:c r="G33" s="34" t="str">
        <x:f>IF(E33="","","Comprar")</x:f>
      </x:c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</x:row>
    <x:row r="34">
      <x:c r="A34" s="34" t="str">
        <x:f>IF('Pagos recurrentes'!A10="","",'Pagos recurrentes'!A10)</x:f>
      </x:c>
      <x:c r="B34" s="41" t="str">
        <x:f>IF('Pagos recurrentes'!A10="","",'Pagos recurrentes'!B10)</x:f>
      </x:c>
      <x:c r="C34" s="34" t="str">
        <x:f>IF('Pagos recurrentes'!A10="","",'Pagos recurrentes'!C10)</x:f>
      </x:c>
      <x:c r="D34" s="31"/>
      <x:c r="E34" s="34" t="str">
        <x:f>IFERROR(INDEX(Mercado!$A$6:$A$505,MATCH(5,Mercado!$D$6:$D$505,0)),"")</x:f>
      </x:c>
      <x:c r="F34" s="43" t="str">
        <x:f>IFERROR(INDEX(Mercado!$B$6:$B$505,MATCH(5,Mercado!$D$6:$D$505,0)),"")</x:f>
      </x:c>
      <x:c r="G34" s="34" t="str">
        <x:f>IF(E34="","","Comprar")</x:f>
      </x:c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</x:row>
    <x:row r="35">
      <x:c r="A35" s="34" t="str">
        <x:f>IF('Pagos recurrentes'!A11="","",'Pagos recurrentes'!A11)</x:f>
      </x:c>
      <x:c r="B35" s="41" t="str">
        <x:f>IF('Pagos recurrentes'!A11="","",'Pagos recurrentes'!B11)</x:f>
      </x:c>
      <x:c r="C35" s="34" t="str">
        <x:f>IF('Pagos recurrentes'!A11="","",'Pagos recurrentes'!C11)</x:f>
      </x:c>
      <x:c r="D35" s="31"/>
      <x:c r="E35" s="34" t="str">
        <x:f>IFERROR(INDEX(Mercado!$A$6:$A$505,MATCH(6,Mercado!$D$6:$D$505,0)),"")</x:f>
      </x:c>
      <x:c r="F35" s="43" t="str">
        <x:f>IFERROR(INDEX(Mercado!$B$6:$B$505,MATCH(6,Mercado!$D$6:$D$505,0)),"")</x:f>
      </x:c>
      <x:c r="G35" s="34" t="str">
        <x:f>IF(E35="","","Comprar")</x:f>
      </x:c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</x:row>
    <x:row r="36">
      <x:c r="A36" s="34" t="str">
        <x:f>IF('Pagos recurrentes'!A12="","",'Pagos recurrentes'!A12)</x:f>
      </x:c>
      <x:c r="B36" s="41" t="str">
        <x:f>IF('Pagos recurrentes'!A12="","",'Pagos recurrentes'!B12)</x:f>
      </x:c>
      <x:c r="C36" s="34" t="str">
        <x:f>IF('Pagos recurrentes'!A12="","",'Pagos recurrentes'!C12)</x:f>
      </x:c>
      <x:c r="D36" s="31"/>
      <x:c r="E36" s="34" t="str">
        <x:f>IFERROR(INDEX(Mercado!$A$6:$A$505,MATCH(7,Mercado!$D$6:$D$505,0)),"")</x:f>
      </x:c>
      <x:c r="F36" s="43" t="str">
        <x:f>IFERROR(INDEX(Mercado!$B$6:$B$505,MATCH(7,Mercado!$D$6:$D$505,0)),"")</x:f>
      </x:c>
      <x:c r="G36" s="34" t="str">
        <x:f>IF(E36="","","Comprar")</x:f>
      </x:c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</x:row>
    <x:row r="37">
      <x:c r="A37" s="34" t="str">
        <x:f>IF('Pagos recurrentes'!A13="","",'Pagos recurrentes'!A13)</x:f>
      </x:c>
      <x:c r="B37" s="41" t="str">
        <x:f>IF('Pagos recurrentes'!A13="","",'Pagos recurrentes'!B13)</x:f>
      </x:c>
      <x:c r="C37" s="34" t="str">
        <x:f>IF('Pagos recurrentes'!A13="","",'Pagos recurrentes'!C13)</x:f>
      </x:c>
      <x:c r="D37" s="31"/>
      <x:c r="E37" s="34" t="str">
        <x:f>IFERROR(INDEX(Mercado!$A$6:$A$505,MATCH(8,Mercado!$D$6:$D$505,0)),"")</x:f>
      </x:c>
      <x:c r="F37" s="43" t="str">
        <x:f>IFERROR(INDEX(Mercado!$B$6:$B$505,MATCH(8,Mercado!$D$6:$D$505,0)),"")</x:f>
      </x:c>
      <x:c r="G37" s="34" t="str">
        <x:f>IF(E37="","","Comprar")</x:f>
      </x:c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</x:row>
    <x:row r="38">
      <x:c r="A38" s="34" t="str">
        <x:f>IF('Pagos recurrentes'!A14="","",'Pagos recurrentes'!A14)</x:f>
      </x:c>
      <x:c r="B38" s="41" t="str">
        <x:f>IF('Pagos recurrentes'!A14="","",'Pagos recurrentes'!B14)</x:f>
      </x:c>
      <x:c r="C38" s="34" t="str">
        <x:f>IF('Pagos recurrentes'!A14="","",'Pagos recurrentes'!C14)</x:f>
      </x:c>
      <x:c r="D38" s="31"/>
      <x:c r="E38" s="34" t="str">
        <x:f>IFERROR(INDEX(Mercado!$A$6:$A$505,MATCH(9,Mercado!$D$6:$D$505,0)),"")</x:f>
      </x:c>
      <x:c r="F38" s="43" t="str">
        <x:f>IFERROR(INDEX(Mercado!$B$6:$B$505,MATCH(9,Mercado!$D$6:$D$505,0)),"")</x:f>
      </x:c>
      <x:c r="G38" s="34" t="str">
        <x:f>IF(E38="","","Comprar")</x:f>
      </x:c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</x:row>
    <x:row r="39">
      <x:c r="A39" s="34" t="str">
        <x:f>IF('Pagos recurrentes'!A15="","",'Pagos recurrentes'!A15)</x:f>
      </x:c>
      <x:c r="B39" s="41" t="str">
        <x:f>IF('Pagos recurrentes'!A15="","",'Pagos recurrentes'!B15)</x:f>
      </x:c>
      <x:c r="C39" s="34" t="str">
        <x:f>IF('Pagos recurrentes'!A15="","",'Pagos recurrentes'!C15)</x:f>
      </x:c>
      <x:c r="D39" s="31"/>
      <x:c r="E39" s="34" t="str">
        <x:f>IFERROR(INDEX(Mercado!$A$6:$A$505,MATCH(10,Mercado!$D$6:$D$505,0)),"")</x:f>
      </x:c>
      <x:c r="F39" s="43" t="str">
        <x:f>IFERROR(INDEX(Mercado!$B$6:$B$505,MATCH(10,Mercado!$D$6:$D$505,0)),"")</x:f>
      </x:c>
      <x:c r="G39" s="34" t="str">
        <x:f>IF(E39="","","Comprar")</x:f>
      </x:c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</x:row>
  </x:sheetData>
  <x:mergeCells>
    <x:mergeCell ref="A1:N1"/>
    <x:mergeCell ref="A2:N2"/>
  </x:mergeCells>
  <x:dataValidations count="1">
    <x:dataValidation type="list" sqref="B3">
      <x:formula1>"Enero,Febrero,Marzo,Abril,Mayo,Junio,Julio,Agosto,Septiembre,Octubre,Noviembre,Diciembre"</x:formula1>
    </x:dataValidation>
  </x:dataValidations>
  <x:pageMargins left="0.7" right="0.7" top="0.75" bottom="0.75" header="0.3" footer="0.3"/>
  <x:drawing xmlns:r="http://schemas.openxmlformats.org/officeDocument/2006/relationships" r:id="Re8122028824346f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3.130000114440918" hidden="0" customWidth="1"/>
    <x:col min="3" max="3" width="18.1299991607666" hidden="0" customWidth="1"/>
    <x:col min="4" max="4" width="35" hidden="0" customWidth="1"/>
    <x:col min="5" max="5" width="15" hidden="0" customWidth="1"/>
  </x:cols>
  <x:sheetData>
    <x:row r="1" ht="31.5" customHeight="1">
      <x:c r="A1" s="30" t="str">
        <x:v>Movimientos</x:v>
      </x:c>
      <x:c r="B1" s="30" t="str">
        <x:v>Movimientos</x:v>
      </x:c>
      <x:c r="C1" s="30" t="str">
        <x:v>Movimientos</x:v>
      </x:c>
      <x:c r="D1" s="30" t="str">
        <x:v>Movimientos</x:v>
      </x:c>
      <x:c r="E1" s="30" t="str">
        <x:v>Movimientos</x:v>
      </x:c>
    </x:row>
    <x:row r="2" ht="19.5" customHeight="1">
      <x:c r="A2" s="32" t="str">
        <x:v>Registra aquí todos los ingresos y gastos. El Dashboard se filtra por el mes seleccionado.</x:v>
      </x:c>
      <x:c r="B2" s="32" t="str">
        <x:v>Registra aquí todos los ingresos y gastos. El Dashboard se filtra por el mes seleccionado.</x:v>
      </x:c>
      <x:c r="C2" s="32" t="str">
        <x:v>Registra aquí todos los ingresos y gastos. El Dashboard se filtra por el mes seleccionado.</x:v>
      </x:c>
      <x:c r="D2" s="32" t="str">
        <x:v>Registra aquí todos los ingresos y gastos. El Dashboard se filtra por el mes seleccionado.</x:v>
      </x:c>
      <x:c r="E2" s="32" t="str">
        <x:v>Registra aquí todos los ingresos y gastos. El Dashboard se filtra por el mes seleccionado.</x:v>
      </x:c>
    </x:row>
    <x:row r="3">
      <x:c r="A3" s="31"/>
      <x:c r="B3" s="31"/>
      <x:c r="C3" s="31"/>
      <x:c r="D3" s="31"/>
      <x:c r="E3" s="31"/>
    </x:row>
    <x:row r="4">
      <x:c r="A4" s="31"/>
      <x:c r="B4" s="31"/>
      <x:c r="C4" s="31"/>
      <x:c r="D4" s="31"/>
      <x:c r="E4" s="31"/>
    </x:row>
    <x:row r="5">
      <x:c r="A5" s="33" t="str">
        <x:v>Fecha</x:v>
      </x:c>
      <x:c r="B5" s="33" t="str">
        <x:v>Tipo</x:v>
      </x:c>
      <x:c r="C5" s="33" t="str">
        <x:v>Categoría</x:v>
      </x:c>
      <x:c r="D5" s="33" t="str">
        <x:v>Descripción</x:v>
      </x:c>
      <x:c r="E5" s="33" t="str">
        <x:v>Monto</x:v>
      </x:c>
    </x:row>
    <x:row r="6">
      <x:c r="A6" s="43" t="n">
        <x:v>46027</x:v>
      </x:c>
      <x:c r="B6" s="34" t="str">
        <x:v>Ingreso</x:v>
      </x:c>
      <x:c r="C6" s="34" t="str">
        <x:v>Salario</x:v>
      </x:c>
      <x:c r="D6" s="34" t="str">
        <x:v>Salario enero</x:v>
      </x:c>
      <x:c r="E6" s="41" t="n">
        <x:v>2500</x:v>
      </x:c>
    </x:row>
    <x:row r="7">
      <x:c r="A7" s="43" t="n">
        <x:v>46027</x:v>
      </x:c>
      <x:c r="B7" s="34" t="str">
        <x:v>Fijo</x:v>
      </x:c>
      <x:c r="C7" s="34" t="str">
        <x:v>Renta</x:v>
      </x:c>
      <x:c r="D7" s="34" t="str">
        <x:v>Renta enero</x:v>
      </x:c>
      <x:c r="E7" s="41" t="n">
        <x:v>800</x:v>
      </x:c>
    </x:row>
    <x:row r="8">
      <x:c r="A8" s="43" t="n">
        <x:v>46030</x:v>
      </x:c>
      <x:c r="B8" s="34" t="str">
        <x:v>Variable</x:v>
      </x:c>
      <x:c r="C8" s="34" t="str">
        <x:v>Mercado</x:v>
      </x:c>
      <x:c r="D8" s="34" t="str">
        <x:v>Walmart</x:v>
      </x:c>
      <x:c r="E8" s="41" t="n">
        <x:v>120</x:v>
      </x:c>
    </x:row>
    <x:row r="9">
      <x:c r="A9" s="43" t="n">
        <x:v>46034</x:v>
      </x:c>
      <x:c r="B9" s="34" t="str">
        <x:v>Variable</x:v>
      </x:c>
      <x:c r="C9" s="34" t="str">
        <x:v>Helado</x:v>
      </x:c>
      <x:c r="D9" s="34" t="str">
        <x:v>Heladería</x:v>
      </x:c>
      <x:c r="E9" s="41" t="n">
        <x:v>5</x:v>
      </x:c>
    </x:row>
    <x:row r="10">
      <x:c r="A10" s="43" t="n">
        <x:v>46058</x:v>
      </x:c>
      <x:c r="B10" s="34" t="str">
        <x:v>Ingreso</x:v>
      </x:c>
      <x:c r="C10" s="34" t="str">
        <x:v>Salario</x:v>
      </x:c>
      <x:c r="D10" s="34" t="str">
        <x:v>Salario febrero</x:v>
      </x:c>
      <x:c r="E10" s="41" t="n">
        <x:v>2500</x:v>
      </x:c>
    </x:row>
    <x:row r="11">
      <x:c r="A11" s="43" t="n">
        <x:v>46058</x:v>
      </x:c>
      <x:c r="B11" s="34" t="str">
        <x:v>Fijo</x:v>
      </x:c>
      <x:c r="C11" s="34" t="str">
        <x:v>Renta</x:v>
      </x:c>
      <x:c r="D11" s="34" t="str">
        <x:v>Renta febrero</x:v>
      </x:c>
      <x:c r="E11" s="41" t="n">
        <x:v>800</x:v>
      </x:c>
    </x:row>
    <x:row r="12">
      <x:c r="A12" s="43" t="n">
        <x:v>46063</x:v>
      </x:c>
      <x:c r="B12" s="34" t="str">
        <x:v>Fijo</x:v>
      </x:c>
      <x:c r="C12" s="34" t="str">
        <x:v>Internet</x:v>
      </x:c>
      <x:c r="D12" s="34" t="str">
        <x:v>Internet febrero</x:v>
      </x:c>
      <x:c r="E12" s="41" t="n">
        <x:v>35</x:v>
      </x:c>
    </x:row>
    <x:row r="13">
      <x:c r="A13" s="43" t="n">
        <x:v>46067</x:v>
      </x:c>
      <x:c r="B13" s="34" t="str">
        <x:v>Variable</x:v>
      </x:c>
      <x:c r="C13" s="34" t="str">
        <x:v>Mercado</x:v>
      </x:c>
      <x:c r="D13" s="34" t="str">
        <x:v>Supermercado</x:v>
      </x:c>
      <x:c r="E13" s="41" t="n">
        <x:v>165</x:v>
      </x:c>
    </x:row>
    <x:row r="14">
      <x:c r="A14" s="43" t="n">
        <x:v>46086</x:v>
      </x:c>
      <x:c r="B14" s="34" t="str">
        <x:v>Ingreso</x:v>
      </x:c>
      <x:c r="C14" s="34" t="str">
        <x:v>Salario</x:v>
      </x:c>
      <x:c r="D14" s="34" t="str">
        <x:v>Salario marzo</x:v>
      </x:c>
      <x:c r="E14" s="41" t="n">
        <x:v>2500</x:v>
      </x:c>
    </x:row>
    <x:row r="15">
      <x:c r="A15" s="43" t="n">
        <x:v>46086</x:v>
      </x:c>
      <x:c r="B15" s="34" t="str">
        <x:v>Fijo</x:v>
      </x:c>
      <x:c r="C15" s="34" t="str">
        <x:v>Renta</x:v>
      </x:c>
      <x:c r="D15" s="34" t="str">
        <x:v>Renta marzo</x:v>
      </x:c>
      <x:c r="E15" s="41" t="n">
        <x:v>800</x:v>
      </x:c>
    </x:row>
    <x:row r="16">
      <x:c r="A16" s="43" t="n">
        <x:v>46096</x:v>
      </x:c>
      <x:c r="B16" s="34" t="str">
        <x:v>Fijo</x:v>
      </x:c>
      <x:c r="C16" s="34" t="str">
        <x:v>Luz</x:v>
      </x:c>
      <x:c r="D16" s="34" t="str">
        <x:v>Factura luz</x:v>
      </x:c>
      <x:c r="E16" s="41" t="n">
        <x:v>40</x:v>
      </x:c>
    </x:row>
    <x:row r="17">
      <x:c r="A17" s="43" t="n">
        <x:v>46101</x:v>
      </x:c>
      <x:c r="B17" s="34" t="str">
        <x:v>Variable</x:v>
      </x:c>
      <x:c r="C17" s="34" t="str">
        <x:v>Restaurante</x:v>
      </x:c>
      <x:c r="D17" s="34" t="str">
        <x:v>Cena familiar</x:v>
      </x:c>
      <x:c r="E17" s="41" t="n">
        <x:v>48</x:v>
      </x:c>
    </x:row>
    <x:row r="18">
      <x:c r="A18" s="43" t="n">
        <x:v>46117</x:v>
      </x:c>
      <x:c r="B18" s="34" t="str">
        <x:v>Ingreso</x:v>
      </x:c>
      <x:c r="C18" s="34" t="str">
        <x:v>Salario</x:v>
      </x:c>
      <x:c r="D18" s="34" t="str">
        <x:v>Salario abril</x:v>
      </x:c>
      <x:c r="E18" s="41" t="n">
        <x:v>2500</x:v>
      </x:c>
    </x:row>
    <x:row r="19">
      <x:c r="A19" s="43" t="n">
        <x:v>46117</x:v>
      </x:c>
      <x:c r="B19" s="34" t="str">
        <x:v>Fijo</x:v>
      </x:c>
      <x:c r="C19" s="34" t="str">
        <x:v>Renta</x:v>
      </x:c>
      <x:c r="D19" s="34" t="str">
        <x:v>Renta abril</x:v>
      </x:c>
      <x:c r="E19" s="41" t="n">
        <x:v>800</x:v>
      </x:c>
    </x:row>
    <x:row r="20">
      <x:c r="A20" s="43" t="n">
        <x:v>46130</x:v>
      </x:c>
      <x:c r="B20" s="34" t="str">
        <x:v>Variable</x:v>
      </x:c>
      <x:c r="C20" s="34" t="str">
        <x:v>Mercado</x:v>
      </x:c>
      <x:c r="D20" s="34" t="str">
        <x:v>Compra mensual</x:v>
      </x:c>
      <x:c r="E20" s="41" t="n">
        <x:v>210</x:v>
      </x:c>
    </x:row>
    <x:row r="21">
      <x:c r="A21" s="43"/>
      <x:c r="B21" s="34" t="str"/>
      <x:c r="C21" s="34" t="str"/>
      <x:c r="D21" s="34" t="str"/>
      <x:c r="E21" s="41"/>
    </x:row>
    <x:row r="22">
      <x:c r="A22" s="43"/>
      <x:c r="B22" s="34" t="str"/>
      <x:c r="C22" s="34" t="str"/>
      <x:c r="D22" s="34" t="str"/>
      <x:c r="E22" s="41"/>
    </x:row>
    <x:row r="23">
      <x:c r="A23" s="43"/>
      <x:c r="B23" s="34" t="str"/>
      <x:c r="C23" s="34" t="str"/>
      <x:c r="D23" s="34" t="str"/>
      <x:c r="E23" s="41"/>
    </x:row>
    <x:row r="24">
      <x:c r="A24" s="43"/>
      <x:c r="B24" s="34" t="str"/>
      <x:c r="C24" s="34" t="str"/>
      <x:c r="D24" s="34" t="str"/>
      <x:c r="E24" s="41"/>
    </x:row>
    <x:row r="25">
      <x:c r="A25" s="43"/>
      <x:c r="B25" s="34" t="str"/>
      <x:c r="C25" s="34" t="str"/>
      <x:c r="D25" s="34" t="str"/>
      <x:c r="E25" s="41"/>
    </x:row>
    <x:row r="26">
      <x:c r="A26" s="43"/>
      <x:c r="B26" s="34" t="str"/>
      <x:c r="C26" s="34" t="str"/>
      <x:c r="D26" s="34" t="str"/>
      <x:c r="E26" s="41"/>
    </x:row>
    <x:row r="27">
      <x:c r="A27" s="43"/>
      <x:c r="B27" s="34" t="str"/>
      <x:c r="C27" s="34" t="str"/>
      <x:c r="D27" s="34" t="str"/>
      <x:c r="E27" s="41"/>
    </x:row>
    <x:row r="28">
      <x:c r="A28" s="43"/>
      <x:c r="B28" s="34" t="str"/>
      <x:c r="C28" s="34" t="str"/>
      <x:c r="D28" s="34" t="str"/>
      <x:c r="E28" s="41"/>
    </x:row>
    <x:row r="29">
      <x:c r="A29" s="43"/>
      <x:c r="B29" s="34" t="str"/>
      <x:c r="C29" s="34" t="str"/>
      <x:c r="D29" s="34" t="str"/>
      <x:c r="E29" s="41"/>
    </x:row>
    <x:row r="30">
      <x:c r="A30" s="43"/>
      <x:c r="B30" s="34" t="str"/>
      <x:c r="C30" s="34" t="str"/>
      <x:c r="D30" s="34" t="str"/>
      <x:c r="E30" s="41"/>
    </x:row>
    <x:row r="31">
      <x:c r="A31" s="43"/>
      <x:c r="B31" s="34" t="str"/>
      <x:c r="C31" s="34" t="str"/>
      <x:c r="D31" s="34" t="str"/>
      <x:c r="E31" s="41"/>
    </x:row>
    <x:row r="32">
      <x:c r="A32" s="43"/>
      <x:c r="B32" s="34" t="str"/>
      <x:c r="C32" s="34" t="str"/>
      <x:c r="D32" s="34" t="str"/>
      <x:c r="E32" s="41"/>
    </x:row>
    <x:row r="33">
      <x:c r="A33" s="43"/>
      <x:c r="B33" s="34" t="str"/>
      <x:c r="C33" s="34" t="str"/>
      <x:c r="D33" s="34" t="str"/>
      <x:c r="E33" s="41"/>
    </x:row>
    <x:row r="34">
      <x:c r="A34" s="43"/>
      <x:c r="B34" s="34" t="str"/>
      <x:c r="C34" s="34" t="str"/>
      <x:c r="D34" s="34" t="str"/>
      <x:c r="E34" s="41"/>
    </x:row>
    <x:row r="35">
      <x:c r="A35" s="43"/>
      <x:c r="B35" s="34" t="str"/>
      <x:c r="C35" s="34" t="str"/>
      <x:c r="D35" s="34" t="str"/>
      <x:c r="E35" s="41"/>
    </x:row>
    <x:row r="36">
      <x:c r="A36" s="43"/>
      <x:c r="B36" s="34" t="str"/>
      <x:c r="C36" s="34" t="str"/>
      <x:c r="D36" s="34" t="str"/>
      <x:c r="E36" s="41"/>
    </x:row>
    <x:row r="37">
      <x:c r="A37" s="43"/>
      <x:c r="B37" s="34" t="str"/>
      <x:c r="C37" s="34" t="str"/>
      <x:c r="D37" s="34" t="str"/>
      <x:c r="E37" s="41"/>
    </x:row>
    <x:row r="38">
      <x:c r="A38" s="43"/>
      <x:c r="B38" s="34" t="str"/>
      <x:c r="C38" s="34" t="str"/>
      <x:c r="D38" s="34" t="str"/>
      <x:c r="E38" s="41"/>
    </x:row>
    <x:row r="39">
      <x:c r="A39" s="43"/>
      <x:c r="B39" s="34" t="str"/>
      <x:c r="C39" s="34" t="str"/>
      <x:c r="D39" s="34" t="str"/>
      <x:c r="E39" s="41"/>
    </x:row>
    <x:row r="40">
      <x:c r="A40" s="43"/>
      <x:c r="B40" s="34" t="str"/>
      <x:c r="C40" s="34" t="str"/>
      <x:c r="D40" s="34" t="str"/>
      <x:c r="E40" s="41"/>
    </x:row>
    <x:row r="41">
      <x:c r="A41" s="43"/>
      <x:c r="B41" s="34" t="str"/>
      <x:c r="C41" s="34" t="str"/>
      <x:c r="D41" s="34" t="str"/>
      <x:c r="E41" s="41"/>
    </x:row>
    <x:row r="42">
      <x:c r="A42" s="43"/>
      <x:c r="B42" s="34" t="str"/>
      <x:c r="C42" s="34" t="str"/>
      <x:c r="D42" s="34" t="str"/>
      <x:c r="E42" s="41"/>
    </x:row>
    <x:row r="43">
      <x:c r="A43" s="43"/>
      <x:c r="B43" s="34" t="str"/>
      <x:c r="C43" s="34" t="str"/>
      <x:c r="D43" s="34" t="str"/>
      <x:c r="E43" s="41"/>
    </x:row>
    <x:row r="44">
      <x:c r="A44" s="43"/>
      <x:c r="B44" s="34" t="str"/>
      <x:c r="C44" s="34" t="str"/>
      <x:c r="D44" s="34" t="str"/>
      <x:c r="E44" s="41"/>
    </x:row>
    <x:row r="45">
      <x:c r="A45" s="43"/>
      <x:c r="B45" s="34" t="str"/>
      <x:c r="C45" s="34" t="str"/>
      <x:c r="D45" s="34" t="str"/>
      <x:c r="E45" s="41"/>
    </x:row>
    <x:row r="46">
      <x:c r="A46" s="43"/>
      <x:c r="B46" s="34" t="str"/>
      <x:c r="C46" s="34" t="str"/>
      <x:c r="D46" s="34" t="str"/>
      <x:c r="E46" s="41"/>
    </x:row>
    <x:row r="47">
      <x:c r="A47" s="43"/>
      <x:c r="B47" s="34" t="str"/>
      <x:c r="C47" s="34" t="str"/>
      <x:c r="D47" s="34" t="str"/>
      <x:c r="E47" s="41"/>
    </x:row>
    <x:row r="48">
      <x:c r="A48" s="43"/>
      <x:c r="B48" s="34" t="str"/>
      <x:c r="C48" s="34" t="str"/>
      <x:c r="D48" s="34" t="str"/>
      <x:c r="E48" s="41"/>
    </x:row>
    <x:row r="49">
      <x:c r="A49" s="43"/>
      <x:c r="B49" s="34" t="str"/>
      <x:c r="C49" s="34" t="str"/>
      <x:c r="D49" s="34" t="str"/>
      <x:c r="E49" s="41"/>
    </x:row>
    <x:row r="50">
      <x:c r="A50" s="43"/>
      <x:c r="B50" s="34" t="str"/>
      <x:c r="C50" s="34" t="str"/>
      <x:c r="D50" s="34" t="str"/>
      <x:c r="E50" s="41"/>
    </x:row>
    <x:row r="51">
      <x:c r="A51" s="43"/>
      <x:c r="B51" s="34" t="str"/>
      <x:c r="C51" s="34" t="str"/>
      <x:c r="D51" s="34" t="str"/>
      <x:c r="E51" s="41"/>
    </x:row>
    <x:row r="52">
      <x:c r="A52" s="43"/>
      <x:c r="B52" s="34" t="str"/>
      <x:c r="C52" s="34" t="str"/>
      <x:c r="D52" s="34" t="str"/>
      <x:c r="E52" s="41"/>
    </x:row>
    <x:row r="53">
      <x:c r="A53" s="43"/>
      <x:c r="B53" s="34" t="str"/>
      <x:c r="C53" s="34" t="str"/>
      <x:c r="D53" s="34" t="str"/>
      <x:c r="E53" s="41"/>
    </x:row>
    <x:row r="54">
      <x:c r="A54" s="43"/>
      <x:c r="B54" s="34" t="str"/>
      <x:c r="C54" s="34" t="str"/>
      <x:c r="D54" s="34" t="str"/>
      <x:c r="E54" s="41"/>
    </x:row>
    <x:row r="55">
      <x:c r="A55" s="43"/>
      <x:c r="B55" s="34" t="str"/>
      <x:c r="C55" s="34" t="str"/>
      <x:c r="D55" s="34" t="str"/>
      <x:c r="E55" s="41"/>
    </x:row>
    <x:row r="56">
      <x:c r="A56" s="43"/>
      <x:c r="B56" s="34" t="str"/>
      <x:c r="C56" s="34" t="str"/>
      <x:c r="D56" s="34" t="str"/>
      <x:c r="E56" s="41"/>
    </x:row>
    <x:row r="57">
      <x:c r="A57" s="43"/>
      <x:c r="B57" s="34" t="str"/>
      <x:c r="C57" s="34" t="str"/>
      <x:c r="D57" s="34" t="str"/>
      <x:c r="E57" s="41"/>
    </x:row>
    <x:row r="58">
      <x:c r="A58" s="43"/>
      <x:c r="B58" s="34" t="str"/>
      <x:c r="C58" s="34" t="str"/>
      <x:c r="D58" s="34" t="str"/>
      <x:c r="E58" s="41"/>
    </x:row>
    <x:row r="59">
      <x:c r="A59" s="43"/>
      <x:c r="B59" s="34" t="str"/>
      <x:c r="C59" s="34" t="str"/>
      <x:c r="D59" s="34" t="str"/>
      <x:c r="E59" s="41"/>
    </x:row>
    <x:row r="60">
      <x:c r="A60" s="43"/>
      <x:c r="B60" s="34" t="str"/>
      <x:c r="C60" s="34" t="str"/>
      <x:c r="D60" s="34" t="str"/>
      <x:c r="E60" s="41"/>
    </x:row>
    <x:row r="61">
      <x:c r="A61" s="43"/>
      <x:c r="B61" s="34" t="str"/>
      <x:c r="C61" s="34" t="str"/>
      <x:c r="D61" s="34" t="str"/>
      <x:c r="E61" s="41"/>
    </x:row>
    <x:row r="62">
      <x:c r="A62" s="43"/>
      <x:c r="B62" s="34" t="str"/>
      <x:c r="C62" s="34" t="str"/>
      <x:c r="D62" s="34" t="str"/>
      <x:c r="E62" s="41"/>
    </x:row>
    <x:row r="63">
      <x:c r="A63" s="43"/>
      <x:c r="B63" s="34" t="str"/>
      <x:c r="C63" s="34" t="str"/>
      <x:c r="D63" s="34" t="str"/>
      <x:c r="E63" s="41"/>
    </x:row>
    <x:row r="64">
      <x:c r="A64" s="43"/>
      <x:c r="B64" s="34" t="str"/>
      <x:c r="C64" s="34" t="str"/>
      <x:c r="D64" s="34" t="str"/>
      <x:c r="E64" s="41"/>
    </x:row>
    <x:row r="65">
      <x:c r="A65" s="43"/>
      <x:c r="B65" s="34" t="str"/>
      <x:c r="C65" s="34" t="str"/>
      <x:c r="D65" s="34" t="str"/>
      <x:c r="E65" s="41"/>
    </x:row>
    <x:row r="66">
      <x:c r="A66" s="43"/>
      <x:c r="B66" s="34" t="str"/>
      <x:c r="C66" s="34" t="str"/>
      <x:c r="D66" s="34" t="str"/>
      <x:c r="E66" s="41"/>
    </x:row>
    <x:row r="67">
      <x:c r="A67" s="43"/>
      <x:c r="B67" s="34" t="str"/>
      <x:c r="C67" s="34" t="str"/>
      <x:c r="D67" s="34" t="str"/>
      <x:c r="E67" s="41"/>
    </x:row>
    <x:row r="68">
      <x:c r="A68" s="43"/>
      <x:c r="B68" s="34" t="str"/>
      <x:c r="C68" s="34" t="str"/>
      <x:c r="D68" s="34" t="str"/>
      <x:c r="E68" s="41"/>
    </x:row>
    <x:row r="69">
      <x:c r="A69" s="43"/>
      <x:c r="B69" s="34" t="str"/>
      <x:c r="C69" s="34" t="str"/>
      <x:c r="D69" s="34" t="str"/>
      <x:c r="E69" s="41"/>
    </x:row>
    <x:row r="70">
      <x:c r="A70" s="43"/>
      <x:c r="B70" s="34" t="str"/>
      <x:c r="C70" s="34" t="str"/>
      <x:c r="D70" s="34" t="str"/>
      <x:c r="E70" s="41"/>
    </x:row>
    <x:row r="71">
      <x:c r="A71" s="43"/>
      <x:c r="B71" s="34" t="str"/>
      <x:c r="C71" s="34" t="str"/>
      <x:c r="D71" s="34" t="str"/>
      <x:c r="E71" s="41"/>
    </x:row>
    <x:row r="72">
      <x:c r="A72" s="43"/>
      <x:c r="B72" s="34" t="str"/>
      <x:c r="C72" s="34" t="str"/>
      <x:c r="D72" s="34" t="str"/>
      <x:c r="E72" s="41"/>
    </x:row>
    <x:row r="73">
      <x:c r="A73" s="43"/>
      <x:c r="B73" s="34" t="str"/>
      <x:c r="C73" s="34" t="str"/>
      <x:c r="D73" s="34" t="str"/>
      <x:c r="E73" s="41"/>
    </x:row>
    <x:row r="74">
      <x:c r="A74" s="43"/>
      <x:c r="B74" s="34" t="str"/>
      <x:c r="C74" s="34" t="str"/>
      <x:c r="D74" s="34" t="str"/>
      <x:c r="E74" s="41"/>
    </x:row>
    <x:row r="75">
      <x:c r="A75" s="43"/>
      <x:c r="B75" s="34" t="str"/>
      <x:c r="C75" s="34" t="str"/>
      <x:c r="D75" s="34" t="str"/>
      <x:c r="E75" s="41"/>
    </x:row>
    <x:row r="76">
      <x:c r="A76" s="43"/>
      <x:c r="B76" s="34" t="str"/>
      <x:c r="C76" s="34" t="str"/>
      <x:c r="D76" s="34" t="str"/>
      <x:c r="E76" s="41"/>
    </x:row>
    <x:row r="77">
      <x:c r="A77" s="43"/>
      <x:c r="B77" s="34" t="str"/>
      <x:c r="C77" s="34" t="str"/>
      <x:c r="D77" s="34" t="str"/>
      <x:c r="E77" s="41"/>
    </x:row>
    <x:row r="78">
      <x:c r="A78" s="43"/>
      <x:c r="B78" s="34" t="str"/>
      <x:c r="C78" s="34" t="str"/>
      <x:c r="D78" s="34" t="str"/>
      <x:c r="E78" s="41"/>
    </x:row>
    <x:row r="79">
      <x:c r="A79" s="43"/>
      <x:c r="B79" s="34" t="str"/>
      <x:c r="C79" s="34" t="str"/>
      <x:c r="D79" s="34" t="str"/>
      <x:c r="E79" s="41"/>
    </x:row>
    <x:row r="80">
      <x:c r="A80" s="43"/>
      <x:c r="B80" s="34" t="str"/>
      <x:c r="C80" s="34" t="str"/>
      <x:c r="D80" s="34" t="str"/>
      <x:c r="E80" s="41"/>
    </x:row>
    <x:row r="81">
      <x:c r="A81" s="43"/>
      <x:c r="B81" s="34" t="str"/>
      <x:c r="C81" s="34" t="str"/>
      <x:c r="D81" s="34" t="str"/>
      <x:c r="E81" s="41"/>
    </x:row>
    <x:row r="82">
      <x:c r="A82" s="43"/>
      <x:c r="B82" s="34" t="str"/>
      <x:c r="C82" s="34" t="str"/>
      <x:c r="D82" s="34" t="str"/>
      <x:c r="E82" s="41"/>
    </x:row>
    <x:row r="83">
      <x:c r="A83" s="43"/>
      <x:c r="B83" s="34" t="str"/>
      <x:c r="C83" s="34" t="str"/>
      <x:c r="D83" s="34" t="str"/>
      <x:c r="E83" s="41"/>
    </x:row>
    <x:row r="84">
      <x:c r="A84" s="43"/>
      <x:c r="B84" s="34" t="str"/>
      <x:c r="C84" s="34" t="str"/>
      <x:c r="D84" s="34" t="str"/>
      <x:c r="E84" s="41"/>
    </x:row>
    <x:row r="85">
      <x:c r="A85" s="43"/>
      <x:c r="B85" s="34" t="str"/>
      <x:c r="C85" s="34" t="str"/>
      <x:c r="D85" s="34" t="str"/>
      <x:c r="E85" s="41"/>
    </x:row>
    <x:row r="86">
      <x:c r="A86" s="43"/>
      <x:c r="B86" s="34" t="str"/>
      <x:c r="C86" s="34" t="str"/>
      <x:c r="D86" s="34" t="str"/>
      <x:c r="E86" s="41"/>
    </x:row>
    <x:row r="87">
      <x:c r="A87" s="43"/>
      <x:c r="B87" s="34" t="str"/>
      <x:c r="C87" s="34" t="str"/>
      <x:c r="D87" s="34" t="str"/>
      <x:c r="E87" s="41"/>
    </x:row>
    <x:row r="88">
      <x:c r="A88" s="43"/>
      <x:c r="B88" s="34" t="str"/>
      <x:c r="C88" s="34" t="str"/>
      <x:c r="D88" s="34" t="str"/>
      <x:c r="E88" s="41"/>
    </x:row>
    <x:row r="89">
      <x:c r="A89" s="43"/>
      <x:c r="B89" s="34" t="str"/>
      <x:c r="C89" s="34" t="str"/>
      <x:c r="D89" s="34" t="str"/>
      <x:c r="E89" s="41"/>
    </x:row>
    <x:row r="90">
      <x:c r="A90" s="43"/>
      <x:c r="B90" s="34" t="str"/>
      <x:c r="C90" s="34" t="str"/>
      <x:c r="D90" s="34" t="str"/>
      <x:c r="E90" s="41"/>
    </x:row>
    <x:row r="91">
      <x:c r="A91" s="43"/>
      <x:c r="B91" s="34" t="str"/>
      <x:c r="C91" s="34" t="str"/>
      <x:c r="D91" s="34" t="str"/>
      <x:c r="E91" s="41"/>
    </x:row>
    <x:row r="92">
      <x:c r="A92" s="43"/>
      <x:c r="B92" s="34" t="str"/>
      <x:c r="C92" s="34" t="str"/>
      <x:c r="D92" s="34" t="str"/>
      <x:c r="E92" s="41"/>
    </x:row>
    <x:row r="93">
      <x:c r="A93" s="43"/>
      <x:c r="B93" s="34" t="str"/>
      <x:c r="C93" s="34" t="str"/>
      <x:c r="D93" s="34" t="str"/>
      <x:c r="E93" s="41"/>
    </x:row>
    <x:row r="94">
      <x:c r="A94" s="43"/>
      <x:c r="B94" s="34" t="str"/>
      <x:c r="C94" s="34" t="str"/>
      <x:c r="D94" s="34" t="str"/>
      <x:c r="E94" s="41"/>
    </x:row>
    <x:row r="95">
      <x:c r="A95" s="43"/>
      <x:c r="B95" s="34" t="str"/>
      <x:c r="C95" s="34" t="str"/>
      <x:c r="D95" s="34" t="str"/>
      <x:c r="E95" s="41"/>
    </x:row>
    <x:row r="96">
      <x:c r="A96" s="43"/>
      <x:c r="B96" s="34" t="str"/>
      <x:c r="C96" s="34" t="str"/>
      <x:c r="D96" s="34" t="str"/>
      <x:c r="E96" s="41"/>
    </x:row>
    <x:row r="97">
      <x:c r="A97" s="43"/>
      <x:c r="B97" s="34" t="str"/>
      <x:c r="C97" s="34" t="str"/>
      <x:c r="D97" s="34" t="str"/>
      <x:c r="E97" s="41"/>
    </x:row>
    <x:row r="98">
      <x:c r="A98" s="43"/>
      <x:c r="B98" s="34" t="str"/>
      <x:c r="C98" s="34" t="str"/>
      <x:c r="D98" s="34" t="str"/>
      <x:c r="E98" s="41"/>
    </x:row>
    <x:row r="99">
      <x:c r="A99" s="43"/>
      <x:c r="B99" s="34" t="str"/>
      <x:c r="C99" s="34" t="str"/>
      <x:c r="D99" s="34" t="str"/>
      <x:c r="E99" s="41"/>
    </x:row>
    <x:row r="100">
      <x:c r="A100" s="43"/>
      <x:c r="B100" s="34" t="str"/>
      <x:c r="C100" s="34" t="str"/>
      <x:c r="D100" s="34" t="str"/>
      <x:c r="E100" s="41"/>
    </x:row>
    <x:row r="101">
      <x:c r="A101" s="43"/>
      <x:c r="B101" s="34" t="str"/>
      <x:c r="C101" s="34" t="str"/>
      <x:c r="D101" s="34" t="str"/>
      <x:c r="E101" s="41"/>
    </x:row>
    <x:row r="102">
      <x:c r="A102" s="43"/>
      <x:c r="B102" s="34" t="str"/>
      <x:c r="C102" s="34" t="str"/>
      <x:c r="D102" s="34" t="str"/>
      <x:c r="E102" s="41"/>
    </x:row>
    <x:row r="103">
      <x:c r="A103" s="43"/>
      <x:c r="B103" s="34" t="str"/>
      <x:c r="C103" s="34" t="str"/>
      <x:c r="D103" s="34" t="str"/>
      <x:c r="E103" s="41"/>
    </x:row>
    <x:row r="104">
      <x:c r="A104" s="43"/>
      <x:c r="B104" s="34" t="str"/>
      <x:c r="C104" s="34" t="str"/>
      <x:c r="D104" s="34" t="str"/>
      <x:c r="E104" s="41"/>
    </x:row>
    <x:row r="105">
      <x:c r="A105" s="43"/>
      <x:c r="B105" s="34" t="str"/>
      <x:c r="C105" s="34" t="str"/>
      <x:c r="D105" s="34" t="str"/>
      <x:c r="E105" s="41"/>
    </x:row>
    <x:row r="106">
      <x:c r="A106" s="43"/>
      <x:c r="B106" s="34" t="str"/>
      <x:c r="C106" s="34" t="str"/>
      <x:c r="D106" s="34" t="str"/>
      <x:c r="E106" s="41"/>
    </x:row>
    <x:row r="107">
      <x:c r="A107" s="43"/>
      <x:c r="B107" s="34" t="str"/>
      <x:c r="C107" s="34" t="str"/>
      <x:c r="D107" s="34" t="str"/>
      <x:c r="E107" s="41"/>
    </x:row>
    <x:row r="108">
      <x:c r="A108" s="43"/>
      <x:c r="B108" s="34" t="str"/>
      <x:c r="C108" s="34" t="str"/>
      <x:c r="D108" s="34" t="str"/>
      <x:c r="E108" s="41"/>
    </x:row>
    <x:row r="109">
      <x:c r="A109" s="43"/>
      <x:c r="B109" s="34" t="str"/>
      <x:c r="C109" s="34" t="str"/>
      <x:c r="D109" s="34" t="str"/>
      <x:c r="E109" s="41"/>
    </x:row>
    <x:row r="110">
      <x:c r="A110" s="43"/>
      <x:c r="B110" s="34" t="str"/>
      <x:c r="C110" s="34" t="str"/>
      <x:c r="D110" s="34" t="str"/>
      <x:c r="E110" s="41"/>
    </x:row>
    <x:row r="111">
      <x:c r="A111" s="43"/>
      <x:c r="B111" s="34" t="str"/>
      <x:c r="C111" s="34" t="str"/>
      <x:c r="D111" s="34" t="str"/>
      <x:c r="E111" s="41"/>
    </x:row>
    <x:row r="112">
      <x:c r="A112" s="43"/>
      <x:c r="B112" s="34" t="str"/>
      <x:c r="C112" s="34" t="str"/>
      <x:c r="D112" s="34" t="str"/>
      <x:c r="E112" s="41"/>
    </x:row>
    <x:row r="113">
      <x:c r="A113" s="43"/>
      <x:c r="B113" s="34" t="str"/>
      <x:c r="C113" s="34" t="str"/>
      <x:c r="D113" s="34" t="str"/>
      <x:c r="E113" s="41"/>
    </x:row>
    <x:row r="114">
      <x:c r="A114" s="43"/>
      <x:c r="B114" s="34" t="str"/>
      <x:c r="C114" s="34" t="str"/>
      <x:c r="D114" s="34" t="str"/>
      <x:c r="E114" s="41"/>
    </x:row>
    <x:row r="115">
      <x:c r="A115" s="43"/>
      <x:c r="B115" s="34" t="str"/>
      <x:c r="C115" s="34" t="str"/>
      <x:c r="D115" s="34" t="str"/>
      <x:c r="E115" s="41"/>
    </x:row>
    <x:row r="116">
      <x:c r="A116" s="43"/>
      <x:c r="B116" s="34" t="str"/>
      <x:c r="C116" s="34" t="str"/>
      <x:c r="D116" s="34" t="str"/>
      <x:c r="E116" s="41"/>
    </x:row>
    <x:row r="117">
      <x:c r="A117" s="43"/>
      <x:c r="B117" s="34" t="str"/>
      <x:c r="C117" s="34" t="str"/>
      <x:c r="D117" s="34" t="str"/>
      <x:c r="E117" s="41"/>
    </x:row>
    <x:row r="118">
      <x:c r="A118" s="43"/>
      <x:c r="B118" s="34" t="str"/>
      <x:c r="C118" s="34" t="str"/>
      <x:c r="D118" s="34" t="str"/>
      <x:c r="E118" s="41"/>
    </x:row>
    <x:row r="119">
      <x:c r="A119" s="43"/>
      <x:c r="B119" s="34" t="str"/>
      <x:c r="C119" s="34" t="str"/>
      <x:c r="D119" s="34" t="str"/>
      <x:c r="E119" s="41"/>
    </x:row>
    <x:row r="120">
      <x:c r="A120" s="43"/>
      <x:c r="B120" s="34" t="str"/>
      <x:c r="C120" s="34" t="str"/>
      <x:c r="D120" s="34" t="str"/>
      <x:c r="E120" s="41"/>
    </x:row>
    <x:row r="121">
      <x:c r="A121" s="43"/>
      <x:c r="B121" s="34" t="str"/>
      <x:c r="C121" s="34" t="str"/>
      <x:c r="D121" s="34" t="str"/>
      <x:c r="E121" s="41"/>
    </x:row>
    <x:row r="122">
      <x:c r="A122" s="43"/>
      <x:c r="B122" s="34" t="str"/>
      <x:c r="C122" s="34" t="str"/>
      <x:c r="D122" s="34" t="str"/>
      <x:c r="E122" s="41"/>
    </x:row>
    <x:row r="123">
      <x:c r="A123" s="43"/>
      <x:c r="B123" s="34" t="str"/>
      <x:c r="C123" s="34" t="str"/>
      <x:c r="D123" s="34" t="str"/>
      <x:c r="E123" s="41"/>
    </x:row>
    <x:row r="124">
      <x:c r="A124" s="43"/>
      <x:c r="B124" s="34" t="str"/>
      <x:c r="C124" s="34" t="str"/>
      <x:c r="D124" s="34" t="str"/>
      <x:c r="E124" s="41"/>
    </x:row>
    <x:row r="125">
      <x:c r="A125" s="43"/>
      <x:c r="B125" s="34" t="str"/>
      <x:c r="C125" s="34" t="str"/>
      <x:c r="D125" s="34" t="str"/>
      <x:c r="E125" s="41"/>
    </x:row>
    <x:row r="126">
      <x:c r="A126" s="43"/>
      <x:c r="B126" s="34" t="str"/>
      <x:c r="C126" s="34" t="str"/>
      <x:c r="D126" s="34" t="str"/>
      <x:c r="E126" s="41"/>
    </x:row>
    <x:row r="127">
      <x:c r="A127" s="43"/>
      <x:c r="B127" s="34" t="str"/>
      <x:c r="C127" s="34" t="str"/>
      <x:c r="D127" s="34" t="str"/>
      <x:c r="E127" s="41"/>
    </x:row>
    <x:row r="128">
      <x:c r="A128" s="43"/>
      <x:c r="B128" s="34" t="str"/>
      <x:c r="C128" s="34" t="str"/>
      <x:c r="D128" s="34" t="str"/>
      <x:c r="E128" s="41"/>
    </x:row>
    <x:row r="129">
      <x:c r="A129" s="43"/>
      <x:c r="B129" s="34" t="str"/>
      <x:c r="C129" s="34" t="str"/>
      <x:c r="D129" s="34" t="str"/>
      <x:c r="E129" s="41"/>
    </x:row>
    <x:row r="130">
      <x:c r="A130" s="43"/>
      <x:c r="B130" s="34" t="str"/>
      <x:c r="C130" s="34" t="str"/>
      <x:c r="D130" s="34" t="str"/>
      <x:c r="E130" s="41"/>
    </x:row>
    <x:row r="131">
      <x:c r="A131" s="43"/>
      <x:c r="B131" s="34" t="str"/>
      <x:c r="C131" s="34" t="str"/>
      <x:c r="D131" s="34" t="str"/>
      <x:c r="E131" s="41"/>
    </x:row>
    <x:row r="132">
      <x:c r="A132" s="43"/>
      <x:c r="B132" s="34" t="str"/>
      <x:c r="C132" s="34" t="str"/>
      <x:c r="D132" s="34" t="str"/>
      <x:c r="E132" s="41"/>
    </x:row>
    <x:row r="133">
      <x:c r="A133" s="43"/>
      <x:c r="B133" s="34" t="str"/>
      <x:c r="C133" s="34" t="str"/>
      <x:c r="D133" s="34" t="str"/>
      <x:c r="E133" s="41"/>
    </x:row>
    <x:row r="134">
      <x:c r="A134" s="43"/>
      <x:c r="B134" s="34" t="str"/>
      <x:c r="C134" s="34" t="str"/>
      <x:c r="D134" s="34" t="str"/>
      <x:c r="E134" s="41"/>
    </x:row>
    <x:row r="135">
      <x:c r="A135" s="43"/>
      <x:c r="B135" s="34" t="str"/>
      <x:c r="C135" s="34" t="str"/>
      <x:c r="D135" s="34" t="str"/>
      <x:c r="E135" s="41"/>
    </x:row>
    <x:row r="136">
      <x:c r="A136" s="43"/>
      <x:c r="B136" s="34" t="str"/>
      <x:c r="C136" s="34" t="str"/>
      <x:c r="D136" s="34" t="str"/>
      <x:c r="E136" s="41"/>
    </x:row>
    <x:row r="137">
      <x:c r="A137" s="43"/>
      <x:c r="B137" s="34" t="str"/>
      <x:c r="C137" s="34" t="str"/>
      <x:c r="D137" s="34" t="str"/>
      <x:c r="E137" s="41"/>
    </x:row>
    <x:row r="138">
      <x:c r="A138" s="43"/>
      <x:c r="B138" s="34" t="str"/>
      <x:c r="C138" s="34" t="str"/>
      <x:c r="D138" s="34" t="str"/>
      <x:c r="E138" s="41"/>
    </x:row>
    <x:row r="139">
      <x:c r="A139" s="43"/>
      <x:c r="B139" s="34" t="str"/>
      <x:c r="C139" s="34" t="str"/>
      <x:c r="D139" s="34" t="str"/>
      <x:c r="E139" s="41"/>
    </x:row>
    <x:row r="140">
      <x:c r="A140" s="43"/>
      <x:c r="B140" s="34" t="str"/>
      <x:c r="C140" s="34" t="str"/>
      <x:c r="D140" s="34" t="str"/>
      <x:c r="E140" s="41"/>
    </x:row>
    <x:row r="141">
      <x:c r="A141" s="43"/>
      <x:c r="B141" s="34" t="str"/>
      <x:c r="C141" s="34" t="str"/>
      <x:c r="D141" s="34" t="str"/>
      <x:c r="E141" s="41"/>
    </x:row>
    <x:row r="142">
      <x:c r="A142" s="43"/>
      <x:c r="B142" s="34" t="str"/>
      <x:c r="C142" s="34" t="str"/>
      <x:c r="D142" s="34" t="str"/>
      <x:c r="E142" s="41"/>
    </x:row>
    <x:row r="143">
      <x:c r="A143" s="43"/>
      <x:c r="B143" s="34" t="str"/>
      <x:c r="C143" s="34" t="str"/>
      <x:c r="D143" s="34" t="str"/>
      <x:c r="E143" s="41"/>
    </x:row>
    <x:row r="144">
      <x:c r="A144" s="43"/>
      <x:c r="B144" s="34" t="str"/>
      <x:c r="C144" s="34" t="str"/>
      <x:c r="D144" s="34" t="str"/>
      <x:c r="E144" s="41"/>
    </x:row>
    <x:row r="145">
      <x:c r="A145" s="43"/>
      <x:c r="B145" s="34" t="str"/>
      <x:c r="C145" s="34" t="str"/>
      <x:c r="D145" s="34" t="str"/>
      <x:c r="E145" s="41"/>
    </x:row>
    <x:row r="146">
      <x:c r="A146" s="43"/>
      <x:c r="B146" s="34" t="str"/>
      <x:c r="C146" s="34" t="str"/>
      <x:c r="D146" s="34" t="str"/>
      <x:c r="E146" s="41"/>
    </x:row>
    <x:row r="147">
      <x:c r="A147" s="43"/>
      <x:c r="B147" s="34" t="str"/>
      <x:c r="C147" s="34" t="str"/>
      <x:c r="D147" s="34" t="str"/>
      <x:c r="E147" s="41"/>
    </x:row>
    <x:row r="148">
      <x:c r="A148" s="43"/>
      <x:c r="B148" s="34" t="str"/>
      <x:c r="C148" s="34" t="str"/>
      <x:c r="D148" s="34" t="str"/>
      <x:c r="E148" s="41"/>
    </x:row>
    <x:row r="149">
      <x:c r="A149" s="43"/>
      <x:c r="B149" s="34" t="str"/>
      <x:c r="C149" s="34" t="str"/>
      <x:c r="D149" s="34" t="str"/>
      <x:c r="E149" s="41"/>
    </x:row>
    <x:row r="150">
      <x:c r="A150" s="43"/>
      <x:c r="B150" s="34" t="str"/>
      <x:c r="C150" s="34" t="str"/>
      <x:c r="D150" s="34" t="str"/>
      <x:c r="E150" s="41"/>
    </x:row>
    <x:row r="151">
      <x:c r="A151" s="43"/>
      <x:c r="B151" s="34" t="str"/>
      <x:c r="C151" s="34" t="str"/>
      <x:c r="D151" s="34" t="str"/>
      <x:c r="E151" s="41"/>
    </x:row>
    <x:row r="152">
      <x:c r="A152" s="43"/>
      <x:c r="B152" s="34" t="str"/>
      <x:c r="C152" s="34" t="str"/>
      <x:c r="D152" s="34" t="str"/>
      <x:c r="E152" s="41"/>
    </x:row>
    <x:row r="153">
      <x:c r="A153" s="43"/>
      <x:c r="B153" s="34" t="str"/>
      <x:c r="C153" s="34" t="str"/>
      <x:c r="D153" s="34" t="str"/>
      <x:c r="E153" s="41"/>
    </x:row>
    <x:row r="154">
      <x:c r="A154" s="43"/>
      <x:c r="B154" s="34" t="str"/>
      <x:c r="C154" s="34" t="str"/>
      <x:c r="D154" s="34" t="str"/>
      <x:c r="E154" s="41"/>
    </x:row>
    <x:row r="155">
      <x:c r="A155" s="43"/>
      <x:c r="B155" s="34" t="str"/>
      <x:c r="C155" s="34" t="str"/>
      <x:c r="D155" s="34" t="str"/>
      <x:c r="E155" s="41"/>
    </x:row>
    <x:row r="156">
      <x:c r="A156" s="43"/>
      <x:c r="B156" s="34" t="str"/>
      <x:c r="C156" s="34" t="str"/>
      <x:c r="D156" s="34" t="str"/>
      <x:c r="E156" s="41"/>
    </x:row>
    <x:row r="157">
      <x:c r="A157" s="43"/>
      <x:c r="B157" s="34" t="str"/>
      <x:c r="C157" s="34" t="str"/>
      <x:c r="D157" s="34" t="str"/>
      <x:c r="E157" s="41"/>
    </x:row>
    <x:row r="158">
      <x:c r="A158" s="43"/>
      <x:c r="B158" s="34" t="str"/>
      <x:c r="C158" s="34" t="str"/>
      <x:c r="D158" s="34" t="str"/>
      <x:c r="E158" s="41"/>
    </x:row>
    <x:row r="159">
      <x:c r="A159" s="43"/>
      <x:c r="B159" s="34" t="str"/>
      <x:c r="C159" s="34" t="str"/>
      <x:c r="D159" s="34" t="str"/>
      <x:c r="E159" s="41"/>
    </x:row>
    <x:row r="160">
      <x:c r="A160" s="43"/>
      <x:c r="B160" s="34" t="str"/>
      <x:c r="C160" s="34" t="str"/>
      <x:c r="D160" s="34" t="str"/>
      <x:c r="E160" s="41"/>
    </x:row>
    <x:row r="161">
      <x:c r="A161" s="43"/>
      <x:c r="B161" s="34" t="str"/>
      <x:c r="C161" s="34" t="str"/>
      <x:c r="D161" s="34" t="str"/>
      <x:c r="E161" s="41"/>
    </x:row>
    <x:row r="162">
      <x:c r="A162" s="43"/>
      <x:c r="B162" s="34" t="str"/>
      <x:c r="C162" s="34" t="str"/>
      <x:c r="D162" s="34" t="str"/>
      <x:c r="E162" s="41"/>
    </x:row>
    <x:row r="163">
      <x:c r="A163" s="43"/>
      <x:c r="B163" s="34" t="str"/>
      <x:c r="C163" s="34" t="str"/>
      <x:c r="D163" s="34" t="str"/>
      <x:c r="E163" s="41"/>
    </x:row>
    <x:row r="164">
      <x:c r="A164" s="43"/>
      <x:c r="B164" s="34" t="str"/>
      <x:c r="C164" s="34" t="str"/>
      <x:c r="D164" s="34" t="str"/>
      <x:c r="E164" s="41"/>
    </x:row>
    <x:row r="165">
      <x:c r="A165" s="43"/>
      <x:c r="B165" s="34" t="str"/>
      <x:c r="C165" s="34" t="str"/>
      <x:c r="D165" s="34" t="str"/>
      <x:c r="E165" s="41"/>
    </x:row>
    <x:row r="166">
      <x:c r="A166" s="43"/>
      <x:c r="B166" s="34" t="str"/>
      <x:c r="C166" s="34" t="str"/>
      <x:c r="D166" s="34" t="str"/>
      <x:c r="E166" s="41"/>
    </x:row>
    <x:row r="167">
      <x:c r="A167" s="43"/>
      <x:c r="B167" s="34" t="str"/>
      <x:c r="C167" s="34" t="str"/>
      <x:c r="D167" s="34" t="str"/>
      <x:c r="E167" s="41"/>
    </x:row>
    <x:row r="168">
      <x:c r="A168" s="43"/>
      <x:c r="B168" s="34" t="str"/>
      <x:c r="C168" s="34" t="str"/>
      <x:c r="D168" s="34" t="str"/>
      <x:c r="E168" s="41"/>
    </x:row>
    <x:row r="169">
      <x:c r="A169" s="43"/>
      <x:c r="B169" s="34" t="str"/>
      <x:c r="C169" s="34" t="str"/>
      <x:c r="D169" s="34" t="str"/>
      <x:c r="E169" s="41"/>
    </x:row>
    <x:row r="170">
      <x:c r="A170" s="43"/>
      <x:c r="B170" s="34" t="str"/>
      <x:c r="C170" s="34" t="str"/>
      <x:c r="D170" s="34" t="str"/>
      <x:c r="E170" s="41"/>
    </x:row>
    <x:row r="171">
      <x:c r="A171" s="43"/>
      <x:c r="B171" s="34" t="str"/>
      <x:c r="C171" s="34" t="str"/>
      <x:c r="D171" s="34" t="str"/>
      <x:c r="E171" s="41"/>
    </x:row>
    <x:row r="172">
      <x:c r="A172" s="43"/>
      <x:c r="B172" s="34" t="str"/>
      <x:c r="C172" s="34" t="str"/>
      <x:c r="D172" s="34" t="str"/>
      <x:c r="E172" s="41"/>
    </x:row>
    <x:row r="173">
      <x:c r="A173" s="43"/>
      <x:c r="B173" s="34" t="str"/>
      <x:c r="C173" s="34" t="str"/>
      <x:c r="D173" s="34" t="str"/>
      <x:c r="E173" s="41"/>
    </x:row>
    <x:row r="174">
      <x:c r="A174" s="43"/>
      <x:c r="B174" s="34" t="str"/>
      <x:c r="C174" s="34" t="str"/>
      <x:c r="D174" s="34" t="str"/>
      <x:c r="E174" s="41"/>
    </x:row>
    <x:row r="175">
      <x:c r="A175" s="43"/>
      <x:c r="B175" s="34" t="str"/>
      <x:c r="C175" s="34" t="str"/>
      <x:c r="D175" s="34" t="str"/>
      <x:c r="E175" s="41"/>
    </x:row>
    <x:row r="176">
      <x:c r="A176" s="43"/>
      <x:c r="B176" s="34" t="str"/>
      <x:c r="C176" s="34" t="str"/>
      <x:c r="D176" s="34" t="str"/>
      <x:c r="E176" s="41"/>
    </x:row>
    <x:row r="177">
      <x:c r="A177" s="43"/>
      <x:c r="B177" s="34" t="str"/>
      <x:c r="C177" s="34" t="str"/>
      <x:c r="D177" s="34" t="str"/>
      <x:c r="E177" s="41"/>
    </x:row>
    <x:row r="178">
      <x:c r="A178" s="43"/>
      <x:c r="B178" s="34" t="str"/>
      <x:c r="C178" s="34" t="str"/>
      <x:c r="D178" s="34" t="str"/>
      <x:c r="E178" s="41"/>
    </x:row>
    <x:row r="179">
      <x:c r="A179" s="43"/>
      <x:c r="B179" s="34" t="str"/>
      <x:c r="C179" s="34" t="str"/>
      <x:c r="D179" s="34" t="str"/>
      <x:c r="E179" s="41"/>
    </x:row>
    <x:row r="180">
      <x:c r="A180" s="43"/>
      <x:c r="B180" s="34" t="str"/>
      <x:c r="C180" s="34" t="str"/>
      <x:c r="D180" s="34" t="str"/>
      <x:c r="E180" s="41"/>
    </x:row>
    <x:row r="181">
      <x:c r="A181" s="43"/>
      <x:c r="B181" s="34" t="str"/>
      <x:c r="C181" s="34" t="str"/>
      <x:c r="D181" s="34" t="str"/>
      <x:c r="E181" s="41"/>
    </x:row>
    <x:row r="182">
      <x:c r="A182" s="43"/>
      <x:c r="B182" s="34" t="str"/>
      <x:c r="C182" s="34" t="str"/>
      <x:c r="D182" s="34" t="str"/>
      <x:c r="E182" s="41"/>
    </x:row>
    <x:row r="183">
      <x:c r="A183" s="43"/>
      <x:c r="B183" s="34" t="str"/>
      <x:c r="C183" s="34" t="str"/>
      <x:c r="D183" s="34" t="str"/>
      <x:c r="E183" s="41"/>
    </x:row>
    <x:row r="184">
      <x:c r="A184" s="43"/>
      <x:c r="B184" s="34" t="str"/>
      <x:c r="C184" s="34" t="str"/>
      <x:c r="D184" s="34" t="str"/>
      <x:c r="E184" s="41"/>
    </x:row>
    <x:row r="185">
      <x:c r="A185" s="43"/>
      <x:c r="B185" s="34" t="str"/>
      <x:c r="C185" s="34" t="str"/>
      <x:c r="D185" s="34" t="str"/>
      <x:c r="E185" s="41"/>
    </x:row>
    <x:row r="186">
      <x:c r="A186" s="43"/>
      <x:c r="B186" s="34" t="str"/>
      <x:c r="C186" s="34" t="str"/>
      <x:c r="D186" s="34" t="str"/>
      <x:c r="E186" s="41"/>
    </x:row>
    <x:row r="187">
      <x:c r="A187" s="43"/>
      <x:c r="B187" s="34" t="str"/>
      <x:c r="C187" s="34" t="str"/>
      <x:c r="D187" s="34" t="str"/>
      <x:c r="E187" s="41"/>
    </x:row>
    <x:row r="188">
      <x:c r="A188" s="43"/>
      <x:c r="B188" s="34" t="str"/>
      <x:c r="C188" s="34" t="str"/>
      <x:c r="D188" s="34" t="str"/>
      <x:c r="E188" s="41"/>
    </x:row>
    <x:row r="189">
      <x:c r="A189" s="43"/>
      <x:c r="B189" s="34" t="str"/>
      <x:c r="C189" s="34" t="str"/>
      <x:c r="D189" s="34" t="str"/>
      <x:c r="E189" s="41"/>
    </x:row>
    <x:row r="190">
      <x:c r="A190" s="43"/>
      <x:c r="B190" s="34" t="str"/>
      <x:c r="C190" s="34" t="str"/>
      <x:c r="D190" s="34" t="str"/>
      <x:c r="E190" s="41"/>
    </x:row>
    <x:row r="191">
      <x:c r="A191" s="43"/>
      <x:c r="B191" s="34" t="str"/>
      <x:c r="C191" s="34" t="str"/>
      <x:c r="D191" s="34" t="str"/>
      <x:c r="E191" s="41"/>
    </x:row>
    <x:row r="192">
      <x:c r="A192" s="43"/>
      <x:c r="B192" s="34" t="str"/>
      <x:c r="C192" s="34" t="str"/>
      <x:c r="D192" s="34" t="str"/>
      <x:c r="E192" s="41"/>
    </x:row>
    <x:row r="193">
      <x:c r="A193" s="43"/>
      <x:c r="B193" s="34" t="str"/>
      <x:c r="C193" s="34" t="str"/>
      <x:c r="D193" s="34" t="str"/>
      <x:c r="E193" s="41"/>
    </x:row>
    <x:row r="194">
      <x:c r="A194" s="43"/>
      <x:c r="B194" s="34" t="str"/>
      <x:c r="C194" s="34" t="str"/>
      <x:c r="D194" s="34" t="str"/>
      <x:c r="E194" s="41"/>
    </x:row>
    <x:row r="195">
      <x:c r="A195" s="43"/>
      <x:c r="B195" s="34" t="str"/>
      <x:c r="C195" s="34" t="str"/>
      <x:c r="D195" s="34" t="str"/>
      <x:c r="E195" s="41"/>
    </x:row>
    <x:row r="196">
      <x:c r="A196" s="43"/>
      <x:c r="B196" s="34" t="str"/>
      <x:c r="C196" s="34" t="str"/>
      <x:c r="D196" s="34" t="str"/>
      <x:c r="E196" s="41"/>
    </x:row>
    <x:row r="197">
      <x:c r="A197" s="43"/>
      <x:c r="B197" s="34" t="str"/>
      <x:c r="C197" s="34" t="str"/>
      <x:c r="D197" s="34" t="str"/>
      <x:c r="E197" s="41"/>
    </x:row>
    <x:row r="198">
      <x:c r="A198" s="43"/>
      <x:c r="B198" s="34" t="str"/>
      <x:c r="C198" s="34" t="str"/>
      <x:c r="D198" s="34" t="str"/>
      <x:c r="E198" s="41"/>
    </x:row>
    <x:row r="199">
      <x:c r="A199" s="43"/>
      <x:c r="B199" s="34" t="str"/>
      <x:c r="C199" s="34" t="str"/>
      <x:c r="D199" s="34" t="str"/>
      <x:c r="E199" s="41"/>
    </x:row>
    <x:row r="200">
      <x:c r="A200" s="43"/>
      <x:c r="B200" s="34" t="str"/>
      <x:c r="C200" s="34" t="str"/>
      <x:c r="D200" s="34" t="str"/>
      <x:c r="E200" s="41"/>
    </x:row>
    <x:row r="201">
      <x:c r="A201" s="43"/>
      <x:c r="B201" s="34" t="str"/>
      <x:c r="C201" s="34" t="str"/>
      <x:c r="D201" s="34" t="str"/>
      <x:c r="E201" s="41"/>
    </x:row>
    <x:row r="202">
      <x:c r="A202" s="43"/>
      <x:c r="B202" s="34" t="str"/>
      <x:c r="C202" s="34" t="str"/>
      <x:c r="D202" s="34" t="str"/>
      <x:c r="E202" s="41"/>
    </x:row>
    <x:row r="203">
      <x:c r="A203" s="43"/>
      <x:c r="B203" s="34" t="str"/>
      <x:c r="C203" s="34" t="str"/>
      <x:c r="D203" s="34" t="str"/>
      <x:c r="E203" s="41"/>
    </x:row>
    <x:row r="204">
      <x:c r="A204" s="43"/>
      <x:c r="B204" s="34" t="str"/>
      <x:c r="C204" s="34" t="str"/>
      <x:c r="D204" s="34" t="str"/>
      <x:c r="E204" s="41"/>
    </x:row>
    <x:row r="205">
      <x:c r="A205" s="43"/>
      <x:c r="B205" s="34" t="str"/>
      <x:c r="C205" s="34" t="str"/>
      <x:c r="D205" s="34" t="str"/>
      <x:c r="E205" s="41"/>
    </x:row>
    <x:row r="206">
      <x:c r="A206" s="43"/>
      <x:c r="B206" s="34" t="str"/>
      <x:c r="C206" s="34" t="str"/>
      <x:c r="D206" s="34" t="str"/>
      <x:c r="E206" s="41"/>
    </x:row>
    <x:row r="207">
      <x:c r="A207" s="43"/>
      <x:c r="B207" s="34" t="str"/>
      <x:c r="C207" s="34" t="str"/>
      <x:c r="D207" s="34" t="str"/>
      <x:c r="E207" s="41"/>
    </x:row>
    <x:row r="208">
      <x:c r="A208" s="43"/>
      <x:c r="B208" s="34" t="str"/>
      <x:c r="C208" s="34" t="str"/>
      <x:c r="D208" s="34" t="str"/>
      <x:c r="E208" s="41"/>
    </x:row>
    <x:row r="209">
      <x:c r="A209" s="43"/>
      <x:c r="B209" s="34" t="str"/>
      <x:c r="C209" s="34" t="str"/>
      <x:c r="D209" s="34" t="str"/>
      <x:c r="E209" s="41"/>
    </x:row>
    <x:row r="210">
      <x:c r="A210" s="43"/>
      <x:c r="B210" s="34" t="str"/>
      <x:c r="C210" s="34" t="str"/>
      <x:c r="D210" s="34" t="str"/>
      <x:c r="E210" s="41"/>
    </x:row>
    <x:row r="211">
      <x:c r="A211" s="43"/>
      <x:c r="B211" s="34" t="str"/>
      <x:c r="C211" s="34" t="str"/>
      <x:c r="D211" s="34" t="str"/>
      <x:c r="E211" s="41"/>
    </x:row>
    <x:row r="212">
      <x:c r="A212" s="43"/>
      <x:c r="B212" s="34" t="str"/>
      <x:c r="C212" s="34" t="str"/>
      <x:c r="D212" s="34" t="str"/>
      <x:c r="E212" s="41"/>
    </x:row>
    <x:row r="213">
      <x:c r="A213" s="43"/>
      <x:c r="B213" s="34" t="str"/>
      <x:c r="C213" s="34" t="str"/>
      <x:c r="D213" s="34" t="str"/>
      <x:c r="E213" s="41"/>
    </x:row>
    <x:row r="214">
      <x:c r="A214" s="43"/>
      <x:c r="B214" s="34" t="str"/>
      <x:c r="C214" s="34" t="str"/>
      <x:c r="D214" s="34" t="str"/>
      <x:c r="E214" s="41"/>
    </x:row>
    <x:row r="215">
      <x:c r="A215" s="43"/>
      <x:c r="B215" s="34" t="str"/>
      <x:c r="C215" s="34" t="str"/>
      <x:c r="D215" s="34" t="str"/>
      <x:c r="E215" s="41"/>
    </x:row>
    <x:row r="216">
      <x:c r="A216" s="43"/>
      <x:c r="B216" s="34" t="str"/>
      <x:c r="C216" s="34" t="str"/>
      <x:c r="D216" s="34" t="str"/>
      <x:c r="E216" s="41"/>
    </x:row>
    <x:row r="217">
      <x:c r="A217" s="43"/>
      <x:c r="B217" s="34" t="str"/>
      <x:c r="C217" s="34" t="str"/>
      <x:c r="D217" s="34" t="str"/>
      <x:c r="E217" s="41"/>
    </x:row>
    <x:row r="218">
      <x:c r="A218" s="43"/>
      <x:c r="B218" s="34" t="str"/>
      <x:c r="C218" s="34" t="str"/>
      <x:c r="D218" s="34" t="str"/>
      <x:c r="E218" s="41"/>
    </x:row>
    <x:row r="219">
      <x:c r="A219" s="43"/>
      <x:c r="B219" s="34" t="str"/>
      <x:c r="C219" s="34" t="str"/>
      <x:c r="D219" s="34" t="str"/>
      <x:c r="E219" s="41"/>
    </x:row>
    <x:row r="220">
      <x:c r="A220" s="43"/>
      <x:c r="B220" s="34" t="str"/>
      <x:c r="C220" s="34" t="str"/>
      <x:c r="D220" s="34" t="str"/>
      <x:c r="E220" s="41"/>
    </x:row>
    <x:row r="221">
      <x:c r="A221" s="43"/>
      <x:c r="B221" s="34" t="str"/>
      <x:c r="C221" s="34" t="str"/>
      <x:c r="D221" s="34" t="str"/>
      <x:c r="E221" s="41"/>
    </x:row>
    <x:row r="222">
      <x:c r="A222" s="43"/>
      <x:c r="B222" s="34" t="str"/>
      <x:c r="C222" s="34" t="str"/>
      <x:c r="D222" s="34" t="str"/>
      <x:c r="E222" s="41"/>
    </x:row>
    <x:row r="223">
      <x:c r="A223" s="43"/>
      <x:c r="B223" s="34" t="str"/>
      <x:c r="C223" s="34" t="str"/>
      <x:c r="D223" s="34" t="str"/>
      <x:c r="E223" s="41"/>
    </x:row>
    <x:row r="224">
      <x:c r="A224" s="43"/>
      <x:c r="B224" s="34" t="str"/>
      <x:c r="C224" s="34" t="str"/>
      <x:c r="D224" s="34" t="str"/>
      <x:c r="E224" s="41"/>
    </x:row>
    <x:row r="225">
      <x:c r="A225" s="43"/>
      <x:c r="B225" s="34" t="str"/>
      <x:c r="C225" s="34" t="str"/>
      <x:c r="D225" s="34" t="str"/>
      <x:c r="E225" s="41"/>
    </x:row>
    <x:row r="226">
      <x:c r="A226" s="43"/>
      <x:c r="B226" s="34" t="str"/>
      <x:c r="C226" s="34" t="str"/>
      <x:c r="D226" s="34" t="str"/>
      <x:c r="E226" s="41"/>
    </x:row>
    <x:row r="227">
      <x:c r="A227" s="43"/>
      <x:c r="B227" s="34" t="str"/>
      <x:c r="C227" s="34" t="str"/>
      <x:c r="D227" s="34" t="str"/>
      <x:c r="E227" s="41"/>
    </x:row>
    <x:row r="228">
      <x:c r="A228" s="43"/>
      <x:c r="B228" s="34" t="str"/>
      <x:c r="C228" s="34" t="str"/>
      <x:c r="D228" s="34" t="str"/>
      <x:c r="E228" s="41"/>
    </x:row>
    <x:row r="229">
      <x:c r="A229" s="43"/>
      <x:c r="B229" s="34" t="str"/>
      <x:c r="C229" s="34" t="str"/>
      <x:c r="D229" s="34" t="str"/>
      <x:c r="E229" s="41"/>
    </x:row>
    <x:row r="230">
      <x:c r="A230" s="43"/>
      <x:c r="B230" s="34" t="str"/>
      <x:c r="C230" s="34" t="str"/>
      <x:c r="D230" s="34" t="str"/>
      <x:c r="E230" s="41"/>
    </x:row>
    <x:row r="231">
      <x:c r="A231" s="43"/>
      <x:c r="B231" s="34" t="str"/>
      <x:c r="C231" s="34" t="str"/>
      <x:c r="D231" s="34" t="str"/>
      <x:c r="E231" s="41"/>
    </x:row>
    <x:row r="232">
      <x:c r="A232" s="43"/>
      <x:c r="B232" s="34" t="str"/>
      <x:c r="C232" s="34" t="str"/>
      <x:c r="D232" s="34" t="str"/>
      <x:c r="E232" s="41"/>
    </x:row>
    <x:row r="233">
      <x:c r="A233" s="43"/>
      <x:c r="B233" s="34" t="str"/>
      <x:c r="C233" s="34" t="str"/>
      <x:c r="D233" s="34" t="str"/>
      <x:c r="E233" s="41"/>
    </x:row>
    <x:row r="234">
      <x:c r="A234" s="43"/>
      <x:c r="B234" s="34" t="str"/>
      <x:c r="C234" s="34" t="str"/>
      <x:c r="D234" s="34" t="str"/>
      <x:c r="E234" s="41"/>
    </x:row>
    <x:row r="235">
      <x:c r="A235" s="43"/>
      <x:c r="B235" s="34" t="str"/>
      <x:c r="C235" s="34" t="str"/>
      <x:c r="D235" s="34" t="str"/>
      <x:c r="E235" s="41"/>
    </x:row>
    <x:row r="236">
      <x:c r="A236" s="43"/>
      <x:c r="B236" s="34" t="str"/>
      <x:c r="C236" s="34" t="str"/>
      <x:c r="D236" s="34" t="str"/>
      <x:c r="E236" s="41"/>
    </x:row>
    <x:row r="237">
      <x:c r="A237" s="43"/>
      <x:c r="B237" s="34" t="str"/>
      <x:c r="C237" s="34" t="str"/>
      <x:c r="D237" s="34" t="str"/>
      <x:c r="E237" s="41"/>
    </x:row>
    <x:row r="238">
      <x:c r="A238" s="43"/>
      <x:c r="B238" s="34" t="str"/>
      <x:c r="C238" s="34" t="str"/>
      <x:c r="D238" s="34" t="str"/>
      <x:c r="E238" s="41"/>
    </x:row>
    <x:row r="239">
      <x:c r="A239" s="43"/>
      <x:c r="B239" s="34" t="str"/>
      <x:c r="C239" s="34" t="str"/>
      <x:c r="D239" s="34" t="str"/>
      <x:c r="E239" s="41"/>
    </x:row>
    <x:row r="240">
      <x:c r="A240" s="43"/>
      <x:c r="B240" s="34" t="str"/>
      <x:c r="C240" s="34" t="str"/>
      <x:c r="D240" s="34" t="str"/>
      <x:c r="E240" s="41"/>
    </x:row>
    <x:row r="241">
      <x:c r="A241" s="43"/>
      <x:c r="B241" s="34" t="str"/>
      <x:c r="C241" s="34" t="str"/>
      <x:c r="D241" s="34" t="str"/>
      <x:c r="E241" s="41"/>
    </x:row>
    <x:row r="242">
      <x:c r="A242" s="43"/>
      <x:c r="B242" s="34" t="str"/>
      <x:c r="C242" s="34" t="str"/>
      <x:c r="D242" s="34" t="str"/>
      <x:c r="E242" s="41"/>
    </x:row>
    <x:row r="243">
      <x:c r="A243" s="43"/>
      <x:c r="B243" s="34" t="str"/>
      <x:c r="C243" s="34" t="str"/>
      <x:c r="D243" s="34" t="str"/>
      <x:c r="E243" s="41"/>
    </x:row>
    <x:row r="244">
      <x:c r="A244" s="43"/>
      <x:c r="B244" s="34" t="str"/>
      <x:c r="C244" s="34" t="str"/>
      <x:c r="D244" s="34" t="str"/>
      <x:c r="E244" s="41"/>
    </x:row>
    <x:row r="245">
      <x:c r="A245" s="43"/>
      <x:c r="B245" s="34" t="str"/>
      <x:c r="C245" s="34" t="str"/>
      <x:c r="D245" s="34" t="str"/>
      <x:c r="E245" s="41"/>
    </x:row>
    <x:row r="246">
      <x:c r="A246" s="43"/>
      <x:c r="B246" s="34" t="str"/>
      <x:c r="C246" s="34" t="str"/>
      <x:c r="D246" s="34" t="str"/>
      <x:c r="E246" s="41"/>
    </x:row>
    <x:row r="247">
      <x:c r="A247" s="43"/>
      <x:c r="B247" s="34" t="str"/>
      <x:c r="C247" s="34" t="str"/>
      <x:c r="D247" s="34" t="str"/>
      <x:c r="E247" s="41"/>
    </x:row>
    <x:row r="248">
      <x:c r="A248" s="43"/>
      <x:c r="B248" s="34" t="str"/>
      <x:c r="C248" s="34" t="str"/>
      <x:c r="D248" s="34" t="str"/>
      <x:c r="E248" s="41"/>
    </x:row>
    <x:row r="249">
      <x:c r="A249" s="43"/>
      <x:c r="B249" s="34" t="str"/>
      <x:c r="C249" s="34" t="str"/>
      <x:c r="D249" s="34" t="str"/>
      <x:c r="E249" s="41"/>
    </x:row>
    <x:row r="250">
      <x:c r="A250" s="43"/>
      <x:c r="B250" s="34" t="str"/>
      <x:c r="C250" s="34" t="str"/>
      <x:c r="D250" s="34" t="str"/>
      <x:c r="E250" s="41"/>
    </x:row>
    <x:row r="251">
      <x:c r="A251" s="43"/>
      <x:c r="B251" s="34" t="str"/>
      <x:c r="C251" s="34" t="str"/>
      <x:c r="D251" s="34" t="str"/>
      <x:c r="E251" s="41"/>
    </x:row>
    <x:row r="252">
      <x:c r="A252" s="43"/>
      <x:c r="B252" s="34" t="str"/>
      <x:c r="C252" s="34" t="str"/>
      <x:c r="D252" s="34" t="str"/>
      <x:c r="E252" s="41"/>
    </x:row>
    <x:row r="253">
      <x:c r="A253" s="43"/>
      <x:c r="B253" s="34" t="str"/>
      <x:c r="C253" s="34" t="str"/>
      <x:c r="D253" s="34" t="str"/>
      <x:c r="E253" s="41"/>
    </x:row>
    <x:row r="254">
      <x:c r="A254" s="43"/>
      <x:c r="B254" s="34" t="str"/>
      <x:c r="C254" s="34" t="str"/>
      <x:c r="D254" s="34" t="str"/>
      <x:c r="E254" s="41"/>
    </x:row>
    <x:row r="255">
      <x:c r="A255" s="43"/>
      <x:c r="B255" s="34" t="str"/>
      <x:c r="C255" s="34" t="str"/>
      <x:c r="D255" s="34" t="str"/>
      <x:c r="E255" s="41"/>
    </x:row>
    <x:row r="256">
      <x:c r="A256" s="43"/>
      <x:c r="B256" s="34" t="str"/>
      <x:c r="C256" s="34" t="str"/>
      <x:c r="D256" s="34" t="str"/>
      <x:c r="E256" s="41"/>
    </x:row>
    <x:row r="257">
      <x:c r="A257" s="43"/>
      <x:c r="B257" s="34" t="str"/>
      <x:c r="C257" s="34" t="str"/>
      <x:c r="D257" s="34" t="str"/>
      <x:c r="E257" s="41"/>
    </x:row>
    <x:row r="258">
      <x:c r="A258" s="43"/>
      <x:c r="B258" s="34" t="str"/>
      <x:c r="C258" s="34" t="str"/>
      <x:c r="D258" s="34" t="str"/>
      <x:c r="E258" s="41"/>
    </x:row>
    <x:row r="259">
      <x:c r="A259" s="43"/>
      <x:c r="B259" s="34" t="str"/>
      <x:c r="C259" s="34" t="str"/>
      <x:c r="D259" s="34" t="str"/>
      <x:c r="E259" s="41"/>
    </x:row>
    <x:row r="260">
      <x:c r="A260" s="43"/>
      <x:c r="B260" s="34" t="str"/>
      <x:c r="C260" s="34" t="str"/>
      <x:c r="D260" s="34" t="str"/>
      <x:c r="E260" s="41"/>
    </x:row>
    <x:row r="261">
      <x:c r="A261" s="43"/>
      <x:c r="B261" s="34" t="str"/>
      <x:c r="C261" s="34" t="str"/>
      <x:c r="D261" s="34" t="str"/>
      <x:c r="E261" s="41"/>
    </x:row>
    <x:row r="262">
      <x:c r="A262" s="43"/>
      <x:c r="B262" s="34" t="str"/>
      <x:c r="C262" s="34" t="str"/>
      <x:c r="D262" s="34" t="str"/>
      <x:c r="E262" s="41"/>
    </x:row>
    <x:row r="263">
      <x:c r="A263" s="43"/>
      <x:c r="B263" s="34" t="str"/>
      <x:c r="C263" s="34" t="str"/>
      <x:c r="D263" s="34" t="str"/>
      <x:c r="E263" s="41"/>
    </x:row>
    <x:row r="264">
      <x:c r="A264" s="43"/>
      <x:c r="B264" s="34" t="str"/>
      <x:c r="C264" s="34" t="str"/>
      <x:c r="D264" s="34" t="str"/>
      <x:c r="E264" s="41"/>
    </x:row>
    <x:row r="265">
      <x:c r="A265" s="43"/>
      <x:c r="B265" s="34" t="str"/>
      <x:c r="C265" s="34" t="str"/>
      <x:c r="D265" s="34" t="str"/>
      <x:c r="E265" s="41"/>
    </x:row>
    <x:row r="266">
      <x:c r="A266" s="43"/>
      <x:c r="B266" s="34" t="str"/>
      <x:c r="C266" s="34" t="str"/>
      <x:c r="D266" s="34" t="str"/>
      <x:c r="E266" s="41"/>
    </x:row>
    <x:row r="267">
      <x:c r="A267" s="43"/>
      <x:c r="B267" s="34" t="str"/>
      <x:c r="C267" s="34" t="str"/>
      <x:c r="D267" s="34" t="str"/>
      <x:c r="E267" s="41"/>
    </x:row>
    <x:row r="268">
      <x:c r="A268" s="43"/>
      <x:c r="B268" s="34" t="str"/>
      <x:c r="C268" s="34" t="str"/>
      <x:c r="D268" s="34" t="str"/>
      <x:c r="E268" s="41"/>
    </x:row>
    <x:row r="269">
      <x:c r="A269" s="43"/>
      <x:c r="B269" s="34" t="str"/>
      <x:c r="C269" s="34" t="str"/>
      <x:c r="D269" s="34" t="str"/>
      <x:c r="E269" s="41"/>
    </x:row>
    <x:row r="270">
      <x:c r="A270" s="43"/>
      <x:c r="B270" s="34" t="str"/>
      <x:c r="C270" s="34" t="str"/>
      <x:c r="D270" s="34" t="str"/>
      <x:c r="E270" s="41"/>
    </x:row>
    <x:row r="271">
      <x:c r="A271" s="43"/>
      <x:c r="B271" s="34" t="str"/>
      <x:c r="C271" s="34" t="str"/>
      <x:c r="D271" s="34" t="str"/>
      <x:c r="E271" s="41"/>
    </x:row>
    <x:row r="272">
      <x:c r="A272" s="43"/>
      <x:c r="B272" s="34" t="str"/>
      <x:c r="C272" s="34" t="str"/>
      <x:c r="D272" s="34" t="str"/>
      <x:c r="E272" s="41"/>
    </x:row>
    <x:row r="273">
      <x:c r="A273" s="43"/>
      <x:c r="B273" s="34" t="str"/>
      <x:c r="C273" s="34" t="str"/>
      <x:c r="D273" s="34" t="str"/>
      <x:c r="E273" s="41"/>
    </x:row>
    <x:row r="274">
      <x:c r="A274" s="43"/>
      <x:c r="B274" s="34" t="str"/>
      <x:c r="C274" s="34" t="str"/>
      <x:c r="D274" s="34" t="str"/>
      <x:c r="E274" s="41"/>
    </x:row>
    <x:row r="275">
      <x:c r="A275" s="43"/>
      <x:c r="B275" s="34" t="str"/>
      <x:c r="C275" s="34" t="str"/>
      <x:c r="D275" s="34" t="str"/>
      <x:c r="E275" s="41"/>
    </x:row>
    <x:row r="276">
      <x:c r="A276" s="43"/>
      <x:c r="B276" s="34" t="str"/>
      <x:c r="C276" s="34" t="str"/>
      <x:c r="D276" s="34" t="str"/>
      <x:c r="E276" s="41"/>
    </x:row>
    <x:row r="277">
      <x:c r="A277" s="43"/>
      <x:c r="B277" s="34" t="str"/>
      <x:c r="C277" s="34" t="str"/>
      <x:c r="D277" s="34" t="str"/>
      <x:c r="E277" s="41"/>
    </x:row>
    <x:row r="278">
      <x:c r="A278" s="43"/>
      <x:c r="B278" s="34" t="str"/>
      <x:c r="C278" s="34" t="str"/>
      <x:c r="D278" s="34" t="str"/>
      <x:c r="E278" s="41"/>
    </x:row>
    <x:row r="279">
      <x:c r="A279" s="43"/>
      <x:c r="B279" s="34" t="str"/>
      <x:c r="C279" s="34" t="str"/>
      <x:c r="D279" s="34" t="str"/>
      <x:c r="E279" s="41"/>
    </x:row>
    <x:row r="280">
      <x:c r="A280" s="43"/>
      <x:c r="B280" s="34" t="str"/>
      <x:c r="C280" s="34" t="str"/>
      <x:c r="D280" s="34" t="str"/>
      <x:c r="E280" s="41"/>
    </x:row>
    <x:row r="281">
      <x:c r="A281" s="43"/>
      <x:c r="B281" s="34" t="str"/>
      <x:c r="C281" s="34" t="str"/>
      <x:c r="D281" s="34" t="str"/>
      <x:c r="E281" s="41"/>
    </x:row>
    <x:row r="282">
      <x:c r="A282" s="43"/>
      <x:c r="B282" s="34" t="str"/>
      <x:c r="C282" s="34" t="str"/>
      <x:c r="D282" s="34" t="str"/>
      <x:c r="E282" s="41"/>
    </x:row>
    <x:row r="283">
      <x:c r="A283" s="43"/>
      <x:c r="B283" s="34" t="str"/>
      <x:c r="C283" s="34" t="str"/>
      <x:c r="D283" s="34" t="str"/>
      <x:c r="E283" s="41"/>
    </x:row>
    <x:row r="284">
      <x:c r="A284" s="43"/>
      <x:c r="B284" s="34" t="str"/>
      <x:c r="C284" s="34" t="str"/>
      <x:c r="D284" s="34" t="str"/>
      <x:c r="E284" s="41"/>
    </x:row>
    <x:row r="285">
      <x:c r="A285" s="43"/>
      <x:c r="B285" s="34" t="str"/>
      <x:c r="C285" s="34" t="str"/>
      <x:c r="D285" s="34" t="str"/>
      <x:c r="E285" s="41"/>
    </x:row>
    <x:row r="286">
      <x:c r="A286" s="43"/>
      <x:c r="B286" s="34" t="str"/>
      <x:c r="C286" s="34" t="str"/>
      <x:c r="D286" s="34" t="str"/>
      <x:c r="E286" s="41"/>
    </x:row>
    <x:row r="287">
      <x:c r="A287" s="43"/>
      <x:c r="B287" s="34" t="str"/>
      <x:c r="C287" s="34" t="str"/>
      <x:c r="D287" s="34" t="str"/>
      <x:c r="E287" s="41"/>
    </x:row>
    <x:row r="288">
      <x:c r="A288" s="43"/>
      <x:c r="B288" s="34" t="str"/>
      <x:c r="C288" s="34" t="str"/>
      <x:c r="D288" s="34" t="str"/>
      <x:c r="E288" s="41"/>
    </x:row>
    <x:row r="289">
      <x:c r="A289" s="43"/>
      <x:c r="B289" s="34" t="str"/>
      <x:c r="C289" s="34" t="str"/>
      <x:c r="D289" s="34" t="str"/>
      <x:c r="E289" s="41"/>
    </x:row>
    <x:row r="290">
      <x:c r="A290" s="43"/>
      <x:c r="B290" s="34" t="str"/>
      <x:c r="C290" s="34" t="str"/>
      <x:c r="D290" s="34" t="str"/>
      <x:c r="E290" s="41"/>
    </x:row>
    <x:row r="291">
      <x:c r="A291" s="43"/>
      <x:c r="B291" s="34" t="str"/>
      <x:c r="C291" s="34" t="str"/>
      <x:c r="D291" s="34" t="str"/>
      <x:c r="E291" s="41"/>
    </x:row>
    <x:row r="292">
      <x:c r="A292" s="43"/>
      <x:c r="B292" s="34" t="str"/>
      <x:c r="C292" s="34" t="str"/>
      <x:c r="D292" s="34" t="str"/>
      <x:c r="E292" s="41"/>
    </x:row>
    <x:row r="293">
      <x:c r="A293" s="43"/>
      <x:c r="B293" s="34" t="str"/>
      <x:c r="C293" s="34" t="str"/>
      <x:c r="D293" s="34" t="str"/>
      <x:c r="E293" s="41"/>
    </x:row>
    <x:row r="294">
      <x:c r="A294" s="43"/>
      <x:c r="B294" s="34" t="str"/>
      <x:c r="C294" s="34" t="str"/>
      <x:c r="D294" s="34" t="str"/>
      <x:c r="E294" s="41"/>
    </x:row>
    <x:row r="295">
      <x:c r="A295" s="43"/>
      <x:c r="B295" s="34" t="str"/>
      <x:c r="C295" s="34" t="str"/>
      <x:c r="D295" s="34" t="str"/>
      <x:c r="E295" s="41"/>
    </x:row>
    <x:row r="296">
      <x:c r="A296" s="43"/>
      <x:c r="B296" s="34" t="str"/>
      <x:c r="C296" s="34" t="str"/>
      <x:c r="D296" s="34" t="str"/>
      <x:c r="E296" s="41"/>
    </x:row>
    <x:row r="297">
      <x:c r="A297" s="43"/>
      <x:c r="B297" s="34" t="str"/>
      <x:c r="C297" s="34" t="str"/>
      <x:c r="D297" s="34" t="str"/>
      <x:c r="E297" s="41"/>
    </x:row>
    <x:row r="298">
      <x:c r="A298" s="43"/>
      <x:c r="B298" s="34" t="str"/>
      <x:c r="C298" s="34" t="str"/>
      <x:c r="D298" s="34" t="str"/>
      <x:c r="E298" s="41"/>
    </x:row>
    <x:row r="299">
      <x:c r="A299" s="43"/>
      <x:c r="B299" s="34" t="str"/>
      <x:c r="C299" s="34" t="str"/>
      <x:c r="D299" s="34" t="str"/>
      <x:c r="E299" s="41"/>
    </x:row>
    <x:row r="300">
      <x:c r="A300" s="43"/>
      <x:c r="B300" s="34" t="str"/>
      <x:c r="C300" s="34" t="str"/>
      <x:c r="D300" s="34" t="str"/>
      <x:c r="E300" s="41"/>
    </x:row>
    <x:row r="301">
      <x:c r="A301" s="43"/>
      <x:c r="B301" s="34" t="str"/>
      <x:c r="C301" s="34" t="str"/>
      <x:c r="D301" s="34" t="str"/>
      <x:c r="E301" s="41"/>
    </x:row>
    <x:row r="302">
      <x:c r="A302" s="43"/>
      <x:c r="B302" s="34" t="str"/>
      <x:c r="C302" s="34" t="str"/>
      <x:c r="D302" s="34" t="str"/>
      <x:c r="E302" s="41"/>
    </x:row>
    <x:row r="303">
      <x:c r="A303" s="43"/>
      <x:c r="B303" s="34" t="str"/>
      <x:c r="C303" s="34" t="str"/>
      <x:c r="D303" s="34" t="str"/>
      <x:c r="E303" s="41"/>
    </x:row>
    <x:row r="304">
      <x:c r="A304" s="43"/>
      <x:c r="B304" s="34" t="str"/>
      <x:c r="C304" s="34" t="str"/>
      <x:c r="D304" s="34" t="str"/>
      <x:c r="E304" s="41"/>
    </x:row>
    <x:row r="305">
      <x:c r="A305" s="43"/>
      <x:c r="B305" s="34" t="str"/>
      <x:c r="C305" s="34" t="str"/>
      <x:c r="D305" s="34" t="str"/>
      <x:c r="E305" s="41"/>
    </x:row>
    <x:row r="306">
      <x:c r="A306" s="43"/>
      <x:c r="B306" s="34" t="str"/>
      <x:c r="C306" s="34" t="str"/>
      <x:c r="D306" s="34" t="str"/>
      <x:c r="E306" s="41"/>
    </x:row>
    <x:row r="307">
      <x:c r="A307" s="43"/>
      <x:c r="B307" s="34" t="str"/>
      <x:c r="C307" s="34" t="str"/>
      <x:c r="D307" s="34" t="str"/>
      <x:c r="E307" s="41"/>
    </x:row>
    <x:row r="308">
      <x:c r="A308" s="43"/>
      <x:c r="B308" s="34" t="str"/>
      <x:c r="C308" s="34" t="str"/>
      <x:c r="D308" s="34" t="str"/>
      <x:c r="E308" s="41"/>
    </x:row>
    <x:row r="309">
      <x:c r="A309" s="43"/>
      <x:c r="B309" s="34" t="str"/>
      <x:c r="C309" s="34" t="str"/>
      <x:c r="D309" s="34" t="str"/>
      <x:c r="E309" s="41"/>
    </x:row>
    <x:row r="310">
      <x:c r="A310" s="43"/>
      <x:c r="B310" s="34" t="str"/>
      <x:c r="C310" s="34" t="str"/>
      <x:c r="D310" s="34" t="str"/>
      <x:c r="E310" s="41"/>
    </x:row>
    <x:row r="311">
      <x:c r="A311" s="43"/>
      <x:c r="B311" s="34" t="str"/>
      <x:c r="C311" s="34" t="str"/>
      <x:c r="D311" s="34" t="str"/>
      <x:c r="E311" s="41"/>
    </x:row>
    <x:row r="312">
      <x:c r="A312" s="43"/>
      <x:c r="B312" s="34" t="str"/>
      <x:c r="C312" s="34" t="str"/>
      <x:c r="D312" s="34" t="str"/>
      <x:c r="E312" s="41"/>
    </x:row>
    <x:row r="313">
      <x:c r="A313" s="43"/>
      <x:c r="B313" s="34" t="str"/>
      <x:c r="C313" s="34" t="str"/>
      <x:c r="D313" s="34" t="str"/>
      <x:c r="E313" s="41"/>
    </x:row>
    <x:row r="314">
      <x:c r="A314" s="43"/>
      <x:c r="B314" s="34" t="str"/>
      <x:c r="C314" s="34" t="str"/>
      <x:c r="D314" s="34" t="str"/>
      <x:c r="E314" s="41"/>
    </x:row>
    <x:row r="315">
      <x:c r="A315" s="43"/>
      <x:c r="B315" s="34" t="str"/>
      <x:c r="C315" s="34" t="str"/>
      <x:c r="D315" s="34" t="str"/>
      <x:c r="E315" s="41"/>
    </x:row>
    <x:row r="316">
      <x:c r="A316" s="43"/>
      <x:c r="B316" s="34" t="str"/>
      <x:c r="C316" s="34" t="str"/>
      <x:c r="D316" s="34" t="str"/>
      <x:c r="E316" s="41"/>
    </x:row>
    <x:row r="317">
      <x:c r="A317" s="43"/>
      <x:c r="B317" s="34" t="str"/>
      <x:c r="C317" s="34" t="str"/>
      <x:c r="D317" s="34" t="str"/>
      <x:c r="E317" s="41"/>
    </x:row>
    <x:row r="318">
      <x:c r="A318" s="43"/>
      <x:c r="B318" s="34" t="str"/>
      <x:c r="C318" s="34" t="str"/>
      <x:c r="D318" s="34" t="str"/>
      <x:c r="E318" s="41"/>
    </x:row>
    <x:row r="319">
      <x:c r="A319" s="43"/>
      <x:c r="B319" s="34" t="str"/>
      <x:c r="C319" s="34" t="str"/>
      <x:c r="D319" s="34" t="str"/>
      <x:c r="E319" s="41"/>
    </x:row>
    <x:row r="320">
      <x:c r="A320" s="43"/>
      <x:c r="B320" s="34" t="str"/>
      <x:c r="C320" s="34" t="str"/>
      <x:c r="D320" s="34" t="str"/>
      <x:c r="E320" s="41"/>
    </x:row>
    <x:row r="321">
      <x:c r="A321" s="43"/>
      <x:c r="B321" s="34" t="str"/>
      <x:c r="C321" s="34" t="str"/>
      <x:c r="D321" s="34" t="str"/>
      <x:c r="E321" s="41"/>
    </x:row>
    <x:row r="322">
      <x:c r="A322" s="43"/>
      <x:c r="B322" s="34" t="str"/>
      <x:c r="C322" s="34" t="str"/>
      <x:c r="D322" s="34" t="str"/>
      <x:c r="E322" s="41"/>
    </x:row>
    <x:row r="323">
      <x:c r="A323" s="43"/>
      <x:c r="B323" s="34" t="str"/>
      <x:c r="C323" s="34" t="str"/>
      <x:c r="D323" s="34" t="str"/>
      <x:c r="E323" s="41"/>
    </x:row>
    <x:row r="324">
      <x:c r="A324" s="43"/>
      <x:c r="B324" s="34" t="str"/>
      <x:c r="C324" s="34" t="str"/>
      <x:c r="D324" s="34" t="str"/>
      <x:c r="E324" s="41"/>
    </x:row>
    <x:row r="325">
      <x:c r="A325" s="43"/>
      <x:c r="B325" s="34" t="str"/>
      <x:c r="C325" s="34" t="str"/>
      <x:c r="D325" s="34" t="str"/>
      <x:c r="E325" s="41"/>
    </x:row>
    <x:row r="326">
      <x:c r="A326" s="43"/>
      <x:c r="B326" s="34" t="str"/>
      <x:c r="C326" s="34" t="str"/>
      <x:c r="D326" s="34" t="str"/>
      <x:c r="E326" s="41"/>
    </x:row>
    <x:row r="327">
      <x:c r="A327" s="43"/>
      <x:c r="B327" s="34" t="str"/>
      <x:c r="C327" s="34" t="str"/>
      <x:c r="D327" s="34" t="str"/>
      <x:c r="E327" s="41"/>
    </x:row>
    <x:row r="328">
      <x:c r="A328" s="43"/>
      <x:c r="B328" s="34" t="str"/>
      <x:c r="C328" s="34" t="str"/>
      <x:c r="D328" s="34" t="str"/>
      <x:c r="E328" s="41"/>
    </x:row>
    <x:row r="329">
      <x:c r="A329" s="43"/>
      <x:c r="B329" s="34" t="str"/>
      <x:c r="C329" s="34" t="str"/>
      <x:c r="D329" s="34" t="str"/>
      <x:c r="E329" s="41"/>
    </x:row>
    <x:row r="330">
      <x:c r="A330" s="43"/>
      <x:c r="B330" s="34" t="str"/>
      <x:c r="C330" s="34" t="str"/>
      <x:c r="D330" s="34" t="str"/>
      <x:c r="E330" s="41"/>
    </x:row>
    <x:row r="331">
      <x:c r="A331" s="43"/>
      <x:c r="B331" s="34" t="str"/>
      <x:c r="C331" s="34" t="str"/>
      <x:c r="D331" s="34" t="str"/>
      <x:c r="E331" s="41"/>
    </x:row>
    <x:row r="332">
      <x:c r="A332" s="43"/>
      <x:c r="B332" s="34" t="str"/>
      <x:c r="C332" s="34" t="str"/>
      <x:c r="D332" s="34" t="str"/>
      <x:c r="E332" s="41"/>
    </x:row>
    <x:row r="333">
      <x:c r="A333" s="43"/>
      <x:c r="B333" s="34" t="str"/>
      <x:c r="C333" s="34" t="str"/>
      <x:c r="D333" s="34" t="str"/>
      <x:c r="E333" s="41"/>
    </x:row>
    <x:row r="334">
      <x:c r="A334" s="43"/>
      <x:c r="B334" s="34" t="str"/>
      <x:c r="C334" s="34" t="str"/>
      <x:c r="D334" s="34" t="str"/>
      <x:c r="E334" s="41"/>
    </x:row>
    <x:row r="335">
      <x:c r="A335" s="43"/>
      <x:c r="B335" s="34" t="str"/>
      <x:c r="C335" s="34" t="str"/>
      <x:c r="D335" s="34" t="str"/>
      <x:c r="E335" s="41"/>
    </x:row>
    <x:row r="336">
      <x:c r="A336" s="43"/>
      <x:c r="B336" s="34" t="str"/>
      <x:c r="C336" s="34" t="str"/>
      <x:c r="D336" s="34" t="str"/>
      <x:c r="E336" s="41"/>
    </x:row>
    <x:row r="337">
      <x:c r="A337" s="43"/>
      <x:c r="B337" s="34" t="str"/>
      <x:c r="C337" s="34" t="str"/>
      <x:c r="D337" s="34" t="str"/>
      <x:c r="E337" s="41"/>
    </x:row>
    <x:row r="338">
      <x:c r="A338" s="43"/>
      <x:c r="B338" s="34" t="str"/>
      <x:c r="C338" s="34" t="str"/>
      <x:c r="D338" s="34" t="str"/>
      <x:c r="E338" s="41"/>
    </x:row>
    <x:row r="339">
      <x:c r="A339" s="43"/>
      <x:c r="B339" s="34" t="str"/>
      <x:c r="C339" s="34" t="str"/>
      <x:c r="D339" s="34" t="str"/>
      <x:c r="E339" s="41"/>
    </x:row>
    <x:row r="340">
      <x:c r="A340" s="43"/>
      <x:c r="B340" s="34" t="str"/>
      <x:c r="C340" s="34" t="str"/>
      <x:c r="D340" s="34" t="str"/>
      <x:c r="E340" s="41"/>
    </x:row>
    <x:row r="341">
      <x:c r="A341" s="43"/>
      <x:c r="B341" s="34" t="str"/>
      <x:c r="C341" s="34" t="str"/>
      <x:c r="D341" s="34" t="str"/>
      <x:c r="E341" s="41"/>
    </x:row>
    <x:row r="342">
      <x:c r="A342" s="43"/>
      <x:c r="B342" s="34" t="str"/>
      <x:c r="C342" s="34" t="str"/>
      <x:c r="D342" s="34" t="str"/>
      <x:c r="E342" s="41"/>
    </x:row>
    <x:row r="343">
      <x:c r="A343" s="43"/>
      <x:c r="B343" s="34" t="str"/>
      <x:c r="C343" s="34" t="str"/>
      <x:c r="D343" s="34" t="str"/>
      <x:c r="E343" s="41"/>
    </x:row>
    <x:row r="344">
      <x:c r="A344" s="43"/>
      <x:c r="B344" s="34" t="str"/>
      <x:c r="C344" s="34" t="str"/>
      <x:c r="D344" s="34" t="str"/>
      <x:c r="E344" s="41"/>
    </x:row>
    <x:row r="345">
      <x:c r="A345" s="43"/>
      <x:c r="B345" s="34" t="str"/>
      <x:c r="C345" s="34" t="str"/>
      <x:c r="D345" s="34" t="str"/>
      <x:c r="E345" s="41"/>
    </x:row>
    <x:row r="346">
      <x:c r="A346" s="43"/>
      <x:c r="B346" s="34" t="str"/>
      <x:c r="C346" s="34" t="str"/>
      <x:c r="D346" s="34" t="str"/>
      <x:c r="E346" s="41"/>
    </x:row>
    <x:row r="347">
      <x:c r="A347" s="43"/>
      <x:c r="B347" s="34" t="str"/>
      <x:c r="C347" s="34" t="str"/>
      <x:c r="D347" s="34" t="str"/>
      <x:c r="E347" s="41"/>
    </x:row>
    <x:row r="348">
      <x:c r="A348" s="43"/>
      <x:c r="B348" s="34" t="str"/>
      <x:c r="C348" s="34" t="str"/>
      <x:c r="D348" s="34" t="str"/>
      <x:c r="E348" s="41"/>
    </x:row>
    <x:row r="349">
      <x:c r="A349" s="43"/>
      <x:c r="B349" s="34" t="str"/>
      <x:c r="C349" s="34" t="str"/>
      <x:c r="D349" s="34" t="str"/>
      <x:c r="E349" s="41"/>
    </x:row>
    <x:row r="350">
      <x:c r="A350" s="43"/>
      <x:c r="B350" s="34" t="str"/>
      <x:c r="C350" s="34" t="str"/>
      <x:c r="D350" s="34" t="str"/>
      <x:c r="E350" s="41"/>
    </x:row>
    <x:row r="351">
      <x:c r="A351" s="43"/>
      <x:c r="B351" s="34" t="str"/>
      <x:c r="C351" s="34" t="str"/>
      <x:c r="D351" s="34" t="str"/>
      <x:c r="E351" s="41"/>
    </x:row>
    <x:row r="352">
      <x:c r="A352" s="43"/>
      <x:c r="B352" s="34" t="str"/>
      <x:c r="C352" s="34" t="str"/>
      <x:c r="D352" s="34" t="str"/>
      <x:c r="E352" s="41"/>
    </x:row>
    <x:row r="353">
      <x:c r="A353" s="43"/>
      <x:c r="B353" s="34" t="str"/>
      <x:c r="C353" s="34" t="str"/>
      <x:c r="D353" s="34" t="str"/>
      <x:c r="E353" s="41"/>
    </x:row>
    <x:row r="354">
      <x:c r="A354" s="43"/>
      <x:c r="B354" s="34" t="str"/>
      <x:c r="C354" s="34" t="str"/>
      <x:c r="D354" s="34" t="str"/>
      <x:c r="E354" s="41"/>
    </x:row>
    <x:row r="355">
      <x:c r="A355" s="43"/>
      <x:c r="B355" s="34" t="str"/>
      <x:c r="C355" s="34" t="str"/>
      <x:c r="D355" s="34" t="str"/>
      <x:c r="E355" s="41"/>
    </x:row>
    <x:row r="356">
      <x:c r="A356" s="43"/>
      <x:c r="B356" s="34" t="str"/>
      <x:c r="C356" s="34" t="str"/>
      <x:c r="D356" s="34" t="str"/>
      <x:c r="E356" s="41"/>
    </x:row>
    <x:row r="357">
      <x:c r="A357" s="43"/>
      <x:c r="B357" s="34" t="str"/>
      <x:c r="C357" s="34" t="str"/>
      <x:c r="D357" s="34" t="str"/>
      <x:c r="E357" s="41"/>
    </x:row>
    <x:row r="358">
      <x:c r="A358" s="43"/>
      <x:c r="B358" s="34" t="str"/>
      <x:c r="C358" s="34" t="str"/>
      <x:c r="D358" s="34" t="str"/>
      <x:c r="E358" s="41"/>
    </x:row>
    <x:row r="359">
      <x:c r="A359" s="43"/>
      <x:c r="B359" s="34" t="str"/>
      <x:c r="C359" s="34" t="str"/>
      <x:c r="D359" s="34" t="str"/>
      <x:c r="E359" s="41"/>
    </x:row>
    <x:row r="360">
      <x:c r="A360" s="43"/>
      <x:c r="B360" s="34" t="str"/>
      <x:c r="C360" s="34" t="str"/>
      <x:c r="D360" s="34" t="str"/>
      <x:c r="E360" s="41"/>
    </x:row>
    <x:row r="361">
      <x:c r="A361" s="43"/>
      <x:c r="B361" s="34" t="str"/>
      <x:c r="C361" s="34" t="str"/>
      <x:c r="D361" s="34" t="str"/>
      <x:c r="E361" s="41"/>
    </x:row>
    <x:row r="362">
      <x:c r="A362" s="43"/>
      <x:c r="B362" s="34" t="str"/>
      <x:c r="C362" s="34" t="str"/>
      <x:c r="D362" s="34" t="str"/>
      <x:c r="E362" s="41"/>
    </x:row>
    <x:row r="363">
      <x:c r="A363" s="43"/>
      <x:c r="B363" s="34" t="str"/>
      <x:c r="C363" s="34" t="str"/>
      <x:c r="D363" s="34" t="str"/>
      <x:c r="E363" s="41"/>
    </x:row>
    <x:row r="364">
      <x:c r="A364" s="43"/>
      <x:c r="B364" s="34" t="str"/>
      <x:c r="C364" s="34" t="str"/>
      <x:c r="D364" s="34" t="str"/>
      <x:c r="E364" s="41"/>
    </x:row>
    <x:row r="365">
      <x:c r="A365" s="43"/>
      <x:c r="B365" s="34" t="str"/>
      <x:c r="C365" s="34" t="str"/>
      <x:c r="D365" s="34" t="str"/>
      <x:c r="E365" s="41"/>
    </x:row>
    <x:row r="366">
      <x:c r="A366" s="43"/>
      <x:c r="B366" s="34" t="str"/>
      <x:c r="C366" s="34" t="str"/>
      <x:c r="D366" s="34" t="str"/>
      <x:c r="E366" s="41"/>
    </x:row>
    <x:row r="367">
      <x:c r="A367" s="43"/>
      <x:c r="B367" s="34" t="str"/>
      <x:c r="C367" s="34" t="str"/>
      <x:c r="D367" s="34" t="str"/>
      <x:c r="E367" s="41"/>
    </x:row>
    <x:row r="368">
      <x:c r="A368" s="43"/>
      <x:c r="B368" s="34" t="str"/>
      <x:c r="C368" s="34" t="str"/>
      <x:c r="D368" s="34" t="str"/>
      <x:c r="E368" s="41"/>
    </x:row>
    <x:row r="369">
      <x:c r="A369" s="43"/>
      <x:c r="B369" s="34" t="str"/>
      <x:c r="C369" s="34" t="str"/>
      <x:c r="D369" s="34" t="str"/>
      <x:c r="E369" s="41"/>
    </x:row>
    <x:row r="370">
      <x:c r="A370" s="43"/>
      <x:c r="B370" s="34" t="str"/>
      <x:c r="C370" s="34" t="str"/>
      <x:c r="D370" s="34" t="str"/>
      <x:c r="E370" s="41"/>
    </x:row>
    <x:row r="371">
      <x:c r="A371" s="43"/>
      <x:c r="B371" s="34" t="str"/>
      <x:c r="C371" s="34" t="str"/>
      <x:c r="D371" s="34" t="str"/>
      <x:c r="E371" s="41"/>
    </x:row>
    <x:row r="372">
      <x:c r="A372" s="43"/>
      <x:c r="B372" s="34" t="str"/>
      <x:c r="C372" s="34" t="str"/>
      <x:c r="D372" s="34" t="str"/>
      <x:c r="E372" s="41"/>
    </x:row>
    <x:row r="373">
      <x:c r="A373" s="43"/>
      <x:c r="B373" s="34" t="str"/>
      <x:c r="C373" s="34" t="str"/>
      <x:c r="D373" s="34" t="str"/>
      <x:c r="E373" s="41"/>
    </x:row>
    <x:row r="374">
      <x:c r="A374" s="43"/>
      <x:c r="B374" s="34" t="str"/>
      <x:c r="C374" s="34" t="str"/>
      <x:c r="D374" s="34" t="str"/>
      <x:c r="E374" s="41"/>
    </x:row>
    <x:row r="375">
      <x:c r="A375" s="43"/>
      <x:c r="B375" s="34" t="str"/>
      <x:c r="C375" s="34" t="str"/>
      <x:c r="D375" s="34" t="str"/>
      <x:c r="E375" s="41"/>
    </x:row>
    <x:row r="376">
      <x:c r="A376" s="43"/>
      <x:c r="B376" s="34" t="str"/>
      <x:c r="C376" s="34" t="str"/>
      <x:c r="D376" s="34" t="str"/>
      <x:c r="E376" s="41"/>
    </x:row>
    <x:row r="377">
      <x:c r="A377" s="43"/>
      <x:c r="B377" s="34" t="str"/>
      <x:c r="C377" s="34" t="str"/>
      <x:c r="D377" s="34" t="str"/>
      <x:c r="E377" s="41"/>
    </x:row>
    <x:row r="378">
      <x:c r="A378" s="43"/>
      <x:c r="B378" s="34" t="str"/>
      <x:c r="C378" s="34" t="str"/>
      <x:c r="D378" s="34" t="str"/>
      <x:c r="E378" s="41"/>
    </x:row>
    <x:row r="379">
      <x:c r="A379" s="43"/>
      <x:c r="B379" s="34" t="str"/>
      <x:c r="C379" s="34" t="str"/>
      <x:c r="D379" s="34" t="str"/>
      <x:c r="E379" s="41"/>
    </x:row>
    <x:row r="380">
      <x:c r="A380" s="43"/>
      <x:c r="B380" s="34" t="str"/>
      <x:c r="C380" s="34" t="str"/>
      <x:c r="D380" s="34" t="str"/>
      <x:c r="E380" s="41"/>
    </x:row>
    <x:row r="381">
      <x:c r="A381" s="43"/>
      <x:c r="B381" s="34" t="str"/>
      <x:c r="C381" s="34" t="str"/>
      <x:c r="D381" s="34" t="str"/>
      <x:c r="E381" s="41"/>
    </x:row>
    <x:row r="382">
      <x:c r="A382" s="43"/>
      <x:c r="B382" s="34" t="str"/>
      <x:c r="C382" s="34" t="str"/>
      <x:c r="D382" s="34" t="str"/>
      <x:c r="E382" s="41"/>
    </x:row>
    <x:row r="383">
      <x:c r="A383" s="43"/>
      <x:c r="B383" s="34" t="str"/>
      <x:c r="C383" s="34" t="str"/>
      <x:c r="D383" s="34" t="str"/>
      <x:c r="E383" s="41"/>
    </x:row>
    <x:row r="384">
      <x:c r="A384" s="43"/>
      <x:c r="B384" s="34" t="str"/>
      <x:c r="C384" s="34" t="str"/>
      <x:c r="D384" s="34" t="str"/>
      <x:c r="E384" s="41"/>
    </x:row>
    <x:row r="385">
      <x:c r="A385" s="43"/>
      <x:c r="B385" s="34" t="str"/>
      <x:c r="C385" s="34" t="str"/>
      <x:c r="D385" s="34" t="str"/>
      <x:c r="E385" s="41"/>
    </x:row>
    <x:row r="386">
      <x:c r="A386" s="43"/>
      <x:c r="B386" s="34" t="str"/>
      <x:c r="C386" s="34" t="str"/>
      <x:c r="D386" s="34" t="str"/>
      <x:c r="E386" s="41"/>
    </x:row>
    <x:row r="387">
      <x:c r="A387" s="43"/>
      <x:c r="B387" s="34" t="str"/>
      <x:c r="C387" s="34" t="str"/>
      <x:c r="D387" s="34" t="str"/>
      <x:c r="E387" s="41"/>
    </x:row>
    <x:row r="388">
      <x:c r="A388" s="43"/>
      <x:c r="B388" s="34" t="str"/>
      <x:c r="C388" s="34" t="str"/>
      <x:c r="D388" s="34" t="str"/>
      <x:c r="E388" s="41"/>
    </x:row>
    <x:row r="389">
      <x:c r="A389" s="43"/>
      <x:c r="B389" s="34" t="str"/>
      <x:c r="C389" s="34" t="str"/>
      <x:c r="D389" s="34" t="str"/>
      <x:c r="E389" s="41"/>
    </x:row>
    <x:row r="390">
      <x:c r="A390" s="43"/>
      <x:c r="B390" s="34" t="str"/>
      <x:c r="C390" s="34" t="str"/>
      <x:c r="D390" s="34" t="str"/>
      <x:c r="E390" s="41"/>
    </x:row>
    <x:row r="391">
      <x:c r="A391" s="43"/>
      <x:c r="B391" s="34" t="str"/>
      <x:c r="C391" s="34" t="str"/>
      <x:c r="D391" s="34" t="str"/>
      <x:c r="E391" s="41"/>
    </x:row>
    <x:row r="392">
      <x:c r="A392" s="43"/>
      <x:c r="B392" s="34" t="str"/>
      <x:c r="C392" s="34" t="str"/>
      <x:c r="D392" s="34" t="str"/>
      <x:c r="E392" s="41"/>
    </x:row>
    <x:row r="393">
      <x:c r="A393" s="43"/>
      <x:c r="B393" s="34" t="str"/>
      <x:c r="C393" s="34" t="str"/>
      <x:c r="D393" s="34" t="str"/>
      <x:c r="E393" s="41"/>
    </x:row>
    <x:row r="394">
      <x:c r="A394" s="43"/>
      <x:c r="B394" s="34" t="str"/>
      <x:c r="C394" s="34" t="str"/>
      <x:c r="D394" s="34" t="str"/>
      <x:c r="E394" s="41"/>
    </x:row>
    <x:row r="395">
      <x:c r="A395" s="43"/>
      <x:c r="B395" s="34" t="str"/>
      <x:c r="C395" s="34" t="str"/>
      <x:c r="D395" s="34" t="str"/>
      <x:c r="E395" s="41"/>
    </x:row>
    <x:row r="396">
      <x:c r="A396" s="43"/>
      <x:c r="B396" s="34" t="str"/>
      <x:c r="C396" s="34" t="str"/>
      <x:c r="D396" s="34" t="str"/>
      <x:c r="E396" s="41"/>
    </x:row>
    <x:row r="397">
      <x:c r="A397" s="43"/>
      <x:c r="B397" s="34" t="str"/>
      <x:c r="C397" s="34" t="str"/>
      <x:c r="D397" s="34" t="str"/>
      <x:c r="E397" s="41"/>
    </x:row>
    <x:row r="398">
      <x:c r="A398" s="43"/>
      <x:c r="B398" s="34" t="str"/>
      <x:c r="C398" s="34" t="str"/>
      <x:c r="D398" s="34" t="str"/>
      <x:c r="E398" s="41"/>
    </x:row>
    <x:row r="399">
      <x:c r="A399" s="43"/>
      <x:c r="B399" s="34" t="str"/>
      <x:c r="C399" s="34" t="str"/>
      <x:c r="D399" s="34" t="str"/>
      <x:c r="E399" s="41"/>
    </x:row>
    <x:row r="400">
      <x:c r="A400" s="43"/>
      <x:c r="B400" s="34" t="str"/>
      <x:c r="C400" s="34" t="str"/>
      <x:c r="D400" s="34" t="str"/>
      <x:c r="E400" s="41"/>
    </x:row>
    <x:row r="401">
      <x:c r="A401" s="43"/>
      <x:c r="B401" s="34" t="str"/>
      <x:c r="C401" s="34" t="str"/>
      <x:c r="D401" s="34" t="str"/>
      <x:c r="E401" s="41"/>
    </x:row>
    <x:row r="402">
      <x:c r="A402" s="43"/>
      <x:c r="B402" s="34" t="str"/>
      <x:c r="C402" s="34" t="str"/>
      <x:c r="D402" s="34" t="str"/>
      <x:c r="E402" s="41"/>
    </x:row>
    <x:row r="403">
      <x:c r="A403" s="43"/>
      <x:c r="B403" s="34" t="str"/>
      <x:c r="C403" s="34" t="str"/>
      <x:c r="D403" s="34" t="str"/>
      <x:c r="E403" s="41"/>
    </x:row>
    <x:row r="404">
      <x:c r="A404" s="43"/>
      <x:c r="B404" s="34" t="str"/>
      <x:c r="C404" s="34" t="str"/>
      <x:c r="D404" s="34" t="str"/>
      <x:c r="E404" s="41"/>
    </x:row>
    <x:row r="405">
      <x:c r="A405" s="43"/>
      <x:c r="B405" s="34" t="str"/>
      <x:c r="C405" s="34" t="str"/>
      <x:c r="D405" s="34" t="str"/>
      <x:c r="E405" s="41"/>
    </x:row>
    <x:row r="406">
      <x:c r="A406" s="43"/>
      <x:c r="B406" s="34" t="str"/>
      <x:c r="C406" s="34" t="str"/>
      <x:c r="D406" s="34" t="str"/>
      <x:c r="E406" s="41"/>
    </x:row>
    <x:row r="407">
      <x:c r="A407" s="43"/>
      <x:c r="B407" s="34" t="str"/>
      <x:c r="C407" s="34" t="str"/>
      <x:c r="D407" s="34" t="str"/>
      <x:c r="E407" s="41"/>
    </x:row>
    <x:row r="408">
      <x:c r="A408" s="43"/>
      <x:c r="B408" s="34" t="str"/>
      <x:c r="C408" s="34" t="str"/>
      <x:c r="D408" s="34" t="str"/>
      <x:c r="E408" s="41"/>
    </x:row>
    <x:row r="409">
      <x:c r="A409" s="43"/>
      <x:c r="B409" s="34" t="str"/>
      <x:c r="C409" s="34" t="str"/>
      <x:c r="D409" s="34" t="str"/>
      <x:c r="E409" s="41"/>
    </x:row>
    <x:row r="410">
      <x:c r="A410" s="43"/>
      <x:c r="B410" s="34" t="str"/>
      <x:c r="C410" s="34" t="str"/>
      <x:c r="D410" s="34" t="str"/>
      <x:c r="E410" s="41"/>
    </x:row>
    <x:row r="411">
      <x:c r="A411" s="43"/>
      <x:c r="B411" s="34" t="str"/>
      <x:c r="C411" s="34" t="str"/>
      <x:c r="D411" s="34" t="str"/>
      <x:c r="E411" s="41"/>
    </x:row>
    <x:row r="412">
      <x:c r="A412" s="43"/>
      <x:c r="B412" s="34" t="str"/>
      <x:c r="C412" s="34" t="str"/>
      <x:c r="D412" s="34" t="str"/>
      <x:c r="E412" s="41"/>
    </x:row>
    <x:row r="413">
      <x:c r="A413" s="43"/>
      <x:c r="B413" s="34" t="str"/>
      <x:c r="C413" s="34" t="str"/>
      <x:c r="D413" s="34" t="str"/>
      <x:c r="E413" s="41"/>
    </x:row>
    <x:row r="414">
      <x:c r="A414" s="43"/>
      <x:c r="B414" s="34" t="str"/>
      <x:c r="C414" s="34" t="str"/>
      <x:c r="D414" s="34" t="str"/>
      <x:c r="E414" s="41"/>
    </x:row>
    <x:row r="415">
      <x:c r="A415" s="43"/>
      <x:c r="B415" s="34" t="str"/>
      <x:c r="C415" s="34" t="str"/>
      <x:c r="D415" s="34" t="str"/>
      <x:c r="E415" s="41"/>
    </x:row>
    <x:row r="416">
      <x:c r="A416" s="43"/>
      <x:c r="B416" s="34" t="str"/>
      <x:c r="C416" s="34" t="str"/>
      <x:c r="D416" s="34" t="str"/>
      <x:c r="E416" s="41"/>
    </x:row>
    <x:row r="417">
      <x:c r="A417" s="43"/>
      <x:c r="B417" s="34" t="str"/>
      <x:c r="C417" s="34" t="str"/>
      <x:c r="D417" s="34" t="str"/>
      <x:c r="E417" s="41"/>
    </x:row>
    <x:row r="418">
      <x:c r="A418" s="43"/>
      <x:c r="B418" s="34" t="str"/>
      <x:c r="C418" s="34" t="str"/>
      <x:c r="D418" s="34" t="str"/>
      <x:c r="E418" s="41"/>
    </x:row>
    <x:row r="419">
      <x:c r="A419" s="43"/>
      <x:c r="B419" s="34" t="str"/>
      <x:c r="C419" s="34" t="str"/>
      <x:c r="D419" s="34" t="str"/>
      <x:c r="E419" s="41"/>
    </x:row>
    <x:row r="420">
      <x:c r="A420" s="43"/>
      <x:c r="B420" s="34" t="str"/>
      <x:c r="C420" s="34" t="str"/>
      <x:c r="D420" s="34" t="str"/>
      <x:c r="E420" s="41"/>
    </x:row>
    <x:row r="421">
      <x:c r="A421" s="43"/>
      <x:c r="B421" s="34" t="str"/>
      <x:c r="C421" s="34" t="str"/>
      <x:c r="D421" s="34" t="str"/>
      <x:c r="E421" s="41"/>
    </x:row>
    <x:row r="422">
      <x:c r="A422" s="43"/>
      <x:c r="B422" s="34" t="str"/>
      <x:c r="C422" s="34" t="str"/>
      <x:c r="D422" s="34" t="str"/>
      <x:c r="E422" s="41"/>
    </x:row>
    <x:row r="423">
      <x:c r="A423" s="43"/>
      <x:c r="B423" s="34" t="str"/>
      <x:c r="C423" s="34" t="str"/>
      <x:c r="D423" s="34" t="str"/>
      <x:c r="E423" s="41"/>
    </x:row>
    <x:row r="424">
      <x:c r="A424" s="43"/>
      <x:c r="B424" s="34" t="str"/>
      <x:c r="C424" s="34" t="str"/>
      <x:c r="D424" s="34" t="str"/>
      <x:c r="E424" s="41"/>
    </x:row>
    <x:row r="425">
      <x:c r="A425" s="43"/>
      <x:c r="B425" s="34" t="str"/>
      <x:c r="C425" s="34" t="str"/>
      <x:c r="D425" s="34" t="str"/>
      <x:c r="E425" s="41"/>
    </x:row>
    <x:row r="426">
      <x:c r="A426" s="43"/>
      <x:c r="B426" s="34" t="str"/>
      <x:c r="C426" s="34" t="str"/>
      <x:c r="D426" s="34" t="str"/>
      <x:c r="E426" s="41"/>
    </x:row>
    <x:row r="427">
      <x:c r="A427" s="43"/>
      <x:c r="B427" s="34" t="str"/>
      <x:c r="C427" s="34" t="str"/>
      <x:c r="D427" s="34" t="str"/>
      <x:c r="E427" s="41"/>
    </x:row>
    <x:row r="428">
      <x:c r="A428" s="43"/>
      <x:c r="B428" s="34" t="str"/>
      <x:c r="C428" s="34" t="str"/>
      <x:c r="D428" s="34" t="str"/>
      <x:c r="E428" s="41"/>
    </x:row>
    <x:row r="429">
      <x:c r="A429" s="43"/>
      <x:c r="B429" s="34" t="str"/>
      <x:c r="C429" s="34" t="str"/>
      <x:c r="D429" s="34" t="str"/>
      <x:c r="E429" s="41"/>
    </x:row>
    <x:row r="430">
      <x:c r="A430" s="43"/>
      <x:c r="B430" s="34" t="str"/>
      <x:c r="C430" s="34" t="str"/>
      <x:c r="D430" s="34" t="str"/>
      <x:c r="E430" s="41"/>
    </x:row>
    <x:row r="431">
      <x:c r="A431" s="43"/>
      <x:c r="B431" s="34" t="str"/>
      <x:c r="C431" s="34" t="str"/>
      <x:c r="D431" s="34" t="str"/>
      <x:c r="E431" s="41"/>
    </x:row>
    <x:row r="432">
      <x:c r="A432" s="43"/>
      <x:c r="B432" s="34" t="str"/>
      <x:c r="C432" s="34" t="str"/>
      <x:c r="D432" s="34" t="str"/>
      <x:c r="E432" s="41"/>
    </x:row>
    <x:row r="433">
      <x:c r="A433" s="43"/>
      <x:c r="B433" s="34" t="str"/>
      <x:c r="C433" s="34" t="str"/>
      <x:c r="D433" s="34" t="str"/>
      <x:c r="E433" s="41"/>
    </x:row>
    <x:row r="434">
      <x:c r="A434" s="43"/>
      <x:c r="B434" s="34" t="str"/>
      <x:c r="C434" s="34" t="str"/>
      <x:c r="D434" s="34" t="str"/>
      <x:c r="E434" s="41"/>
    </x:row>
    <x:row r="435">
      <x:c r="A435" s="43"/>
      <x:c r="B435" s="34" t="str"/>
      <x:c r="C435" s="34" t="str"/>
      <x:c r="D435" s="34" t="str"/>
      <x:c r="E435" s="41"/>
    </x:row>
    <x:row r="436">
      <x:c r="A436" s="43"/>
      <x:c r="B436" s="34" t="str"/>
      <x:c r="C436" s="34" t="str"/>
      <x:c r="D436" s="34" t="str"/>
      <x:c r="E436" s="41"/>
    </x:row>
    <x:row r="437">
      <x:c r="A437" s="43"/>
      <x:c r="B437" s="34" t="str"/>
      <x:c r="C437" s="34" t="str"/>
      <x:c r="D437" s="34" t="str"/>
      <x:c r="E437" s="41"/>
    </x:row>
    <x:row r="438">
      <x:c r="A438" s="43"/>
      <x:c r="B438" s="34" t="str"/>
      <x:c r="C438" s="34" t="str"/>
      <x:c r="D438" s="34" t="str"/>
      <x:c r="E438" s="41"/>
    </x:row>
    <x:row r="439">
      <x:c r="A439" s="43"/>
      <x:c r="B439" s="34" t="str"/>
      <x:c r="C439" s="34" t="str"/>
      <x:c r="D439" s="34" t="str"/>
      <x:c r="E439" s="41"/>
    </x:row>
    <x:row r="440">
      <x:c r="A440" s="43"/>
      <x:c r="B440" s="34" t="str"/>
      <x:c r="C440" s="34" t="str"/>
      <x:c r="D440" s="34" t="str"/>
      <x:c r="E440" s="41"/>
    </x:row>
    <x:row r="441">
      <x:c r="A441" s="43"/>
      <x:c r="B441" s="34" t="str"/>
      <x:c r="C441" s="34" t="str"/>
      <x:c r="D441" s="34" t="str"/>
      <x:c r="E441" s="41"/>
    </x:row>
    <x:row r="442">
      <x:c r="A442" s="43"/>
      <x:c r="B442" s="34" t="str"/>
      <x:c r="C442" s="34" t="str"/>
      <x:c r="D442" s="34" t="str"/>
      <x:c r="E442" s="41"/>
    </x:row>
    <x:row r="443">
      <x:c r="A443" s="43"/>
      <x:c r="B443" s="34" t="str"/>
      <x:c r="C443" s="34" t="str"/>
      <x:c r="D443" s="34" t="str"/>
      <x:c r="E443" s="41"/>
    </x:row>
    <x:row r="444">
      <x:c r="A444" s="43"/>
      <x:c r="B444" s="34" t="str"/>
      <x:c r="C444" s="34" t="str"/>
      <x:c r="D444" s="34" t="str"/>
      <x:c r="E444" s="41"/>
    </x:row>
    <x:row r="445">
      <x:c r="A445" s="43"/>
      <x:c r="B445" s="34" t="str"/>
      <x:c r="C445" s="34" t="str"/>
      <x:c r="D445" s="34" t="str"/>
      <x:c r="E445" s="41"/>
    </x:row>
    <x:row r="446">
      <x:c r="A446" s="43"/>
      <x:c r="B446" s="34" t="str"/>
      <x:c r="C446" s="34" t="str"/>
      <x:c r="D446" s="34" t="str"/>
      <x:c r="E446" s="41"/>
    </x:row>
    <x:row r="447">
      <x:c r="A447" s="43"/>
      <x:c r="B447" s="34" t="str"/>
      <x:c r="C447" s="34" t="str"/>
      <x:c r="D447" s="34" t="str"/>
      <x:c r="E447" s="41"/>
    </x:row>
    <x:row r="448">
      <x:c r="A448" s="43"/>
      <x:c r="B448" s="34" t="str"/>
      <x:c r="C448" s="34" t="str"/>
      <x:c r="D448" s="34" t="str"/>
      <x:c r="E448" s="41"/>
    </x:row>
    <x:row r="449">
      <x:c r="A449" s="43"/>
      <x:c r="B449" s="34" t="str"/>
      <x:c r="C449" s="34" t="str"/>
      <x:c r="D449" s="34" t="str"/>
      <x:c r="E449" s="41"/>
    </x:row>
    <x:row r="450">
      <x:c r="A450" s="43"/>
      <x:c r="B450" s="34" t="str"/>
      <x:c r="C450" s="34" t="str"/>
      <x:c r="D450" s="34" t="str"/>
      <x:c r="E450" s="41"/>
    </x:row>
    <x:row r="451">
      <x:c r="A451" s="43"/>
      <x:c r="B451" s="34" t="str"/>
      <x:c r="C451" s="34" t="str"/>
      <x:c r="D451" s="34" t="str"/>
      <x:c r="E451" s="41"/>
    </x:row>
    <x:row r="452">
      <x:c r="A452" s="43"/>
      <x:c r="B452" s="34" t="str"/>
      <x:c r="C452" s="34" t="str"/>
      <x:c r="D452" s="34" t="str"/>
      <x:c r="E452" s="41"/>
    </x:row>
    <x:row r="453">
      <x:c r="A453" s="43"/>
      <x:c r="B453" s="34" t="str"/>
      <x:c r="C453" s="34" t="str"/>
      <x:c r="D453" s="34" t="str"/>
      <x:c r="E453" s="41"/>
    </x:row>
    <x:row r="454">
      <x:c r="A454" s="43"/>
      <x:c r="B454" s="34" t="str"/>
      <x:c r="C454" s="34" t="str"/>
      <x:c r="D454" s="34" t="str"/>
      <x:c r="E454" s="41"/>
    </x:row>
    <x:row r="455">
      <x:c r="A455" s="43"/>
      <x:c r="B455" s="34" t="str"/>
      <x:c r="C455" s="34" t="str"/>
      <x:c r="D455" s="34" t="str"/>
      <x:c r="E455" s="41"/>
    </x:row>
    <x:row r="456">
      <x:c r="A456" s="43"/>
      <x:c r="B456" s="34" t="str"/>
      <x:c r="C456" s="34" t="str"/>
      <x:c r="D456" s="34" t="str"/>
      <x:c r="E456" s="41"/>
    </x:row>
    <x:row r="457">
      <x:c r="A457" s="43"/>
      <x:c r="B457" s="34" t="str"/>
      <x:c r="C457" s="34" t="str"/>
      <x:c r="D457" s="34" t="str"/>
      <x:c r="E457" s="41"/>
    </x:row>
    <x:row r="458">
      <x:c r="A458" s="43"/>
      <x:c r="B458" s="34" t="str"/>
      <x:c r="C458" s="34" t="str"/>
      <x:c r="D458" s="34" t="str"/>
      <x:c r="E458" s="41"/>
    </x:row>
    <x:row r="459">
      <x:c r="A459" s="43"/>
      <x:c r="B459" s="34" t="str"/>
      <x:c r="C459" s="34" t="str"/>
      <x:c r="D459" s="34" t="str"/>
      <x:c r="E459" s="41"/>
    </x:row>
    <x:row r="460">
      <x:c r="A460" s="43"/>
      <x:c r="B460" s="34" t="str"/>
      <x:c r="C460" s="34" t="str"/>
      <x:c r="D460" s="34" t="str"/>
      <x:c r="E460" s="41"/>
    </x:row>
    <x:row r="461">
      <x:c r="A461" s="43"/>
      <x:c r="B461" s="34" t="str"/>
      <x:c r="C461" s="34" t="str"/>
      <x:c r="D461" s="34" t="str"/>
      <x:c r="E461" s="41"/>
    </x:row>
    <x:row r="462">
      <x:c r="A462" s="43"/>
      <x:c r="B462" s="34" t="str"/>
      <x:c r="C462" s="34" t="str"/>
      <x:c r="D462" s="34" t="str"/>
      <x:c r="E462" s="41"/>
    </x:row>
    <x:row r="463">
      <x:c r="A463" s="43"/>
      <x:c r="B463" s="34" t="str"/>
      <x:c r="C463" s="34" t="str"/>
      <x:c r="D463" s="34" t="str"/>
      <x:c r="E463" s="41"/>
    </x:row>
    <x:row r="464">
      <x:c r="A464" s="43"/>
      <x:c r="B464" s="34" t="str"/>
      <x:c r="C464" s="34" t="str"/>
      <x:c r="D464" s="34" t="str"/>
      <x:c r="E464" s="41"/>
    </x:row>
    <x:row r="465">
      <x:c r="A465" s="43"/>
      <x:c r="B465" s="34" t="str"/>
      <x:c r="C465" s="34" t="str"/>
      <x:c r="D465" s="34" t="str"/>
      <x:c r="E465" s="41"/>
    </x:row>
    <x:row r="466">
      <x:c r="A466" s="43"/>
      <x:c r="B466" s="34" t="str"/>
      <x:c r="C466" s="34" t="str"/>
      <x:c r="D466" s="34" t="str"/>
      <x:c r="E466" s="41"/>
    </x:row>
    <x:row r="467">
      <x:c r="A467" s="43"/>
      <x:c r="B467" s="34" t="str"/>
      <x:c r="C467" s="34" t="str"/>
      <x:c r="D467" s="34" t="str"/>
      <x:c r="E467" s="41"/>
    </x:row>
    <x:row r="468">
      <x:c r="A468" s="43"/>
      <x:c r="B468" s="34" t="str"/>
      <x:c r="C468" s="34" t="str"/>
      <x:c r="D468" s="34" t="str"/>
      <x:c r="E468" s="41"/>
    </x:row>
    <x:row r="469">
      <x:c r="A469" s="43"/>
      <x:c r="B469" s="34" t="str"/>
      <x:c r="C469" s="34" t="str"/>
      <x:c r="D469" s="34" t="str"/>
      <x:c r="E469" s="41"/>
    </x:row>
    <x:row r="470">
      <x:c r="A470" s="43"/>
      <x:c r="B470" s="34" t="str"/>
      <x:c r="C470" s="34" t="str"/>
      <x:c r="D470" s="34" t="str"/>
      <x:c r="E470" s="41"/>
    </x:row>
    <x:row r="471">
      <x:c r="A471" s="43"/>
      <x:c r="B471" s="34" t="str"/>
      <x:c r="C471" s="34" t="str"/>
      <x:c r="D471" s="34" t="str"/>
      <x:c r="E471" s="41"/>
    </x:row>
    <x:row r="472">
      <x:c r="A472" s="43"/>
      <x:c r="B472" s="34" t="str"/>
      <x:c r="C472" s="34" t="str"/>
      <x:c r="D472" s="34" t="str"/>
      <x:c r="E472" s="41"/>
    </x:row>
    <x:row r="473">
      <x:c r="A473" s="43"/>
      <x:c r="B473" s="34" t="str"/>
      <x:c r="C473" s="34" t="str"/>
      <x:c r="D473" s="34" t="str"/>
      <x:c r="E473" s="41"/>
    </x:row>
    <x:row r="474">
      <x:c r="A474" s="43"/>
      <x:c r="B474" s="34" t="str"/>
      <x:c r="C474" s="34" t="str"/>
      <x:c r="D474" s="34" t="str"/>
      <x:c r="E474" s="41"/>
    </x:row>
    <x:row r="475">
      <x:c r="A475" s="43"/>
      <x:c r="B475" s="34" t="str"/>
      <x:c r="C475" s="34" t="str"/>
      <x:c r="D475" s="34" t="str"/>
      <x:c r="E475" s="41"/>
    </x:row>
    <x:row r="476">
      <x:c r="A476" s="43"/>
      <x:c r="B476" s="34" t="str"/>
      <x:c r="C476" s="34" t="str"/>
      <x:c r="D476" s="34" t="str"/>
      <x:c r="E476" s="41"/>
    </x:row>
    <x:row r="477">
      <x:c r="A477" s="43"/>
      <x:c r="B477" s="34" t="str"/>
      <x:c r="C477" s="34" t="str"/>
      <x:c r="D477" s="34" t="str"/>
      <x:c r="E477" s="41"/>
    </x:row>
    <x:row r="478">
      <x:c r="A478" s="43"/>
      <x:c r="B478" s="34" t="str"/>
      <x:c r="C478" s="34" t="str"/>
      <x:c r="D478" s="34" t="str"/>
      <x:c r="E478" s="41"/>
    </x:row>
    <x:row r="479">
      <x:c r="A479" s="43"/>
      <x:c r="B479" s="34" t="str"/>
      <x:c r="C479" s="34" t="str"/>
      <x:c r="D479" s="34" t="str"/>
      <x:c r="E479" s="41"/>
    </x:row>
    <x:row r="480">
      <x:c r="A480" s="43"/>
      <x:c r="B480" s="34" t="str"/>
      <x:c r="C480" s="34" t="str"/>
      <x:c r="D480" s="34" t="str"/>
      <x:c r="E480" s="41"/>
    </x:row>
    <x:row r="481">
      <x:c r="A481" s="43"/>
      <x:c r="B481" s="34" t="str"/>
      <x:c r="C481" s="34" t="str"/>
      <x:c r="D481" s="34" t="str"/>
      <x:c r="E481" s="41"/>
    </x:row>
    <x:row r="482">
      <x:c r="A482" s="43"/>
      <x:c r="B482" s="34" t="str"/>
      <x:c r="C482" s="34" t="str"/>
      <x:c r="D482" s="34" t="str"/>
      <x:c r="E482" s="41"/>
    </x:row>
    <x:row r="483">
      <x:c r="A483" s="43"/>
      <x:c r="B483" s="34" t="str"/>
      <x:c r="C483" s="34" t="str"/>
      <x:c r="D483" s="34" t="str"/>
      <x:c r="E483" s="41"/>
    </x:row>
    <x:row r="484">
      <x:c r="A484" s="43"/>
      <x:c r="B484" s="34" t="str"/>
      <x:c r="C484" s="34" t="str"/>
      <x:c r="D484" s="34" t="str"/>
      <x:c r="E484" s="41"/>
    </x:row>
    <x:row r="485">
      <x:c r="A485" s="43"/>
      <x:c r="B485" s="34" t="str"/>
      <x:c r="C485" s="34" t="str"/>
      <x:c r="D485" s="34" t="str"/>
      <x:c r="E485" s="41"/>
    </x:row>
    <x:row r="486">
      <x:c r="A486" s="43"/>
      <x:c r="B486" s="34" t="str"/>
      <x:c r="C486" s="34" t="str"/>
      <x:c r="D486" s="34" t="str"/>
      <x:c r="E486" s="41"/>
    </x:row>
    <x:row r="487">
      <x:c r="A487" s="43"/>
      <x:c r="B487" s="34" t="str"/>
      <x:c r="C487" s="34" t="str"/>
      <x:c r="D487" s="34" t="str"/>
      <x:c r="E487" s="41"/>
    </x:row>
    <x:row r="488">
      <x:c r="A488" s="43"/>
      <x:c r="B488" s="34" t="str"/>
      <x:c r="C488" s="34" t="str"/>
      <x:c r="D488" s="34" t="str"/>
      <x:c r="E488" s="41"/>
    </x:row>
    <x:row r="489">
      <x:c r="A489" s="43"/>
      <x:c r="B489" s="34" t="str"/>
      <x:c r="C489" s="34" t="str"/>
      <x:c r="D489" s="34" t="str"/>
      <x:c r="E489" s="41"/>
    </x:row>
    <x:row r="490">
      <x:c r="A490" s="43"/>
      <x:c r="B490" s="34" t="str"/>
      <x:c r="C490" s="34" t="str"/>
      <x:c r="D490" s="34" t="str"/>
      <x:c r="E490" s="41"/>
    </x:row>
    <x:row r="491">
      <x:c r="A491" s="43"/>
      <x:c r="B491" s="34" t="str"/>
      <x:c r="C491" s="34" t="str"/>
      <x:c r="D491" s="34" t="str"/>
      <x:c r="E491" s="41"/>
    </x:row>
    <x:row r="492">
      <x:c r="A492" s="43"/>
      <x:c r="B492" s="34" t="str"/>
      <x:c r="C492" s="34" t="str"/>
      <x:c r="D492" s="34" t="str"/>
      <x:c r="E492" s="41"/>
    </x:row>
    <x:row r="493">
      <x:c r="A493" s="43"/>
      <x:c r="B493" s="34" t="str"/>
      <x:c r="C493" s="34" t="str"/>
      <x:c r="D493" s="34" t="str"/>
      <x:c r="E493" s="41"/>
    </x:row>
    <x:row r="494">
      <x:c r="A494" s="43"/>
      <x:c r="B494" s="34" t="str"/>
      <x:c r="C494" s="34" t="str"/>
      <x:c r="D494" s="34" t="str"/>
      <x:c r="E494" s="41"/>
    </x:row>
    <x:row r="495">
      <x:c r="A495" s="43"/>
      <x:c r="B495" s="34" t="str"/>
      <x:c r="C495" s="34" t="str"/>
      <x:c r="D495" s="34" t="str"/>
      <x:c r="E495" s="41"/>
    </x:row>
    <x:row r="496">
      <x:c r="A496" s="43"/>
      <x:c r="B496" s="34" t="str"/>
      <x:c r="C496" s="34" t="str"/>
      <x:c r="D496" s="34" t="str"/>
      <x:c r="E496" s="41"/>
    </x:row>
    <x:row r="497">
      <x:c r="A497" s="43"/>
      <x:c r="B497" s="34" t="str"/>
      <x:c r="C497" s="34" t="str"/>
      <x:c r="D497" s="34" t="str"/>
      <x:c r="E497" s="41"/>
    </x:row>
    <x:row r="498">
      <x:c r="A498" s="43"/>
      <x:c r="B498" s="34" t="str"/>
      <x:c r="C498" s="34" t="str"/>
      <x:c r="D498" s="34" t="str"/>
      <x:c r="E498" s="41"/>
    </x:row>
    <x:row r="499">
      <x:c r="A499" s="43"/>
      <x:c r="B499" s="34" t="str"/>
      <x:c r="C499" s="34" t="str"/>
      <x:c r="D499" s="34" t="str"/>
      <x:c r="E499" s="41"/>
    </x:row>
    <x:row r="500">
      <x:c r="A500" s="43"/>
      <x:c r="B500" s="34" t="str"/>
      <x:c r="C500" s="34" t="str"/>
      <x:c r="D500" s="34" t="str"/>
      <x:c r="E500" s="41"/>
    </x:row>
    <x:row r="501">
      <x:c r="A501" s="43"/>
      <x:c r="B501" s="34" t="str"/>
      <x:c r="C501" s="34" t="str"/>
      <x:c r="D501" s="34" t="str"/>
      <x:c r="E501" s="41"/>
    </x:row>
    <x:row r="502">
      <x:c r="A502" s="43"/>
      <x:c r="B502" s="34" t="str"/>
      <x:c r="C502" s="34" t="str"/>
      <x:c r="D502" s="34" t="str"/>
      <x:c r="E502" s="41"/>
    </x:row>
    <x:row r="503">
      <x:c r="A503" s="43"/>
      <x:c r="B503" s="34" t="str"/>
      <x:c r="C503" s="34" t="str"/>
      <x:c r="D503" s="34" t="str"/>
      <x:c r="E503" s="41"/>
    </x:row>
    <x:row r="504">
      <x:c r="A504" s="43"/>
      <x:c r="B504" s="34" t="str"/>
      <x:c r="C504" s="34" t="str"/>
      <x:c r="D504" s="34" t="str"/>
      <x:c r="E504" s="41"/>
    </x:row>
    <x:row r="505">
      <x:c r="A505" s="43"/>
      <x:c r="B505" s="34" t="str"/>
      <x:c r="C505" s="34" t="str"/>
      <x:c r="D505" s="34" t="str"/>
      <x:c r="E505" s="41"/>
    </x:row>
  </x:sheetData>
  <x:mergeCells>
    <x:mergeCell ref="A1:E1"/>
    <x:mergeCell ref="A2:E2"/>
  </x:mergeCells>
  <x:conditionalFormatting sqref="A6:E505">
    <x:cfRule type="expression" dxfId="0" priority="1">
      <x:formula>$B6="Ingreso"</x:formula>
    </x:cfRule>
    <x:cfRule type="expression" dxfId="1" priority="2">
      <x:formula>$B6="Fijo"</x:formula>
    </x:cfRule>
    <x:cfRule type="expression" dxfId="2" priority="3">
      <x:formula>$B6="Variable"</x:formula>
    </x:cfRule>
  </x:conditionalFormatting>
  <x:dataValidations count="2">
    <x:dataValidation type="list" sqref="B6:B505">
      <x:formula1>"Ingreso,Fijo,Variable"</x:formula1>
    </x:dataValidation>
    <x:dataValidation type="list" sqref="C6:C505">
      <x:formula1>"Salario,Renta,Internet,Luz,Agua,Gas,Teléfono,Mercado,Transporte,Salud,Entretenimiento,Restaurante,Helado,Otros"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cbaf84d17947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5" hidden="0" customWidth="1"/>
    <x:col min="3" max="3" width="13.75" hidden="0" customWidth="1"/>
  </x:cols>
  <x:sheetData>
    <x:row r="1" ht="31.5" customHeight="1">
      <x:c r="A1" s="30" t="str">
        <x:v>Pagos recurrentes</x:v>
      </x:c>
      <x:c r="B1" s="30" t="str">
        <x:v>Pagos recurrentes</x:v>
      </x:c>
      <x:c r="C1" s="30" t="str">
        <x:v>Pagos recurrentes</x:v>
      </x:c>
    </x:row>
    <x:row r="2" ht="19.5" customHeight="1">
      <x:c r="A2" s="32" t="str">
        <x:v>Pagos que se repiten cada mes. El Dashboard muestra los próximos del mes seleccionado.</x:v>
      </x:c>
      <x:c r="B2" s="32" t="str">
        <x:v>Pagos que se repiten cada mes. El Dashboard muestra los próximos del mes seleccionado.</x:v>
      </x:c>
      <x:c r="C2" s="32" t="str">
        <x:v>Pagos que se repiten cada mes. El Dashboard muestra los próximos del mes seleccionado.</x:v>
      </x:c>
    </x:row>
    <x:row r="3">
      <x:c r="A3" s="31"/>
      <x:c r="B3" s="31"/>
      <x:c r="C3" s="31"/>
    </x:row>
    <x:row r="4">
      <x:c r="A4" s="31"/>
      <x:c r="B4" s="31"/>
      <x:c r="C4" s="31"/>
    </x:row>
    <x:row r="5">
      <x:c r="A5" s="33" t="str">
        <x:v>Concepto</x:v>
      </x:c>
      <x:c r="B5" s="33" t="str">
        <x:v>Monto</x:v>
      </x:c>
      <x:c r="C5" s="33" t="str">
        <x:v>Día de pago</x:v>
      </x:c>
    </x:row>
    <x:row r="6">
      <x:c r="A6" s="34" t="str">
        <x:v>Renta</x:v>
      </x:c>
      <x:c r="B6" s="41" t="n">
        <x:v>800</x:v>
      </x:c>
      <x:c r="C6" s="34" t="n">
        <x:v>5</x:v>
      </x:c>
    </x:row>
    <x:row r="7">
      <x:c r="A7" s="34" t="str">
        <x:v>Internet</x:v>
      </x:c>
      <x:c r="B7" s="41" t="n">
        <x:v>35</x:v>
      </x:c>
      <x:c r="C7" s="34" t="n">
        <x:v>10</x:v>
      </x:c>
    </x:row>
    <x:row r="8">
      <x:c r="A8" s="34" t="str">
        <x:v>Luz</x:v>
      </x:c>
      <x:c r="B8" s="41" t="n">
        <x:v>40</x:v>
      </x:c>
      <x:c r="C8" s="34" t="n">
        <x:v>15</x:v>
      </x:c>
    </x:row>
    <x:row r="9">
      <x:c r="A9" s="34" t="str">
        <x:v>Teléfono</x:v>
      </x:c>
      <x:c r="B9" s="41" t="n">
        <x:v>30</x:v>
      </x:c>
      <x:c r="C9" s="34" t="n">
        <x:v>20</x:v>
      </x:c>
    </x:row>
    <x:row r="10">
      <x:c r="A10" s="34" t="str"/>
      <x:c r="B10" s="41"/>
      <x:c r="C10" s="34"/>
    </x:row>
    <x:row r="11">
      <x:c r="A11" s="34" t="str"/>
      <x:c r="B11" s="41"/>
      <x:c r="C11" s="34"/>
    </x:row>
    <x:row r="12">
      <x:c r="A12" s="34" t="str"/>
      <x:c r="B12" s="41"/>
      <x:c r="C12" s="34"/>
    </x:row>
    <x:row r="13">
      <x:c r="A13" s="34" t="str"/>
      <x:c r="B13" s="41"/>
      <x:c r="C13" s="34"/>
    </x:row>
    <x:row r="14">
      <x:c r="A14" s="34" t="str"/>
      <x:c r="B14" s="41"/>
      <x:c r="C14" s="34"/>
    </x:row>
    <x:row r="15">
      <x:c r="A15" s="34" t="str"/>
      <x:c r="B15" s="41"/>
      <x:c r="C15" s="34"/>
    </x:row>
    <x:row r="16">
      <x:c r="A16" s="34" t="str"/>
      <x:c r="B16" s="41"/>
      <x:c r="C16" s="34"/>
    </x:row>
    <x:row r="17">
      <x:c r="A17" s="34" t="str"/>
      <x:c r="B17" s="41"/>
      <x:c r="C17" s="34"/>
    </x:row>
    <x:row r="18">
      <x:c r="A18" s="34" t="str"/>
      <x:c r="B18" s="41"/>
      <x:c r="C18" s="34"/>
    </x:row>
    <x:row r="19">
      <x:c r="A19" s="34" t="str"/>
      <x:c r="B19" s="41"/>
      <x:c r="C19" s="34"/>
    </x:row>
    <x:row r="20">
      <x:c r="A20" s="34" t="str"/>
      <x:c r="B20" s="41"/>
      <x:c r="C20" s="34"/>
    </x:row>
    <x:row r="21">
      <x:c r="A21" s="34" t="str"/>
      <x:c r="B21" s="41"/>
      <x:c r="C21" s="34"/>
    </x:row>
    <x:row r="22">
      <x:c r="A22" s="34" t="str"/>
      <x:c r="B22" s="41"/>
      <x:c r="C22" s="34"/>
    </x:row>
    <x:row r="23">
      <x:c r="A23" s="34" t="str"/>
      <x:c r="B23" s="41"/>
      <x:c r="C23" s="34"/>
    </x:row>
    <x:row r="24">
      <x:c r="A24" s="34" t="str"/>
      <x:c r="B24" s="41"/>
      <x:c r="C24" s="34"/>
    </x:row>
    <x:row r="25">
      <x:c r="A25" s="34" t="str"/>
      <x:c r="B25" s="41"/>
      <x:c r="C25" s="34"/>
    </x:row>
    <x:row r="26">
      <x:c r="A26" s="34" t="str"/>
      <x:c r="B26" s="41"/>
      <x:c r="C26" s="34"/>
    </x:row>
    <x:row r="27">
      <x:c r="A27" s="34" t="str"/>
      <x:c r="B27" s="41"/>
      <x:c r="C27" s="34"/>
    </x:row>
    <x:row r="28">
      <x:c r="A28" s="34" t="str"/>
      <x:c r="B28" s="41"/>
      <x:c r="C28" s="34"/>
    </x:row>
    <x:row r="29">
      <x:c r="A29" s="34" t="str"/>
      <x:c r="B29" s="41"/>
      <x:c r="C29" s="34"/>
    </x:row>
    <x:row r="30">
      <x:c r="A30" s="34" t="str"/>
      <x:c r="B30" s="41"/>
      <x:c r="C30" s="34"/>
    </x:row>
    <x:row r="31">
      <x:c r="A31" s="34" t="str"/>
      <x:c r="B31" s="41"/>
      <x:c r="C31" s="34"/>
    </x:row>
    <x:row r="32">
      <x:c r="A32" s="34" t="str"/>
      <x:c r="B32" s="41"/>
      <x:c r="C32" s="34"/>
    </x:row>
    <x:row r="33">
      <x:c r="A33" s="34" t="str"/>
      <x:c r="B33" s="41"/>
      <x:c r="C33" s="34"/>
    </x:row>
    <x:row r="34">
      <x:c r="A34" s="34" t="str"/>
      <x:c r="B34" s="41"/>
      <x:c r="C34" s="34"/>
    </x:row>
    <x:row r="35">
      <x:c r="A35" s="34" t="str"/>
      <x:c r="B35" s="41"/>
      <x:c r="C35" s="34"/>
    </x:row>
    <x:row r="36">
      <x:c r="A36" s="34" t="str"/>
      <x:c r="B36" s="41"/>
      <x:c r="C36" s="34"/>
    </x:row>
    <x:row r="37">
      <x:c r="A37" s="34" t="str"/>
      <x:c r="B37" s="41"/>
      <x:c r="C37" s="34"/>
    </x:row>
    <x:row r="38">
      <x:c r="A38" s="34" t="str"/>
      <x:c r="B38" s="41"/>
      <x:c r="C38" s="34"/>
    </x:row>
    <x:row r="39">
      <x:c r="A39" s="34" t="str"/>
      <x:c r="B39" s="41"/>
      <x:c r="C39" s="34"/>
    </x:row>
    <x:row r="40">
      <x:c r="A40" s="34" t="str"/>
      <x:c r="B40" s="41"/>
      <x:c r="C40" s="34"/>
    </x:row>
    <x:row r="41">
      <x:c r="A41" s="34" t="str"/>
      <x:c r="B41" s="41"/>
      <x:c r="C41" s="34"/>
    </x:row>
    <x:row r="42">
      <x:c r="A42" s="34" t="str"/>
      <x:c r="B42" s="41"/>
      <x:c r="C42" s="34"/>
    </x:row>
    <x:row r="43">
      <x:c r="A43" s="34" t="str"/>
      <x:c r="B43" s="41"/>
      <x:c r="C43" s="34"/>
    </x:row>
    <x:row r="44">
      <x:c r="A44" s="34" t="str"/>
      <x:c r="B44" s="41"/>
      <x:c r="C44" s="34"/>
    </x:row>
    <x:row r="45">
      <x:c r="A45" s="34" t="str"/>
      <x:c r="B45" s="41"/>
      <x:c r="C45" s="34"/>
    </x:row>
    <x:row r="46">
      <x:c r="A46" s="34" t="str"/>
      <x:c r="B46" s="41"/>
      <x:c r="C46" s="34"/>
    </x:row>
    <x:row r="47">
      <x:c r="A47" s="34" t="str"/>
      <x:c r="B47" s="41"/>
      <x:c r="C47" s="34"/>
    </x:row>
    <x:row r="48">
      <x:c r="A48" s="34" t="str"/>
      <x:c r="B48" s="41"/>
      <x:c r="C48" s="34"/>
    </x:row>
    <x:row r="49">
      <x:c r="A49" s="34" t="str"/>
      <x:c r="B49" s="41"/>
      <x:c r="C49" s="34"/>
    </x:row>
    <x:row r="50">
      <x:c r="A50" s="34" t="str"/>
      <x:c r="B50" s="41"/>
      <x:c r="C50" s="34"/>
    </x:row>
    <x:row r="51">
      <x:c r="A51" s="34" t="str"/>
      <x:c r="B51" s="41"/>
      <x:c r="C51" s="34"/>
    </x:row>
    <x:row r="52">
      <x:c r="A52" s="34" t="str"/>
      <x:c r="B52" s="41"/>
      <x:c r="C52" s="34"/>
    </x:row>
    <x:row r="53">
      <x:c r="A53" s="34" t="str"/>
      <x:c r="B53" s="41"/>
      <x:c r="C53" s="34"/>
    </x:row>
    <x:row r="54">
      <x:c r="A54" s="34" t="str"/>
      <x:c r="B54" s="41"/>
      <x:c r="C54" s="34"/>
    </x:row>
    <x:row r="55">
      <x:c r="A55" s="34" t="str"/>
      <x:c r="B55" s="41"/>
      <x:c r="C55" s="34"/>
    </x:row>
    <x:row r="56">
      <x:c r="A56" s="34" t="str"/>
      <x:c r="B56" s="41"/>
      <x:c r="C56" s="34"/>
    </x:row>
    <x:row r="57">
      <x:c r="A57" s="34" t="str"/>
      <x:c r="B57" s="41"/>
      <x:c r="C57" s="34"/>
    </x:row>
    <x:row r="58">
      <x:c r="A58" s="34" t="str"/>
      <x:c r="B58" s="41"/>
      <x:c r="C58" s="34"/>
    </x:row>
    <x:row r="59">
      <x:c r="A59" s="34" t="str"/>
      <x:c r="B59" s="41"/>
      <x:c r="C59" s="34"/>
    </x:row>
    <x:row r="60">
      <x:c r="A60" s="34" t="str"/>
      <x:c r="B60" s="41"/>
      <x:c r="C60" s="34"/>
    </x:row>
    <x:row r="61">
      <x:c r="A61" s="34" t="str"/>
      <x:c r="B61" s="41"/>
      <x:c r="C61" s="34"/>
    </x:row>
    <x:row r="62">
      <x:c r="A62" s="34" t="str"/>
      <x:c r="B62" s="41"/>
      <x:c r="C62" s="34"/>
    </x:row>
    <x:row r="63">
      <x:c r="A63" s="34" t="str"/>
      <x:c r="B63" s="41"/>
      <x:c r="C63" s="34"/>
    </x:row>
    <x:row r="64">
      <x:c r="A64" s="34" t="str"/>
      <x:c r="B64" s="41"/>
      <x:c r="C64" s="34"/>
    </x:row>
    <x:row r="65">
      <x:c r="A65" s="34" t="str"/>
      <x:c r="B65" s="41"/>
      <x:c r="C65" s="34"/>
    </x:row>
    <x:row r="66">
      <x:c r="A66" s="34" t="str"/>
      <x:c r="B66" s="41"/>
      <x:c r="C66" s="34"/>
    </x:row>
    <x:row r="67">
      <x:c r="A67" s="34" t="str"/>
      <x:c r="B67" s="41"/>
      <x:c r="C67" s="34"/>
    </x:row>
    <x:row r="68">
      <x:c r="A68" s="34" t="str"/>
      <x:c r="B68" s="41"/>
      <x:c r="C68" s="34"/>
    </x:row>
    <x:row r="69">
      <x:c r="A69" s="34" t="str"/>
      <x:c r="B69" s="41"/>
      <x:c r="C69" s="34"/>
    </x:row>
    <x:row r="70">
      <x:c r="A70" s="34" t="str"/>
      <x:c r="B70" s="41"/>
      <x:c r="C70" s="34"/>
    </x:row>
    <x:row r="71">
      <x:c r="A71" s="34" t="str"/>
      <x:c r="B71" s="41"/>
      <x:c r="C71" s="34"/>
    </x:row>
    <x:row r="72">
      <x:c r="A72" s="34" t="str"/>
      <x:c r="B72" s="41"/>
      <x:c r="C72" s="34"/>
    </x:row>
    <x:row r="73">
      <x:c r="A73" s="34" t="str"/>
      <x:c r="B73" s="41"/>
      <x:c r="C73" s="34"/>
    </x:row>
    <x:row r="74">
      <x:c r="A74" s="34" t="str"/>
      <x:c r="B74" s="41"/>
      <x:c r="C74" s="34"/>
    </x:row>
    <x:row r="75">
      <x:c r="A75" s="34" t="str"/>
      <x:c r="B75" s="41"/>
      <x:c r="C75" s="34"/>
    </x:row>
    <x:row r="76">
      <x:c r="A76" s="34" t="str"/>
      <x:c r="B76" s="41"/>
      <x:c r="C76" s="34"/>
    </x:row>
    <x:row r="77">
      <x:c r="A77" s="34" t="str"/>
      <x:c r="B77" s="41"/>
      <x:c r="C77" s="34"/>
    </x:row>
    <x:row r="78">
      <x:c r="A78" s="34" t="str"/>
      <x:c r="B78" s="41"/>
      <x:c r="C78" s="34"/>
    </x:row>
    <x:row r="79">
      <x:c r="A79" s="34" t="str"/>
      <x:c r="B79" s="41"/>
      <x:c r="C79" s="34"/>
    </x:row>
    <x:row r="80">
      <x:c r="A80" s="34" t="str"/>
      <x:c r="B80" s="41"/>
      <x:c r="C80" s="34"/>
    </x:row>
    <x:row r="81">
      <x:c r="A81" s="34" t="str"/>
      <x:c r="B81" s="41"/>
      <x:c r="C81" s="34"/>
    </x:row>
    <x:row r="82">
      <x:c r="A82" s="34" t="str"/>
      <x:c r="B82" s="41"/>
      <x:c r="C82" s="34"/>
    </x:row>
    <x:row r="83">
      <x:c r="A83" s="34" t="str"/>
      <x:c r="B83" s="41"/>
      <x:c r="C83" s="34"/>
    </x:row>
    <x:row r="84">
      <x:c r="A84" s="34" t="str"/>
      <x:c r="B84" s="41"/>
      <x:c r="C84" s="34"/>
    </x:row>
    <x:row r="85">
      <x:c r="A85" s="34" t="str"/>
      <x:c r="B85" s="41"/>
      <x:c r="C85" s="34"/>
    </x:row>
    <x:row r="86">
      <x:c r="A86" s="34" t="str"/>
      <x:c r="B86" s="41"/>
      <x:c r="C86" s="34"/>
    </x:row>
    <x:row r="87">
      <x:c r="A87" s="34" t="str"/>
      <x:c r="B87" s="41"/>
      <x:c r="C87" s="34"/>
    </x:row>
    <x:row r="88">
      <x:c r="A88" s="34" t="str"/>
      <x:c r="B88" s="41"/>
      <x:c r="C88" s="34"/>
    </x:row>
    <x:row r="89">
      <x:c r="A89" s="34" t="str"/>
      <x:c r="B89" s="41"/>
      <x:c r="C89" s="34"/>
    </x:row>
    <x:row r="90">
      <x:c r="A90" s="34" t="str"/>
      <x:c r="B90" s="41"/>
      <x:c r="C90" s="34"/>
    </x:row>
    <x:row r="91">
      <x:c r="A91" s="34" t="str"/>
      <x:c r="B91" s="41"/>
      <x:c r="C91" s="34"/>
    </x:row>
    <x:row r="92">
      <x:c r="A92" s="34" t="str"/>
      <x:c r="B92" s="41"/>
      <x:c r="C92" s="34"/>
    </x:row>
    <x:row r="93">
      <x:c r="A93" s="34" t="str"/>
      <x:c r="B93" s="41"/>
      <x:c r="C93" s="34"/>
    </x:row>
    <x:row r="94">
      <x:c r="A94" s="34" t="str"/>
      <x:c r="B94" s="41"/>
      <x:c r="C94" s="34"/>
    </x:row>
    <x:row r="95">
      <x:c r="A95" s="34" t="str"/>
      <x:c r="B95" s="41"/>
      <x:c r="C95" s="34"/>
    </x:row>
    <x:row r="96">
      <x:c r="A96" s="34" t="str"/>
      <x:c r="B96" s="41"/>
      <x:c r="C96" s="34"/>
    </x:row>
    <x:row r="97">
      <x:c r="A97" s="34" t="str"/>
      <x:c r="B97" s="41"/>
      <x:c r="C97" s="34"/>
    </x:row>
    <x:row r="98">
      <x:c r="A98" s="34" t="str"/>
      <x:c r="B98" s="41"/>
      <x:c r="C98" s="34"/>
    </x:row>
    <x:row r="99">
      <x:c r="A99" s="34" t="str"/>
      <x:c r="B99" s="41"/>
      <x:c r="C99" s="34"/>
    </x:row>
    <x:row r="100">
      <x:c r="A100" s="34" t="str"/>
      <x:c r="B100" s="41"/>
      <x:c r="C100" s="34"/>
    </x:row>
    <x:row r="101">
      <x:c r="A101" s="34" t="str"/>
      <x:c r="B101" s="41"/>
      <x:c r="C101" s="34"/>
    </x:row>
    <x:row r="102">
      <x:c r="A102" s="34" t="str"/>
      <x:c r="B102" s="41"/>
      <x:c r="C102" s="34"/>
    </x:row>
    <x:row r="103">
      <x:c r="A103" s="34" t="str"/>
      <x:c r="B103" s="41"/>
      <x:c r="C103" s="34"/>
    </x:row>
    <x:row r="104">
      <x:c r="A104" s="34" t="str"/>
      <x:c r="B104" s="41"/>
      <x:c r="C104" s="34"/>
    </x:row>
    <x:row r="105">
      <x:c r="A105" s="34" t="str"/>
      <x:c r="B105" s="41"/>
      <x:c r="C105" s="34"/>
    </x:row>
    <x:row r="106">
      <x:c r="A106" s="34" t="str"/>
      <x:c r="B106" s="41"/>
      <x:c r="C106" s="34"/>
    </x:row>
    <x:row r="107">
      <x:c r="A107" s="34" t="str"/>
      <x:c r="B107" s="41"/>
      <x:c r="C107" s="34"/>
    </x:row>
    <x:row r="108">
      <x:c r="A108" s="34" t="str"/>
      <x:c r="B108" s="41"/>
      <x:c r="C108" s="34"/>
    </x:row>
    <x:row r="109">
      <x:c r="A109" s="34" t="str"/>
      <x:c r="B109" s="41"/>
      <x:c r="C109" s="34"/>
    </x:row>
    <x:row r="110">
      <x:c r="A110" s="34" t="str"/>
      <x:c r="B110" s="41"/>
      <x:c r="C110" s="34"/>
    </x:row>
    <x:row r="111">
      <x:c r="A111" s="34" t="str"/>
      <x:c r="B111" s="41"/>
      <x:c r="C111" s="34"/>
    </x:row>
    <x:row r="112">
      <x:c r="A112" s="34" t="str"/>
      <x:c r="B112" s="41"/>
      <x:c r="C112" s="34"/>
    </x:row>
    <x:row r="113">
      <x:c r="A113" s="34" t="str"/>
      <x:c r="B113" s="41"/>
      <x:c r="C113" s="34"/>
    </x:row>
    <x:row r="114">
      <x:c r="A114" s="34" t="str"/>
      <x:c r="B114" s="41"/>
      <x:c r="C114" s="34"/>
    </x:row>
    <x:row r="115">
      <x:c r="A115" s="34" t="str"/>
      <x:c r="B115" s="41"/>
      <x:c r="C115" s="34"/>
    </x:row>
    <x:row r="116">
      <x:c r="A116" s="34" t="str"/>
      <x:c r="B116" s="41"/>
      <x:c r="C116" s="34"/>
    </x:row>
    <x:row r="117">
      <x:c r="A117" s="34" t="str"/>
      <x:c r="B117" s="41"/>
      <x:c r="C117" s="34"/>
    </x:row>
    <x:row r="118">
      <x:c r="A118" s="34" t="str"/>
      <x:c r="B118" s="41"/>
      <x:c r="C118" s="34"/>
    </x:row>
    <x:row r="119">
      <x:c r="A119" s="34" t="str"/>
      <x:c r="B119" s="41"/>
      <x:c r="C119" s="34"/>
    </x:row>
    <x:row r="120">
      <x:c r="A120" s="34" t="str"/>
      <x:c r="B120" s="41"/>
      <x:c r="C120" s="34"/>
    </x:row>
    <x:row r="121">
      <x:c r="A121" s="34" t="str"/>
      <x:c r="B121" s="41"/>
      <x:c r="C121" s="34"/>
    </x:row>
    <x:row r="122">
      <x:c r="A122" s="34" t="str"/>
      <x:c r="B122" s="41"/>
      <x:c r="C122" s="34"/>
    </x:row>
    <x:row r="123">
      <x:c r="A123" s="34" t="str"/>
      <x:c r="B123" s="41"/>
      <x:c r="C123" s="34"/>
    </x:row>
    <x:row r="124">
      <x:c r="A124" s="34" t="str"/>
      <x:c r="B124" s="41"/>
      <x:c r="C124" s="34"/>
    </x:row>
    <x:row r="125">
      <x:c r="A125" s="34" t="str"/>
      <x:c r="B125" s="41"/>
      <x:c r="C125" s="34"/>
    </x:row>
    <x:row r="126">
      <x:c r="A126" s="34" t="str"/>
      <x:c r="B126" s="41"/>
      <x:c r="C126" s="34"/>
    </x:row>
    <x:row r="127">
      <x:c r="A127" s="34" t="str"/>
      <x:c r="B127" s="41"/>
      <x:c r="C127" s="34"/>
    </x:row>
    <x:row r="128">
      <x:c r="A128" s="34" t="str"/>
      <x:c r="B128" s="41"/>
      <x:c r="C128" s="34"/>
    </x:row>
    <x:row r="129">
      <x:c r="A129" s="34" t="str"/>
      <x:c r="B129" s="41"/>
      <x:c r="C129" s="34"/>
    </x:row>
    <x:row r="130">
      <x:c r="A130" s="34" t="str"/>
      <x:c r="B130" s="41"/>
      <x:c r="C130" s="34"/>
    </x:row>
    <x:row r="131">
      <x:c r="A131" s="34" t="str"/>
      <x:c r="B131" s="41"/>
      <x:c r="C131" s="34"/>
    </x:row>
    <x:row r="132">
      <x:c r="A132" s="34" t="str"/>
      <x:c r="B132" s="41"/>
      <x:c r="C132" s="34"/>
    </x:row>
    <x:row r="133">
      <x:c r="A133" s="34" t="str"/>
      <x:c r="B133" s="41"/>
      <x:c r="C133" s="34"/>
    </x:row>
    <x:row r="134">
      <x:c r="A134" s="34" t="str"/>
      <x:c r="B134" s="41"/>
      <x:c r="C134" s="34"/>
    </x:row>
    <x:row r="135">
      <x:c r="A135" s="34" t="str"/>
      <x:c r="B135" s="41"/>
      <x:c r="C135" s="34"/>
    </x:row>
    <x:row r="136">
      <x:c r="A136" s="34" t="str"/>
      <x:c r="B136" s="41"/>
      <x:c r="C136" s="34"/>
    </x:row>
    <x:row r="137">
      <x:c r="A137" s="34" t="str"/>
      <x:c r="B137" s="41"/>
      <x:c r="C137" s="34"/>
    </x:row>
    <x:row r="138">
      <x:c r="A138" s="34" t="str"/>
      <x:c r="B138" s="41"/>
      <x:c r="C138" s="34"/>
    </x:row>
    <x:row r="139">
      <x:c r="A139" s="34" t="str"/>
      <x:c r="B139" s="41"/>
      <x:c r="C139" s="34"/>
    </x:row>
    <x:row r="140">
      <x:c r="A140" s="34" t="str"/>
      <x:c r="B140" s="41"/>
      <x:c r="C140" s="34"/>
    </x:row>
    <x:row r="141">
      <x:c r="A141" s="34" t="str"/>
      <x:c r="B141" s="41"/>
      <x:c r="C141" s="34"/>
    </x:row>
    <x:row r="142">
      <x:c r="A142" s="34" t="str"/>
      <x:c r="B142" s="41"/>
      <x:c r="C142" s="34"/>
    </x:row>
    <x:row r="143">
      <x:c r="A143" s="34" t="str"/>
      <x:c r="B143" s="41"/>
      <x:c r="C143" s="34"/>
    </x:row>
    <x:row r="144">
      <x:c r="A144" s="34" t="str"/>
      <x:c r="B144" s="41"/>
      <x:c r="C144" s="34"/>
    </x:row>
    <x:row r="145">
      <x:c r="A145" s="34" t="str"/>
      <x:c r="B145" s="41"/>
      <x:c r="C145" s="34"/>
    </x:row>
    <x:row r="146">
      <x:c r="A146" s="34" t="str"/>
      <x:c r="B146" s="41"/>
      <x:c r="C146" s="34"/>
    </x:row>
    <x:row r="147">
      <x:c r="A147" s="34" t="str"/>
      <x:c r="B147" s="41"/>
      <x:c r="C147" s="34"/>
    </x:row>
    <x:row r="148">
      <x:c r="A148" s="34" t="str"/>
      <x:c r="B148" s="41"/>
      <x:c r="C148" s="34"/>
    </x:row>
    <x:row r="149">
      <x:c r="A149" s="34" t="str"/>
      <x:c r="B149" s="41"/>
      <x:c r="C149" s="34"/>
    </x:row>
    <x:row r="150">
      <x:c r="A150" s="34" t="str"/>
      <x:c r="B150" s="41"/>
      <x:c r="C150" s="34"/>
    </x:row>
    <x:row r="151">
      <x:c r="A151" s="34" t="str"/>
      <x:c r="B151" s="41"/>
      <x:c r="C151" s="34"/>
    </x:row>
    <x:row r="152">
      <x:c r="A152" s="34" t="str"/>
      <x:c r="B152" s="41"/>
      <x:c r="C152" s="34"/>
    </x:row>
    <x:row r="153">
      <x:c r="A153" s="34" t="str"/>
      <x:c r="B153" s="41"/>
      <x:c r="C153" s="34"/>
    </x:row>
    <x:row r="154">
      <x:c r="A154" s="34" t="str"/>
      <x:c r="B154" s="41"/>
      <x:c r="C154" s="34"/>
    </x:row>
    <x:row r="155">
      <x:c r="A155" s="34" t="str"/>
      <x:c r="B155" s="41"/>
      <x:c r="C155" s="34"/>
    </x:row>
    <x:row r="156">
      <x:c r="A156" s="34" t="str"/>
      <x:c r="B156" s="41"/>
      <x:c r="C156" s="34"/>
    </x:row>
    <x:row r="157">
      <x:c r="A157" s="34" t="str"/>
      <x:c r="B157" s="41"/>
      <x:c r="C157" s="34"/>
    </x:row>
    <x:row r="158">
      <x:c r="A158" s="34" t="str"/>
      <x:c r="B158" s="41"/>
      <x:c r="C158" s="34"/>
    </x:row>
    <x:row r="159">
      <x:c r="A159" s="34" t="str"/>
      <x:c r="B159" s="41"/>
      <x:c r="C159" s="34"/>
    </x:row>
    <x:row r="160">
      <x:c r="A160" s="34" t="str"/>
      <x:c r="B160" s="41"/>
      <x:c r="C160" s="34"/>
    </x:row>
    <x:row r="161">
      <x:c r="A161" s="34" t="str"/>
      <x:c r="B161" s="41"/>
      <x:c r="C161" s="34"/>
    </x:row>
    <x:row r="162">
      <x:c r="A162" s="34" t="str"/>
      <x:c r="B162" s="41"/>
      <x:c r="C162" s="34"/>
    </x:row>
    <x:row r="163">
      <x:c r="A163" s="34" t="str"/>
      <x:c r="B163" s="41"/>
      <x:c r="C163" s="34"/>
    </x:row>
    <x:row r="164">
      <x:c r="A164" s="34" t="str"/>
      <x:c r="B164" s="41"/>
      <x:c r="C164" s="34"/>
    </x:row>
    <x:row r="165">
      <x:c r="A165" s="34" t="str"/>
      <x:c r="B165" s="41"/>
      <x:c r="C165" s="34"/>
    </x:row>
    <x:row r="166">
      <x:c r="A166" s="34" t="str"/>
      <x:c r="B166" s="41"/>
      <x:c r="C166" s="34"/>
    </x:row>
    <x:row r="167">
      <x:c r="A167" s="34" t="str"/>
      <x:c r="B167" s="41"/>
      <x:c r="C167" s="34"/>
    </x:row>
    <x:row r="168">
      <x:c r="A168" s="34" t="str"/>
      <x:c r="B168" s="41"/>
      <x:c r="C168" s="34"/>
    </x:row>
    <x:row r="169">
      <x:c r="A169" s="34" t="str"/>
      <x:c r="B169" s="41"/>
      <x:c r="C169" s="34"/>
    </x:row>
    <x:row r="170">
      <x:c r="A170" s="34" t="str"/>
      <x:c r="B170" s="41"/>
      <x:c r="C170" s="34"/>
    </x:row>
    <x:row r="171">
      <x:c r="A171" s="34" t="str"/>
      <x:c r="B171" s="41"/>
      <x:c r="C171" s="34"/>
    </x:row>
    <x:row r="172">
      <x:c r="A172" s="34" t="str"/>
      <x:c r="B172" s="41"/>
      <x:c r="C172" s="34"/>
    </x:row>
    <x:row r="173">
      <x:c r="A173" s="34" t="str"/>
      <x:c r="B173" s="41"/>
      <x:c r="C173" s="34"/>
    </x:row>
    <x:row r="174">
      <x:c r="A174" s="34" t="str"/>
      <x:c r="B174" s="41"/>
      <x:c r="C174" s="34"/>
    </x:row>
    <x:row r="175">
      <x:c r="A175" s="34" t="str"/>
      <x:c r="B175" s="41"/>
      <x:c r="C175" s="34"/>
    </x:row>
    <x:row r="176">
      <x:c r="A176" s="34" t="str"/>
      <x:c r="B176" s="41"/>
      <x:c r="C176" s="34"/>
    </x:row>
    <x:row r="177">
      <x:c r="A177" s="34" t="str"/>
      <x:c r="B177" s="41"/>
      <x:c r="C177" s="34"/>
    </x:row>
    <x:row r="178">
      <x:c r="A178" s="34" t="str"/>
      <x:c r="B178" s="41"/>
      <x:c r="C178" s="34"/>
    </x:row>
    <x:row r="179">
      <x:c r="A179" s="34" t="str"/>
      <x:c r="B179" s="41"/>
      <x:c r="C179" s="34"/>
    </x:row>
    <x:row r="180">
      <x:c r="A180" s="34" t="str"/>
      <x:c r="B180" s="41"/>
      <x:c r="C180" s="34"/>
    </x:row>
    <x:row r="181">
      <x:c r="A181" s="34" t="str"/>
      <x:c r="B181" s="41"/>
      <x:c r="C181" s="34"/>
    </x:row>
    <x:row r="182">
      <x:c r="A182" s="34" t="str"/>
      <x:c r="B182" s="41"/>
      <x:c r="C182" s="34"/>
    </x:row>
    <x:row r="183">
      <x:c r="A183" s="34" t="str"/>
      <x:c r="B183" s="41"/>
      <x:c r="C183" s="34"/>
    </x:row>
    <x:row r="184">
      <x:c r="A184" s="34" t="str"/>
      <x:c r="B184" s="41"/>
      <x:c r="C184" s="34"/>
    </x:row>
    <x:row r="185">
      <x:c r="A185" s="34" t="str"/>
      <x:c r="B185" s="41"/>
      <x:c r="C185" s="34"/>
    </x:row>
    <x:row r="186">
      <x:c r="A186" s="34" t="str"/>
      <x:c r="B186" s="41"/>
      <x:c r="C186" s="34"/>
    </x:row>
    <x:row r="187">
      <x:c r="A187" s="34" t="str"/>
      <x:c r="B187" s="41"/>
      <x:c r="C187" s="34"/>
    </x:row>
    <x:row r="188">
      <x:c r="A188" s="34" t="str"/>
      <x:c r="B188" s="41"/>
      <x:c r="C188" s="34"/>
    </x:row>
    <x:row r="189">
      <x:c r="A189" s="34" t="str"/>
      <x:c r="B189" s="41"/>
      <x:c r="C189" s="34"/>
    </x:row>
    <x:row r="190">
      <x:c r="A190" s="34" t="str"/>
      <x:c r="B190" s="41"/>
      <x:c r="C190" s="34"/>
    </x:row>
    <x:row r="191">
      <x:c r="A191" s="34" t="str"/>
      <x:c r="B191" s="41"/>
      <x:c r="C191" s="34"/>
    </x:row>
    <x:row r="192">
      <x:c r="A192" s="34" t="str"/>
      <x:c r="B192" s="41"/>
      <x:c r="C192" s="34"/>
    </x:row>
    <x:row r="193">
      <x:c r="A193" s="34" t="str"/>
      <x:c r="B193" s="41"/>
      <x:c r="C193" s="34"/>
    </x:row>
    <x:row r="194">
      <x:c r="A194" s="34" t="str"/>
      <x:c r="B194" s="41"/>
      <x:c r="C194" s="34"/>
    </x:row>
    <x:row r="195">
      <x:c r="A195" s="34" t="str"/>
      <x:c r="B195" s="41"/>
      <x:c r="C195" s="34"/>
    </x:row>
    <x:row r="196">
      <x:c r="A196" s="34" t="str"/>
      <x:c r="B196" s="41"/>
      <x:c r="C196" s="34"/>
    </x:row>
    <x:row r="197">
      <x:c r="A197" s="34" t="str"/>
      <x:c r="B197" s="41"/>
      <x:c r="C197" s="34"/>
    </x:row>
    <x:row r="198">
      <x:c r="A198" s="34" t="str"/>
      <x:c r="B198" s="41"/>
      <x:c r="C198" s="34"/>
    </x:row>
    <x:row r="199">
      <x:c r="A199" s="34" t="str"/>
      <x:c r="B199" s="41"/>
      <x:c r="C199" s="34"/>
    </x:row>
    <x:row r="200">
      <x:c r="A200" s="34" t="str"/>
      <x:c r="B200" s="41"/>
      <x:c r="C200" s="34"/>
    </x:row>
    <x:row r="201">
      <x:c r="A201" s="34" t="str"/>
      <x:c r="B201" s="41"/>
      <x:c r="C201" s="34"/>
    </x:row>
    <x:row r="202">
      <x:c r="A202" s="34" t="str"/>
      <x:c r="B202" s="41"/>
      <x:c r="C202" s="34"/>
    </x:row>
    <x:row r="203">
      <x:c r="A203" s="34" t="str"/>
      <x:c r="B203" s="41"/>
      <x:c r="C203" s="34"/>
    </x:row>
    <x:row r="204">
      <x:c r="A204" s="34" t="str"/>
      <x:c r="B204" s="41"/>
      <x:c r="C204" s="34"/>
    </x:row>
    <x:row r="205">
      <x:c r="A205" s="34" t="str"/>
      <x:c r="B205" s="41"/>
      <x:c r="C205" s="34"/>
    </x:row>
    <x:row r="206">
      <x:c r="A206" s="34" t="str"/>
      <x:c r="B206" s="41"/>
      <x:c r="C206" s="34"/>
    </x:row>
    <x:row r="207">
      <x:c r="A207" s="34" t="str"/>
      <x:c r="B207" s="41"/>
      <x:c r="C207" s="34"/>
    </x:row>
    <x:row r="208">
      <x:c r="A208" s="34" t="str"/>
      <x:c r="B208" s="41"/>
      <x:c r="C208" s="34"/>
    </x:row>
    <x:row r="209">
      <x:c r="A209" s="34" t="str"/>
      <x:c r="B209" s="41"/>
      <x:c r="C209" s="34"/>
    </x:row>
    <x:row r="210">
      <x:c r="A210" s="34" t="str"/>
      <x:c r="B210" s="41"/>
      <x:c r="C210" s="34"/>
    </x:row>
    <x:row r="211">
      <x:c r="A211" s="34" t="str"/>
      <x:c r="B211" s="41"/>
      <x:c r="C211" s="34"/>
    </x:row>
    <x:row r="212">
      <x:c r="A212" s="34" t="str"/>
      <x:c r="B212" s="41"/>
      <x:c r="C212" s="34"/>
    </x:row>
    <x:row r="213">
      <x:c r="A213" s="34" t="str"/>
      <x:c r="B213" s="41"/>
      <x:c r="C213" s="34"/>
    </x:row>
    <x:row r="214">
      <x:c r="A214" s="34" t="str"/>
      <x:c r="B214" s="41"/>
      <x:c r="C214" s="34"/>
    </x:row>
    <x:row r="215">
      <x:c r="A215" s="34" t="str"/>
      <x:c r="B215" s="41"/>
      <x:c r="C215" s="34"/>
    </x:row>
    <x:row r="216">
      <x:c r="A216" s="34" t="str"/>
      <x:c r="B216" s="41"/>
      <x:c r="C216" s="34"/>
    </x:row>
    <x:row r="217">
      <x:c r="A217" s="34" t="str"/>
      <x:c r="B217" s="41"/>
      <x:c r="C217" s="34"/>
    </x:row>
    <x:row r="218">
      <x:c r="A218" s="34" t="str"/>
      <x:c r="B218" s="41"/>
      <x:c r="C218" s="34"/>
    </x:row>
    <x:row r="219">
      <x:c r="A219" s="34" t="str"/>
      <x:c r="B219" s="41"/>
      <x:c r="C219" s="34"/>
    </x:row>
    <x:row r="220">
      <x:c r="A220" s="34" t="str"/>
      <x:c r="B220" s="41"/>
      <x:c r="C220" s="34"/>
    </x:row>
    <x:row r="221">
      <x:c r="A221" s="34" t="str"/>
      <x:c r="B221" s="41"/>
      <x:c r="C221" s="34"/>
    </x:row>
    <x:row r="222">
      <x:c r="A222" s="34" t="str"/>
      <x:c r="B222" s="41"/>
      <x:c r="C222" s="34"/>
    </x:row>
    <x:row r="223">
      <x:c r="A223" s="34" t="str"/>
      <x:c r="B223" s="41"/>
      <x:c r="C223" s="34"/>
    </x:row>
    <x:row r="224">
      <x:c r="A224" s="34" t="str"/>
      <x:c r="B224" s="41"/>
      <x:c r="C224" s="34"/>
    </x:row>
    <x:row r="225">
      <x:c r="A225" s="34" t="str"/>
      <x:c r="B225" s="41"/>
      <x:c r="C225" s="34"/>
    </x:row>
    <x:row r="226">
      <x:c r="A226" s="34" t="str"/>
      <x:c r="B226" s="41"/>
      <x:c r="C226" s="34"/>
    </x:row>
    <x:row r="227">
      <x:c r="A227" s="34" t="str"/>
      <x:c r="B227" s="41"/>
      <x:c r="C227" s="34"/>
    </x:row>
    <x:row r="228">
      <x:c r="A228" s="34" t="str"/>
      <x:c r="B228" s="41"/>
      <x:c r="C228" s="34"/>
    </x:row>
    <x:row r="229">
      <x:c r="A229" s="34" t="str"/>
      <x:c r="B229" s="41"/>
      <x:c r="C229" s="34"/>
    </x:row>
    <x:row r="230">
      <x:c r="A230" s="34" t="str"/>
      <x:c r="B230" s="41"/>
      <x:c r="C230" s="34"/>
    </x:row>
    <x:row r="231">
      <x:c r="A231" s="34" t="str"/>
      <x:c r="B231" s="41"/>
      <x:c r="C231" s="34"/>
    </x:row>
    <x:row r="232">
      <x:c r="A232" s="34" t="str"/>
      <x:c r="B232" s="41"/>
      <x:c r="C232" s="34"/>
    </x:row>
    <x:row r="233">
      <x:c r="A233" s="34" t="str"/>
      <x:c r="B233" s="41"/>
      <x:c r="C233" s="34"/>
    </x:row>
    <x:row r="234">
      <x:c r="A234" s="34" t="str"/>
      <x:c r="B234" s="41"/>
      <x:c r="C234" s="34"/>
    </x:row>
    <x:row r="235">
      <x:c r="A235" s="34" t="str"/>
      <x:c r="B235" s="41"/>
      <x:c r="C235" s="34"/>
    </x:row>
    <x:row r="236">
      <x:c r="A236" s="34" t="str"/>
      <x:c r="B236" s="41"/>
      <x:c r="C236" s="34"/>
    </x:row>
    <x:row r="237">
      <x:c r="A237" s="34" t="str"/>
      <x:c r="B237" s="41"/>
      <x:c r="C237" s="34"/>
    </x:row>
    <x:row r="238">
      <x:c r="A238" s="34" t="str"/>
      <x:c r="B238" s="41"/>
      <x:c r="C238" s="34"/>
    </x:row>
    <x:row r="239">
      <x:c r="A239" s="34" t="str"/>
      <x:c r="B239" s="41"/>
      <x:c r="C239" s="34"/>
    </x:row>
    <x:row r="240">
      <x:c r="A240" s="34" t="str"/>
      <x:c r="B240" s="41"/>
      <x:c r="C240" s="34"/>
    </x:row>
    <x:row r="241">
      <x:c r="A241" s="34" t="str"/>
      <x:c r="B241" s="41"/>
      <x:c r="C241" s="34"/>
    </x:row>
    <x:row r="242">
      <x:c r="A242" s="34" t="str"/>
      <x:c r="B242" s="41"/>
      <x:c r="C242" s="34"/>
    </x:row>
    <x:row r="243">
      <x:c r="A243" s="34" t="str"/>
      <x:c r="B243" s="41"/>
      <x:c r="C243" s="34"/>
    </x:row>
    <x:row r="244">
      <x:c r="A244" s="34" t="str"/>
      <x:c r="B244" s="41"/>
      <x:c r="C244" s="34"/>
    </x:row>
    <x:row r="245">
      <x:c r="A245" s="34" t="str"/>
      <x:c r="B245" s="41"/>
      <x:c r="C245" s="34"/>
    </x:row>
    <x:row r="246">
      <x:c r="A246" s="34" t="str"/>
      <x:c r="B246" s="41"/>
      <x:c r="C246" s="34"/>
    </x:row>
    <x:row r="247">
      <x:c r="A247" s="34" t="str"/>
      <x:c r="B247" s="41"/>
      <x:c r="C247" s="34"/>
    </x:row>
    <x:row r="248">
      <x:c r="A248" s="34" t="str"/>
      <x:c r="B248" s="41"/>
      <x:c r="C248" s="34"/>
    </x:row>
    <x:row r="249">
      <x:c r="A249" s="34" t="str"/>
      <x:c r="B249" s="41"/>
      <x:c r="C249" s="34"/>
    </x:row>
    <x:row r="250">
      <x:c r="A250" s="34" t="str"/>
      <x:c r="B250" s="41"/>
      <x:c r="C250" s="34"/>
    </x:row>
    <x:row r="251">
      <x:c r="A251" s="34" t="str"/>
      <x:c r="B251" s="41"/>
      <x:c r="C251" s="34"/>
    </x:row>
    <x:row r="252">
      <x:c r="A252" s="34" t="str"/>
      <x:c r="B252" s="41"/>
      <x:c r="C252" s="34"/>
    </x:row>
    <x:row r="253">
      <x:c r="A253" s="34" t="str"/>
      <x:c r="B253" s="41"/>
      <x:c r="C253" s="34"/>
    </x:row>
    <x:row r="254">
      <x:c r="A254" s="34" t="str"/>
      <x:c r="B254" s="41"/>
      <x:c r="C254" s="34"/>
    </x:row>
    <x:row r="255">
      <x:c r="A255" s="34" t="str"/>
      <x:c r="B255" s="41"/>
      <x:c r="C255" s="34"/>
    </x:row>
    <x:row r="256">
      <x:c r="A256" s="34" t="str"/>
      <x:c r="B256" s="41"/>
      <x:c r="C256" s="34"/>
    </x:row>
    <x:row r="257">
      <x:c r="A257" s="34" t="str"/>
      <x:c r="B257" s="41"/>
      <x:c r="C257" s="34"/>
    </x:row>
    <x:row r="258">
      <x:c r="A258" s="34" t="str"/>
      <x:c r="B258" s="41"/>
      <x:c r="C258" s="34"/>
    </x:row>
    <x:row r="259">
      <x:c r="A259" s="34" t="str"/>
      <x:c r="B259" s="41"/>
      <x:c r="C259" s="34"/>
    </x:row>
    <x:row r="260">
      <x:c r="A260" s="34" t="str"/>
      <x:c r="B260" s="41"/>
      <x:c r="C260" s="34"/>
    </x:row>
    <x:row r="261">
      <x:c r="A261" s="34" t="str"/>
      <x:c r="B261" s="41"/>
      <x:c r="C261" s="34"/>
    </x:row>
    <x:row r="262">
      <x:c r="A262" s="34" t="str"/>
      <x:c r="B262" s="41"/>
      <x:c r="C262" s="34"/>
    </x:row>
    <x:row r="263">
      <x:c r="A263" s="34" t="str"/>
      <x:c r="B263" s="41"/>
      <x:c r="C263" s="34"/>
    </x:row>
    <x:row r="264">
      <x:c r="A264" s="34" t="str"/>
      <x:c r="B264" s="41"/>
      <x:c r="C264" s="34"/>
    </x:row>
    <x:row r="265">
      <x:c r="A265" s="34" t="str"/>
      <x:c r="B265" s="41"/>
      <x:c r="C265" s="34"/>
    </x:row>
    <x:row r="266">
      <x:c r="A266" s="34" t="str"/>
      <x:c r="B266" s="41"/>
      <x:c r="C266" s="34"/>
    </x:row>
    <x:row r="267">
      <x:c r="A267" s="34" t="str"/>
      <x:c r="B267" s="41"/>
      <x:c r="C267" s="34"/>
    </x:row>
    <x:row r="268">
      <x:c r="A268" s="34" t="str"/>
      <x:c r="B268" s="41"/>
      <x:c r="C268" s="34"/>
    </x:row>
    <x:row r="269">
      <x:c r="A269" s="34" t="str"/>
      <x:c r="B269" s="41"/>
      <x:c r="C269" s="34"/>
    </x:row>
    <x:row r="270">
      <x:c r="A270" s="34" t="str"/>
      <x:c r="B270" s="41"/>
      <x:c r="C270" s="34"/>
    </x:row>
    <x:row r="271">
      <x:c r="A271" s="34" t="str"/>
      <x:c r="B271" s="41"/>
      <x:c r="C271" s="34"/>
    </x:row>
    <x:row r="272">
      <x:c r="A272" s="34" t="str"/>
      <x:c r="B272" s="41"/>
      <x:c r="C272" s="34"/>
    </x:row>
    <x:row r="273">
      <x:c r="A273" s="34" t="str"/>
      <x:c r="B273" s="41"/>
      <x:c r="C273" s="34"/>
    </x:row>
    <x:row r="274">
      <x:c r="A274" s="34" t="str"/>
      <x:c r="B274" s="41"/>
      <x:c r="C274" s="34"/>
    </x:row>
    <x:row r="275">
      <x:c r="A275" s="34" t="str"/>
      <x:c r="B275" s="41"/>
      <x:c r="C275" s="34"/>
    </x:row>
    <x:row r="276">
      <x:c r="A276" s="34" t="str"/>
      <x:c r="B276" s="41"/>
      <x:c r="C276" s="34"/>
    </x:row>
    <x:row r="277">
      <x:c r="A277" s="34" t="str"/>
      <x:c r="B277" s="41"/>
      <x:c r="C277" s="34"/>
    </x:row>
    <x:row r="278">
      <x:c r="A278" s="34" t="str"/>
      <x:c r="B278" s="41"/>
      <x:c r="C278" s="34"/>
    </x:row>
    <x:row r="279">
      <x:c r="A279" s="34" t="str"/>
      <x:c r="B279" s="41"/>
      <x:c r="C279" s="34"/>
    </x:row>
    <x:row r="280">
      <x:c r="A280" s="34" t="str"/>
      <x:c r="B280" s="41"/>
      <x:c r="C280" s="34"/>
    </x:row>
    <x:row r="281">
      <x:c r="A281" s="34" t="str"/>
      <x:c r="B281" s="41"/>
      <x:c r="C281" s="34"/>
    </x:row>
    <x:row r="282">
      <x:c r="A282" s="34" t="str"/>
      <x:c r="B282" s="41"/>
      <x:c r="C282" s="34"/>
    </x:row>
    <x:row r="283">
      <x:c r="A283" s="34" t="str"/>
      <x:c r="B283" s="41"/>
      <x:c r="C283" s="34"/>
    </x:row>
    <x:row r="284">
      <x:c r="A284" s="34" t="str"/>
      <x:c r="B284" s="41"/>
      <x:c r="C284" s="34"/>
    </x:row>
    <x:row r="285">
      <x:c r="A285" s="34" t="str"/>
      <x:c r="B285" s="41"/>
      <x:c r="C285" s="34"/>
    </x:row>
    <x:row r="286">
      <x:c r="A286" s="34" t="str"/>
      <x:c r="B286" s="41"/>
      <x:c r="C286" s="34"/>
    </x:row>
    <x:row r="287">
      <x:c r="A287" s="34" t="str"/>
      <x:c r="B287" s="41"/>
      <x:c r="C287" s="34"/>
    </x:row>
    <x:row r="288">
      <x:c r="A288" s="34" t="str"/>
      <x:c r="B288" s="41"/>
      <x:c r="C288" s="34"/>
    </x:row>
    <x:row r="289">
      <x:c r="A289" s="34" t="str"/>
      <x:c r="B289" s="41"/>
      <x:c r="C289" s="34"/>
    </x:row>
    <x:row r="290">
      <x:c r="A290" s="34" t="str"/>
      <x:c r="B290" s="41"/>
      <x:c r="C290" s="34"/>
    </x:row>
    <x:row r="291">
      <x:c r="A291" s="34" t="str"/>
      <x:c r="B291" s="41"/>
      <x:c r="C291" s="34"/>
    </x:row>
    <x:row r="292">
      <x:c r="A292" s="34" t="str"/>
      <x:c r="B292" s="41"/>
      <x:c r="C292" s="34"/>
    </x:row>
    <x:row r="293">
      <x:c r="A293" s="34" t="str"/>
      <x:c r="B293" s="41"/>
      <x:c r="C293" s="34"/>
    </x:row>
    <x:row r="294">
      <x:c r="A294" s="34" t="str"/>
      <x:c r="B294" s="41"/>
      <x:c r="C294" s="34"/>
    </x:row>
    <x:row r="295">
      <x:c r="A295" s="34" t="str"/>
      <x:c r="B295" s="41"/>
      <x:c r="C295" s="34"/>
    </x:row>
    <x:row r="296">
      <x:c r="A296" s="34" t="str"/>
      <x:c r="B296" s="41"/>
      <x:c r="C296" s="34"/>
    </x:row>
    <x:row r="297">
      <x:c r="A297" s="34" t="str"/>
      <x:c r="B297" s="41"/>
      <x:c r="C297" s="34"/>
    </x:row>
    <x:row r="298">
      <x:c r="A298" s="34" t="str"/>
      <x:c r="B298" s="41"/>
      <x:c r="C298" s="34"/>
    </x:row>
    <x:row r="299">
      <x:c r="A299" s="34" t="str"/>
      <x:c r="B299" s="41"/>
      <x:c r="C299" s="34"/>
    </x:row>
    <x:row r="300">
      <x:c r="A300" s="34" t="str"/>
      <x:c r="B300" s="41"/>
      <x:c r="C300" s="34"/>
    </x:row>
    <x:row r="301">
      <x:c r="A301" s="34" t="str"/>
      <x:c r="B301" s="41"/>
      <x:c r="C301" s="34"/>
    </x:row>
    <x:row r="302">
      <x:c r="A302" s="34" t="str"/>
      <x:c r="B302" s="41"/>
      <x:c r="C302" s="34"/>
    </x:row>
    <x:row r="303">
      <x:c r="A303" s="34" t="str"/>
      <x:c r="B303" s="41"/>
      <x:c r="C303" s="34"/>
    </x:row>
    <x:row r="304">
      <x:c r="A304" s="34" t="str"/>
      <x:c r="B304" s="41"/>
      <x:c r="C304" s="34"/>
    </x:row>
    <x:row r="305">
      <x:c r="A305" s="34" t="str"/>
      <x:c r="B305" s="41"/>
      <x:c r="C305" s="34"/>
    </x:row>
    <x:row r="306">
      <x:c r="A306" s="34" t="str"/>
      <x:c r="B306" s="41"/>
      <x:c r="C306" s="34"/>
    </x:row>
    <x:row r="307">
      <x:c r="A307" s="34" t="str"/>
      <x:c r="B307" s="41"/>
      <x:c r="C307" s="34"/>
    </x:row>
    <x:row r="308">
      <x:c r="A308" s="34" t="str"/>
      <x:c r="B308" s="41"/>
      <x:c r="C308" s="34"/>
    </x:row>
    <x:row r="309">
      <x:c r="A309" s="34" t="str"/>
      <x:c r="B309" s="41"/>
      <x:c r="C309" s="34"/>
    </x:row>
    <x:row r="310">
      <x:c r="A310" s="34" t="str"/>
      <x:c r="B310" s="41"/>
      <x:c r="C310" s="34"/>
    </x:row>
    <x:row r="311">
      <x:c r="A311" s="34" t="str"/>
      <x:c r="B311" s="41"/>
      <x:c r="C311" s="34"/>
    </x:row>
    <x:row r="312">
      <x:c r="A312" s="34" t="str"/>
      <x:c r="B312" s="41"/>
      <x:c r="C312" s="34"/>
    </x:row>
    <x:row r="313">
      <x:c r="A313" s="34" t="str"/>
      <x:c r="B313" s="41"/>
      <x:c r="C313" s="34"/>
    </x:row>
    <x:row r="314">
      <x:c r="A314" s="34" t="str"/>
      <x:c r="B314" s="41"/>
      <x:c r="C314" s="34"/>
    </x:row>
    <x:row r="315">
      <x:c r="A315" s="34" t="str"/>
      <x:c r="B315" s="41"/>
      <x:c r="C315" s="34"/>
    </x:row>
    <x:row r="316">
      <x:c r="A316" s="34" t="str"/>
      <x:c r="B316" s="41"/>
      <x:c r="C316" s="34"/>
    </x:row>
    <x:row r="317">
      <x:c r="A317" s="34" t="str"/>
      <x:c r="B317" s="41"/>
      <x:c r="C317" s="34"/>
    </x:row>
    <x:row r="318">
      <x:c r="A318" s="34" t="str"/>
      <x:c r="B318" s="41"/>
      <x:c r="C318" s="34"/>
    </x:row>
    <x:row r="319">
      <x:c r="A319" s="34" t="str"/>
      <x:c r="B319" s="41"/>
      <x:c r="C319" s="34"/>
    </x:row>
    <x:row r="320">
      <x:c r="A320" s="34" t="str"/>
      <x:c r="B320" s="41"/>
      <x:c r="C320" s="34"/>
    </x:row>
    <x:row r="321">
      <x:c r="A321" s="34" t="str"/>
      <x:c r="B321" s="41"/>
      <x:c r="C321" s="34"/>
    </x:row>
    <x:row r="322">
      <x:c r="A322" s="34" t="str"/>
      <x:c r="B322" s="41"/>
      <x:c r="C322" s="34"/>
    </x:row>
    <x:row r="323">
      <x:c r="A323" s="34" t="str"/>
      <x:c r="B323" s="41"/>
      <x:c r="C323" s="34"/>
    </x:row>
    <x:row r="324">
      <x:c r="A324" s="34" t="str"/>
      <x:c r="B324" s="41"/>
      <x:c r="C324" s="34"/>
    </x:row>
    <x:row r="325">
      <x:c r="A325" s="34" t="str"/>
      <x:c r="B325" s="41"/>
      <x:c r="C325" s="34"/>
    </x:row>
    <x:row r="326">
      <x:c r="A326" s="34" t="str"/>
      <x:c r="B326" s="41"/>
      <x:c r="C326" s="34"/>
    </x:row>
    <x:row r="327">
      <x:c r="A327" s="34" t="str"/>
      <x:c r="B327" s="41"/>
      <x:c r="C327" s="34"/>
    </x:row>
    <x:row r="328">
      <x:c r="A328" s="34" t="str"/>
      <x:c r="B328" s="41"/>
      <x:c r="C328" s="34"/>
    </x:row>
    <x:row r="329">
      <x:c r="A329" s="34" t="str"/>
      <x:c r="B329" s="41"/>
      <x:c r="C329" s="34"/>
    </x:row>
    <x:row r="330">
      <x:c r="A330" s="34" t="str"/>
      <x:c r="B330" s="41"/>
      <x:c r="C330" s="34"/>
    </x:row>
    <x:row r="331">
      <x:c r="A331" s="34" t="str"/>
      <x:c r="B331" s="41"/>
      <x:c r="C331" s="34"/>
    </x:row>
    <x:row r="332">
      <x:c r="A332" s="34" t="str"/>
      <x:c r="B332" s="41"/>
      <x:c r="C332" s="34"/>
    </x:row>
    <x:row r="333">
      <x:c r="A333" s="34" t="str"/>
      <x:c r="B333" s="41"/>
      <x:c r="C333" s="34"/>
    </x:row>
    <x:row r="334">
      <x:c r="A334" s="34" t="str"/>
      <x:c r="B334" s="41"/>
      <x:c r="C334" s="34"/>
    </x:row>
    <x:row r="335">
      <x:c r="A335" s="34" t="str"/>
      <x:c r="B335" s="41"/>
      <x:c r="C335" s="34"/>
    </x:row>
    <x:row r="336">
      <x:c r="A336" s="34" t="str"/>
      <x:c r="B336" s="41"/>
      <x:c r="C336" s="34"/>
    </x:row>
    <x:row r="337">
      <x:c r="A337" s="34" t="str"/>
      <x:c r="B337" s="41"/>
      <x:c r="C337" s="34"/>
    </x:row>
    <x:row r="338">
      <x:c r="A338" s="34" t="str"/>
      <x:c r="B338" s="41"/>
      <x:c r="C338" s="34"/>
    </x:row>
    <x:row r="339">
      <x:c r="A339" s="34" t="str"/>
      <x:c r="B339" s="41"/>
      <x:c r="C339" s="34"/>
    </x:row>
    <x:row r="340">
      <x:c r="A340" s="34" t="str"/>
      <x:c r="B340" s="41"/>
      <x:c r="C340" s="34"/>
    </x:row>
    <x:row r="341">
      <x:c r="A341" s="34" t="str"/>
      <x:c r="B341" s="41"/>
      <x:c r="C341" s="34"/>
    </x:row>
    <x:row r="342">
      <x:c r="A342" s="34" t="str"/>
      <x:c r="B342" s="41"/>
      <x:c r="C342" s="34"/>
    </x:row>
    <x:row r="343">
      <x:c r="A343" s="34" t="str"/>
      <x:c r="B343" s="41"/>
      <x:c r="C343" s="34"/>
    </x:row>
    <x:row r="344">
      <x:c r="A344" s="34" t="str"/>
      <x:c r="B344" s="41"/>
      <x:c r="C344" s="34"/>
    </x:row>
    <x:row r="345">
      <x:c r="A345" s="34" t="str"/>
      <x:c r="B345" s="41"/>
      <x:c r="C345" s="34"/>
    </x:row>
    <x:row r="346">
      <x:c r="A346" s="34" t="str"/>
      <x:c r="B346" s="41"/>
      <x:c r="C346" s="34"/>
    </x:row>
    <x:row r="347">
      <x:c r="A347" s="34" t="str"/>
      <x:c r="B347" s="41"/>
      <x:c r="C347" s="34"/>
    </x:row>
    <x:row r="348">
      <x:c r="A348" s="34" t="str"/>
      <x:c r="B348" s="41"/>
      <x:c r="C348" s="34"/>
    </x:row>
    <x:row r="349">
      <x:c r="A349" s="34" t="str"/>
      <x:c r="B349" s="41"/>
      <x:c r="C349" s="34"/>
    </x:row>
    <x:row r="350">
      <x:c r="A350" s="34" t="str"/>
      <x:c r="B350" s="41"/>
      <x:c r="C350" s="34"/>
    </x:row>
    <x:row r="351">
      <x:c r="A351" s="34" t="str"/>
      <x:c r="B351" s="41"/>
      <x:c r="C351" s="34"/>
    </x:row>
    <x:row r="352">
      <x:c r="A352" s="34" t="str"/>
      <x:c r="B352" s="41"/>
      <x:c r="C352" s="34"/>
    </x:row>
    <x:row r="353">
      <x:c r="A353" s="34" t="str"/>
      <x:c r="B353" s="41"/>
      <x:c r="C353" s="34"/>
    </x:row>
    <x:row r="354">
      <x:c r="A354" s="34" t="str"/>
      <x:c r="B354" s="41"/>
      <x:c r="C354" s="34"/>
    </x:row>
    <x:row r="355">
      <x:c r="A355" s="34" t="str"/>
      <x:c r="B355" s="41"/>
      <x:c r="C355" s="34"/>
    </x:row>
    <x:row r="356">
      <x:c r="A356" s="34" t="str"/>
      <x:c r="B356" s="41"/>
      <x:c r="C356" s="34"/>
    </x:row>
    <x:row r="357">
      <x:c r="A357" s="34" t="str"/>
      <x:c r="B357" s="41"/>
      <x:c r="C357" s="34"/>
    </x:row>
    <x:row r="358">
      <x:c r="A358" s="34" t="str"/>
      <x:c r="B358" s="41"/>
      <x:c r="C358" s="34"/>
    </x:row>
    <x:row r="359">
      <x:c r="A359" s="34" t="str"/>
      <x:c r="B359" s="41"/>
      <x:c r="C359" s="34"/>
    </x:row>
    <x:row r="360">
      <x:c r="A360" s="34" t="str"/>
      <x:c r="B360" s="41"/>
      <x:c r="C360" s="34"/>
    </x:row>
    <x:row r="361">
      <x:c r="A361" s="34" t="str"/>
      <x:c r="B361" s="41"/>
      <x:c r="C361" s="34"/>
    </x:row>
    <x:row r="362">
      <x:c r="A362" s="34" t="str"/>
      <x:c r="B362" s="41"/>
      <x:c r="C362" s="34"/>
    </x:row>
    <x:row r="363">
      <x:c r="A363" s="34" t="str"/>
      <x:c r="B363" s="41"/>
      <x:c r="C363" s="34"/>
    </x:row>
    <x:row r="364">
      <x:c r="A364" s="34" t="str"/>
      <x:c r="B364" s="41"/>
      <x:c r="C364" s="34"/>
    </x:row>
    <x:row r="365">
      <x:c r="A365" s="34" t="str"/>
      <x:c r="B365" s="41"/>
      <x:c r="C365" s="34"/>
    </x:row>
    <x:row r="366">
      <x:c r="A366" s="34" t="str"/>
      <x:c r="B366" s="41"/>
      <x:c r="C366" s="34"/>
    </x:row>
    <x:row r="367">
      <x:c r="A367" s="34" t="str"/>
      <x:c r="B367" s="41"/>
      <x:c r="C367" s="34"/>
    </x:row>
    <x:row r="368">
      <x:c r="A368" s="34" t="str"/>
      <x:c r="B368" s="41"/>
      <x:c r="C368" s="34"/>
    </x:row>
    <x:row r="369">
      <x:c r="A369" s="34" t="str"/>
      <x:c r="B369" s="41"/>
      <x:c r="C369" s="34"/>
    </x:row>
    <x:row r="370">
      <x:c r="A370" s="34" t="str"/>
      <x:c r="B370" s="41"/>
      <x:c r="C370" s="34"/>
    </x:row>
    <x:row r="371">
      <x:c r="A371" s="34" t="str"/>
      <x:c r="B371" s="41"/>
      <x:c r="C371" s="34"/>
    </x:row>
    <x:row r="372">
      <x:c r="A372" s="34" t="str"/>
      <x:c r="B372" s="41"/>
      <x:c r="C372" s="34"/>
    </x:row>
    <x:row r="373">
      <x:c r="A373" s="34" t="str"/>
      <x:c r="B373" s="41"/>
      <x:c r="C373" s="34"/>
    </x:row>
    <x:row r="374">
      <x:c r="A374" s="34" t="str"/>
      <x:c r="B374" s="41"/>
      <x:c r="C374" s="34"/>
    </x:row>
    <x:row r="375">
      <x:c r="A375" s="34" t="str"/>
      <x:c r="B375" s="41"/>
      <x:c r="C375" s="34"/>
    </x:row>
    <x:row r="376">
      <x:c r="A376" s="34" t="str"/>
      <x:c r="B376" s="41"/>
      <x:c r="C376" s="34"/>
    </x:row>
    <x:row r="377">
      <x:c r="A377" s="34" t="str"/>
      <x:c r="B377" s="41"/>
      <x:c r="C377" s="34"/>
    </x:row>
    <x:row r="378">
      <x:c r="A378" s="34" t="str"/>
      <x:c r="B378" s="41"/>
      <x:c r="C378" s="34"/>
    </x:row>
    <x:row r="379">
      <x:c r="A379" s="34" t="str"/>
      <x:c r="B379" s="41"/>
      <x:c r="C379" s="34"/>
    </x:row>
    <x:row r="380">
      <x:c r="A380" s="34" t="str"/>
      <x:c r="B380" s="41"/>
      <x:c r="C380" s="34"/>
    </x:row>
    <x:row r="381">
      <x:c r="A381" s="34" t="str"/>
      <x:c r="B381" s="41"/>
      <x:c r="C381" s="34"/>
    </x:row>
    <x:row r="382">
      <x:c r="A382" s="34" t="str"/>
      <x:c r="B382" s="41"/>
      <x:c r="C382" s="34"/>
    </x:row>
    <x:row r="383">
      <x:c r="A383" s="34" t="str"/>
      <x:c r="B383" s="41"/>
      <x:c r="C383" s="34"/>
    </x:row>
    <x:row r="384">
      <x:c r="A384" s="34" t="str"/>
      <x:c r="B384" s="41"/>
      <x:c r="C384" s="34"/>
    </x:row>
    <x:row r="385">
      <x:c r="A385" s="34" t="str"/>
      <x:c r="B385" s="41"/>
      <x:c r="C385" s="34"/>
    </x:row>
    <x:row r="386">
      <x:c r="A386" s="34" t="str"/>
      <x:c r="B386" s="41"/>
      <x:c r="C386" s="34"/>
    </x:row>
    <x:row r="387">
      <x:c r="A387" s="34" t="str"/>
      <x:c r="B387" s="41"/>
      <x:c r="C387" s="34"/>
    </x:row>
    <x:row r="388">
      <x:c r="A388" s="34" t="str"/>
      <x:c r="B388" s="41"/>
      <x:c r="C388" s="34"/>
    </x:row>
    <x:row r="389">
      <x:c r="A389" s="34" t="str"/>
      <x:c r="B389" s="41"/>
      <x:c r="C389" s="34"/>
    </x:row>
    <x:row r="390">
      <x:c r="A390" s="34" t="str"/>
      <x:c r="B390" s="41"/>
      <x:c r="C390" s="34"/>
    </x:row>
    <x:row r="391">
      <x:c r="A391" s="34" t="str"/>
      <x:c r="B391" s="41"/>
      <x:c r="C391" s="34"/>
    </x:row>
    <x:row r="392">
      <x:c r="A392" s="34" t="str"/>
      <x:c r="B392" s="41"/>
      <x:c r="C392" s="34"/>
    </x:row>
    <x:row r="393">
      <x:c r="A393" s="34" t="str"/>
      <x:c r="B393" s="41"/>
      <x:c r="C393" s="34"/>
    </x:row>
    <x:row r="394">
      <x:c r="A394" s="34" t="str"/>
      <x:c r="B394" s="41"/>
      <x:c r="C394" s="34"/>
    </x:row>
    <x:row r="395">
      <x:c r="A395" s="34" t="str"/>
      <x:c r="B395" s="41"/>
      <x:c r="C395" s="34"/>
    </x:row>
    <x:row r="396">
      <x:c r="A396" s="34" t="str"/>
      <x:c r="B396" s="41"/>
      <x:c r="C396" s="34"/>
    </x:row>
    <x:row r="397">
      <x:c r="A397" s="34" t="str"/>
      <x:c r="B397" s="41"/>
      <x:c r="C397" s="34"/>
    </x:row>
    <x:row r="398">
      <x:c r="A398" s="34" t="str"/>
      <x:c r="B398" s="41"/>
      <x:c r="C398" s="34"/>
    </x:row>
    <x:row r="399">
      <x:c r="A399" s="34" t="str"/>
      <x:c r="B399" s="41"/>
      <x:c r="C399" s="34"/>
    </x:row>
    <x:row r="400">
      <x:c r="A400" s="34" t="str"/>
      <x:c r="B400" s="41"/>
      <x:c r="C400" s="34"/>
    </x:row>
    <x:row r="401">
      <x:c r="A401" s="34" t="str"/>
      <x:c r="B401" s="41"/>
      <x:c r="C401" s="34"/>
    </x:row>
    <x:row r="402">
      <x:c r="A402" s="34" t="str"/>
      <x:c r="B402" s="41"/>
      <x:c r="C402" s="34"/>
    </x:row>
    <x:row r="403">
      <x:c r="A403" s="34" t="str"/>
      <x:c r="B403" s="41"/>
      <x:c r="C403" s="34"/>
    </x:row>
    <x:row r="404">
      <x:c r="A404" s="34" t="str"/>
      <x:c r="B404" s="41"/>
      <x:c r="C404" s="34"/>
    </x:row>
    <x:row r="405">
      <x:c r="A405" s="34" t="str"/>
      <x:c r="B405" s="41"/>
      <x:c r="C405" s="34"/>
    </x:row>
    <x:row r="406">
      <x:c r="A406" s="34" t="str"/>
      <x:c r="B406" s="41"/>
      <x:c r="C406" s="34"/>
    </x:row>
    <x:row r="407">
      <x:c r="A407" s="34" t="str"/>
      <x:c r="B407" s="41"/>
      <x:c r="C407" s="34"/>
    </x:row>
    <x:row r="408">
      <x:c r="A408" s="34" t="str"/>
      <x:c r="B408" s="41"/>
      <x:c r="C408" s="34"/>
    </x:row>
    <x:row r="409">
      <x:c r="A409" s="34" t="str"/>
      <x:c r="B409" s="41"/>
      <x:c r="C409" s="34"/>
    </x:row>
    <x:row r="410">
      <x:c r="A410" s="34" t="str"/>
      <x:c r="B410" s="41"/>
      <x:c r="C410" s="34"/>
    </x:row>
    <x:row r="411">
      <x:c r="A411" s="34" t="str"/>
      <x:c r="B411" s="41"/>
      <x:c r="C411" s="34"/>
    </x:row>
    <x:row r="412">
      <x:c r="A412" s="34" t="str"/>
      <x:c r="B412" s="41"/>
      <x:c r="C412" s="34"/>
    </x:row>
    <x:row r="413">
      <x:c r="A413" s="34" t="str"/>
      <x:c r="B413" s="41"/>
      <x:c r="C413" s="34"/>
    </x:row>
    <x:row r="414">
      <x:c r="A414" s="34" t="str"/>
      <x:c r="B414" s="41"/>
      <x:c r="C414" s="34"/>
    </x:row>
    <x:row r="415">
      <x:c r="A415" s="34" t="str"/>
      <x:c r="B415" s="41"/>
      <x:c r="C415" s="34"/>
    </x:row>
    <x:row r="416">
      <x:c r="A416" s="34" t="str"/>
      <x:c r="B416" s="41"/>
      <x:c r="C416" s="34"/>
    </x:row>
    <x:row r="417">
      <x:c r="A417" s="34" t="str"/>
      <x:c r="B417" s="41"/>
      <x:c r="C417" s="34"/>
    </x:row>
    <x:row r="418">
      <x:c r="A418" s="34" t="str"/>
      <x:c r="B418" s="41"/>
      <x:c r="C418" s="34"/>
    </x:row>
    <x:row r="419">
      <x:c r="A419" s="34" t="str"/>
      <x:c r="B419" s="41"/>
      <x:c r="C419" s="34"/>
    </x:row>
    <x:row r="420">
      <x:c r="A420" s="34" t="str"/>
      <x:c r="B420" s="41"/>
      <x:c r="C420" s="34"/>
    </x:row>
    <x:row r="421">
      <x:c r="A421" s="34" t="str"/>
      <x:c r="B421" s="41"/>
      <x:c r="C421" s="34"/>
    </x:row>
    <x:row r="422">
      <x:c r="A422" s="34" t="str"/>
      <x:c r="B422" s="41"/>
      <x:c r="C422" s="34"/>
    </x:row>
    <x:row r="423">
      <x:c r="A423" s="34" t="str"/>
      <x:c r="B423" s="41"/>
      <x:c r="C423" s="34"/>
    </x:row>
    <x:row r="424">
      <x:c r="A424" s="34" t="str"/>
      <x:c r="B424" s="41"/>
      <x:c r="C424" s="34"/>
    </x:row>
    <x:row r="425">
      <x:c r="A425" s="34" t="str"/>
      <x:c r="B425" s="41"/>
      <x:c r="C425" s="34"/>
    </x:row>
    <x:row r="426">
      <x:c r="A426" s="34" t="str"/>
      <x:c r="B426" s="41"/>
      <x:c r="C426" s="34"/>
    </x:row>
    <x:row r="427">
      <x:c r="A427" s="34" t="str"/>
      <x:c r="B427" s="41"/>
      <x:c r="C427" s="34"/>
    </x:row>
    <x:row r="428">
      <x:c r="A428" s="34" t="str"/>
      <x:c r="B428" s="41"/>
      <x:c r="C428" s="34"/>
    </x:row>
    <x:row r="429">
      <x:c r="A429" s="34" t="str"/>
      <x:c r="B429" s="41"/>
      <x:c r="C429" s="34"/>
    </x:row>
    <x:row r="430">
      <x:c r="A430" s="34" t="str"/>
      <x:c r="B430" s="41"/>
      <x:c r="C430" s="34"/>
    </x:row>
    <x:row r="431">
      <x:c r="A431" s="34" t="str"/>
      <x:c r="B431" s="41"/>
      <x:c r="C431" s="34"/>
    </x:row>
    <x:row r="432">
      <x:c r="A432" s="34" t="str"/>
      <x:c r="B432" s="41"/>
      <x:c r="C432" s="34"/>
    </x:row>
    <x:row r="433">
      <x:c r="A433" s="34" t="str"/>
      <x:c r="B433" s="41"/>
      <x:c r="C433" s="34"/>
    </x:row>
    <x:row r="434">
      <x:c r="A434" s="34" t="str"/>
      <x:c r="B434" s="41"/>
      <x:c r="C434" s="34"/>
    </x:row>
    <x:row r="435">
      <x:c r="A435" s="34" t="str"/>
      <x:c r="B435" s="41"/>
      <x:c r="C435" s="34"/>
    </x:row>
    <x:row r="436">
      <x:c r="A436" s="34" t="str"/>
      <x:c r="B436" s="41"/>
      <x:c r="C436" s="34"/>
    </x:row>
    <x:row r="437">
      <x:c r="A437" s="34" t="str"/>
      <x:c r="B437" s="41"/>
      <x:c r="C437" s="34"/>
    </x:row>
    <x:row r="438">
      <x:c r="A438" s="34" t="str"/>
      <x:c r="B438" s="41"/>
      <x:c r="C438" s="34"/>
    </x:row>
    <x:row r="439">
      <x:c r="A439" s="34" t="str"/>
      <x:c r="B439" s="41"/>
      <x:c r="C439" s="34"/>
    </x:row>
    <x:row r="440">
      <x:c r="A440" s="34" t="str"/>
      <x:c r="B440" s="41"/>
      <x:c r="C440" s="34"/>
    </x:row>
    <x:row r="441">
      <x:c r="A441" s="34" t="str"/>
      <x:c r="B441" s="41"/>
      <x:c r="C441" s="34"/>
    </x:row>
    <x:row r="442">
      <x:c r="A442" s="34" t="str"/>
      <x:c r="B442" s="41"/>
      <x:c r="C442" s="34"/>
    </x:row>
    <x:row r="443">
      <x:c r="A443" s="34" t="str"/>
      <x:c r="B443" s="41"/>
      <x:c r="C443" s="34"/>
    </x:row>
    <x:row r="444">
      <x:c r="A444" s="34" t="str"/>
      <x:c r="B444" s="41"/>
      <x:c r="C444" s="34"/>
    </x:row>
    <x:row r="445">
      <x:c r="A445" s="34" t="str"/>
      <x:c r="B445" s="41"/>
      <x:c r="C445" s="34"/>
    </x:row>
    <x:row r="446">
      <x:c r="A446" s="34" t="str"/>
      <x:c r="B446" s="41"/>
      <x:c r="C446" s="34"/>
    </x:row>
    <x:row r="447">
      <x:c r="A447" s="34" t="str"/>
      <x:c r="B447" s="41"/>
      <x:c r="C447" s="34"/>
    </x:row>
    <x:row r="448">
      <x:c r="A448" s="34" t="str"/>
      <x:c r="B448" s="41"/>
      <x:c r="C448" s="34"/>
    </x:row>
    <x:row r="449">
      <x:c r="A449" s="34" t="str"/>
      <x:c r="B449" s="41"/>
      <x:c r="C449" s="34"/>
    </x:row>
    <x:row r="450">
      <x:c r="A450" s="34" t="str"/>
      <x:c r="B450" s="41"/>
      <x:c r="C450" s="34"/>
    </x:row>
    <x:row r="451">
      <x:c r="A451" s="34" t="str"/>
      <x:c r="B451" s="41"/>
      <x:c r="C451" s="34"/>
    </x:row>
    <x:row r="452">
      <x:c r="A452" s="34" t="str"/>
      <x:c r="B452" s="41"/>
      <x:c r="C452" s="34"/>
    </x:row>
    <x:row r="453">
      <x:c r="A453" s="34" t="str"/>
      <x:c r="B453" s="41"/>
      <x:c r="C453" s="34"/>
    </x:row>
    <x:row r="454">
      <x:c r="A454" s="34" t="str"/>
      <x:c r="B454" s="41"/>
      <x:c r="C454" s="34"/>
    </x:row>
    <x:row r="455">
      <x:c r="A455" s="34" t="str"/>
      <x:c r="B455" s="41"/>
      <x:c r="C455" s="34"/>
    </x:row>
    <x:row r="456">
      <x:c r="A456" s="34" t="str"/>
      <x:c r="B456" s="41"/>
      <x:c r="C456" s="34"/>
    </x:row>
    <x:row r="457">
      <x:c r="A457" s="34" t="str"/>
      <x:c r="B457" s="41"/>
      <x:c r="C457" s="34"/>
    </x:row>
    <x:row r="458">
      <x:c r="A458" s="34" t="str"/>
      <x:c r="B458" s="41"/>
      <x:c r="C458" s="34"/>
    </x:row>
    <x:row r="459">
      <x:c r="A459" s="34" t="str"/>
      <x:c r="B459" s="41"/>
      <x:c r="C459" s="34"/>
    </x:row>
    <x:row r="460">
      <x:c r="A460" s="34" t="str"/>
      <x:c r="B460" s="41"/>
      <x:c r="C460" s="34"/>
    </x:row>
    <x:row r="461">
      <x:c r="A461" s="34" t="str"/>
      <x:c r="B461" s="41"/>
      <x:c r="C461" s="34"/>
    </x:row>
    <x:row r="462">
      <x:c r="A462" s="34" t="str"/>
      <x:c r="B462" s="41"/>
      <x:c r="C462" s="34"/>
    </x:row>
    <x:row r="463">
      <x:c r="A463" s="34" t="str"/>
      <x:c r="B463" s="41"/>
      <x:c r="C463" s="34"/>
    </x:row>
    <x:row r="464">
      <x:c r="A464" s="34" t="str"/>
      <x:c r="B464" s="41"/>
      <x:c r="C464" s="34"/>
    </x:row>
    <x:row r="465">
      <x:c r="A465" s="34" t="str"/>
      <x:c r="B465" s="41"/>
      <x:c r="C465" s="34"/>
    </x:row>
    <x:row r="466">
      <x:c r="A466" s="34" t="str"/>
      <x:c r="B466" s="41"/>
      <x:c r="C466" s="34"/>
    </x:row>
    <x:row r="467">
      <x:c r="A467" s="34" t="str"/>
      <x:c r="B467" s="41"/>
      <x:c r="C467" s="34"/>
    </x:row>
    <x:row r="468">
      <x:c r="A468" s="34" t="str"/>
      <x:c r="B468" s="41"/>
      <x:c r="C468" s="34"/>
    </x:row>
    <x:row r="469">
      <x:c r="A469" s="34" t="str"/>
      <x:c r="B469" s="41"/>
      <x:c r="C469" s="34"/>
    </x:row>
    <x:row r="470">
      <x:c r="A470" s="34" t="str"/>
      <x:c r="B470" s="41"/>
      <x:c r="C470" s="34"/>
    </x:row>
    <x:row r="471">
      <x:c r="A471" s="34" t="str"/>
      <x:c r="B471" s="41"/>
      <x:c r="C471" s="34"/>
    </x:row>
    <x:row r="472">
      <x:c r="A472" s="34" t="str"/>
      <x:c r="B472" s="41"/>
      <x:c r="C472" s="34"/>
    </x:row>
    <x:row r="473">
      <x:c r="A473" s="34" t="str"/>
      <x:c r="B473" s="41"/>
      <x:c r="C473" s="34"/>
    </x:row>
    <x:row r="474">
      <x:c r="A474" s="34" t="str"/>
      <x:c r="B474" s="41"/>
      <x:c r="C474" s="34"/>
    </x:row>
    <x:row r="475">
      <x:c r="A475" s="34" t="str"/>
      <x:c r="B475" s="41"/>
      <x:c r="C475" s="34"/>
    </x:row>
    <x:row r="476">
      <x:c r="A476" s="34" t="str"/>
      <x:c r="B476" s="41"/>
      <x:c r="C476" s="34"/>
    </x:row>
    <x:row r="477">
      <x:c r="A477" s="34" t="str"/>
      <x:c r="B477" s="41"/>
      <x:c r="C477" s="34"/>
    </x:row>
    <x:row r="478">
      <x:c r="A478" s="34" t="str"/>
      <x:c r="B478" s="41"/>
      <x:c r="C478" s="34"/>
    </x:row>
    <x:row r="479">
      <x:c r="A479" s="34" t="str"/>
      <x:c r="B479" s="41"/>
      <x:c r="C479" s="34"/>
    </x:row>
    <x:row r="480">
      <x:c r="A480" s="34" t="str"/>
      <x:c r="B480" s="41"/>
      <x:c r="C480" s="34"/>
    </x:row>
    <x:row r="481">
      <x:c r="A481" s="34" t="str"/>
      <x:c r="B481" s="41"/>
      <x:c r="C481" s="34"/>
    </x:row>
    <x:row r="482">
      <x:c r="A482" s="34" t="str"/>
      <x:c r="B482" s="41"/>
      <x:c r="C482" s="34"/>
    </x:row>
    <x:row r="483">
      <x:c r="A483" s="34" t="str"/>
      <x:c r="B483" s="41"/>
      <x:c r="C483" s="34"/>
    </x:row>
    <x:row r="484">
      <x:c r="A484" s="34" t="str"/>
      <x:c r="B484" s="41"/>
      <x:c r="C484" s="34"/>
    </x:row>
    <x:row r="485">
      <x:c r="A485" s="34" t="str"/>
      <x:c r="B485" s="41"/>
      <x:c r="C485" s="34"/>
    </x:row>
    <x:row r="486">
      <x:c r="A486" s="34" t="str"/>
      <x:c r="B486" s="41"/>
      <x:c r="C486" s="34"/>
    </x:row>
    <x:row r="487">
      <x:c r="A487" s="34" t="str"/>
      <x:c r="B487" s="41"/>
      <x:c r="C487" s="34"/>
    </x:row>
    <x:row r="488">
      <x:c r="A488" s="34" t="str"/>
      <x:c r="B488" s="41"/>
      <x:c r="C488" s="34"/>
    </x:row>
    <x:row r="489">
      <x:c r="A489" s="34" t="str"/>
      <x:c r="B489" s="41"/>
      <x:c r="C489" s="34"/>
    </x:row>
    <x:row r="490">
      <x:c r="A490" s="34" t="str"/>
      <x:c r="B490" s="41"/>
      <x:c r="C490" s="34"/>
    </x:row>
    <x:row r="491">
      <x:c r="A491" s="34" t="str"/>
      <x:c r="B491" s="41"/>
      <x:c r="C491" s="34"/>
    </x:row>
    <x:row r="492">
      <x:c r="A492" s="34" t="str"/>
      <x:c r="B492" s="41"/>
      <x:c r="C492" s="34"/>
    </x:row>
    <x:row r="493">
      <x:c r="A493" s="34" t="str"/>
      <x:c r="B493" s="41"/>
      <x:c r="C493" s="34"/>
    </x:row>
    <x:row r="494">
      <x:c r="A494" s="34" t="str"/>
      <x:c r="B494" s="41"/>
      <x:c r="C494" s="34"/>
    </x:row>
    <x:row r="495">
      <x:c r="A495" s="34" t="str"/>
      <x:c r="B495" s="41"/>
      <x:c r="C495" s="34"/>
    </x:row>
    <x:row r="496">
      <x:c r="A496" s="34" t="str"/>
      <x:c r="B496" s="41"/>
      <x:c r="C496" s="34"/>
    </x:row>
    <x:row r="497">
      <x:c r="A497" s="34" t="str"/>
      <x:c r="B497" s="41"/>
      <x:c r="C497" s="34"/>
    </x:row>
    <x:row r="498">
      <x:c r="A498" s="34" t="str"/>
      <x:c r="B498" s="41"/>
      <x:c r="C498" s="34"/>
    </x:row>
    <x:row r="499">
      <x:c r="A499" s="34" t="str"/>
      <x:c r="B499" s="41"/>
      <x:c r="C499" s="34"/>
    </x:row>
    <x:row r="500">
      <x:c r="A500" s="34" t="str"/>
      <x:c r="B500" s="41"/>
      <x:c r="C500" s="34"/>
    </x:row>
    <x:row r="501">
      <x:c r="A501" s="34" t="str"/>
      <x:c r="B501" s="41"/>
      <x:c r="C501" s="34"/>
    </x:row>
    <x:row r="502">
      <x:c r="A502" s="34" t="str"/>
      <x:c r="B502" s="41"/>
      <x:c r="C502" s="34"/>
    </x:row>
    <x:row r="503">
      <x:c r="A503" s="34" t="str"/>
      <x:c r="B503" s="41"/>
      <x:c r="C503" s="34"/>
    </x:row>
    <x:row r="504">
      <x:c r="A504" s="34" t="str"/>
      <x:c r="B504" s="41"/>
      <x:c r="C504" s="34"/>
    </x:row>
    <x:row r="505">
      <x:c r="A505" s="34" t="str"/>
      <x:c r="B505" s="41"/>
      <x:c r="C505" s="34"/>
    </x:row>
  </x:sheetData>
  <x:mergeCells>
    <x:mergeCell ref="A1:C1"/>
    <x:mergeCell ref="A2:C2"/>
  </x:mergeCells>
  <x:dataValidations count="1">
    <x:dataValidation type="whole" operator="between" sqref="C6:C505">
      <x:formula1>1</x:formula1>
      <x:formula2>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c264f9482bd45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6.25" hidden="0" customWidth="1"/>
    <x:col min="3" max="3" width="15" hidden="0" customWidth="1"/>
    <x:col min="4" max="4" width="0.5" hidden="0" customWidth="1"/>
  </x:cols>
  <x:sheetData>
    <x:row r="1" ht="31.5" customHeight="1">
      <x:c r="A1" s="30" t="str">
        <x:v>Mercado</x:v>
      </x:c>
      <x:c r="B1" s="30" t="str">
        <x:v>Mercado</x:v>
      </x:c>
      <x:c r="C1" s="30" t="str">
        <x:v>Mercado</x:v>
      </x:c>
      <x:c r="D1" s="30" t="str">
        <x:v>Mercado</x:v>
      </x:c>
    </x:row>
    <x:row r="2" ht="19.5" customHeight="1">
      <x:c r="A2" s="32" t="str">
        <x:v>Lista simple de productos. Los marcados como Comprar aparecen en el Dashboard.</x:v>
      </x:c>
      <x:c r="B2" s="32" t="str">
        <x:v>Lista simple de productos. Los marcados como Comprar aparecen en el Dashboard.</x:v>
      </x:c>
      <x:c r="C2" s="32" t="str">
        <x:v>Lista simple de productos. Los marcados como Comprar aparecen en el Dashboard.</x:v>
      </x:c>
      <x:c r="D2" s="32" t="str">
        <x:v>Lista simple de productos. Los marcados como Comprar aparecen en el Dashboard.</x:v>
      </x:c>
    </x:row>
    <x:row r="3">
      <x:c r="A3" s="31"/>
      <x:c r="B3" s="31"/>
      <x:c r="C3" s="31"/>
      <x:c r="D3" s="31"/>
    </x:row>
    <x:row r="4">
      <x:c r="A4" s="31"/>
      <x:c r="B4" s="31"/>
      <x:c r="C4" s="31"/>
      <x:c r="D4" s="31"/>
    </x:row>
    <x:row r="5">
      <x:c r="A5" s="33" t="str">
        <x:v>Producto</x:v>
      </x:c>
      <x:c r="B5" s="33" t="str">
        <x:v>Última compra</x:v>
      </x:c>
      <x:c r="C5" s="33" t="str">
        <x:v>Estado</x:v>
      </x:c>
      <x:c r="D5" s="44" t="str">
        <x:v>Orden comprar</x:v>
      </x:c>
    </x:row>
    <x:row r="6">
      <x:c r="A6" s="34" t="str">
        <x:v>Leche</x:v>
      </x:c>
      <x:c r="B6" s="43" t="n">
        <x:v>46174</x:v>
      </x:c>
      <x:c r="C6" s="34" t="str">
        <x:v>Comprar</x:v>
      </x:c>
      <x:c r="D6" s="35" t="n">
        <x:f>IF(C6="Comprar",COUNTIF($C$6:C6,"Comprar"),"")</x:f>
        <x:v>1</x:v>
      </x:c>
    </x:row>
    <x:row r="7">
      <x:c r="A7" s="34" t="str">
        <x:v>Arroz</x:v>
      </x:c>
      <x:c r="B7" s="43" t="n">
        <x:v>46167</x:v>
      </x:c>
      <x:c r="C7" s="34" t="str">
        <x:v>Disponible</x:v>
      </x:c>
      <x:c r="D7" s="35" t="str">
        <x:f>IF(C7="Comprar",COUNTIF($C$6:C7,"Comprar"),"")</x:f>
      </x:c>
    </x:row>
    <x:row r="8">
      <x:c r="A8" s="34" t="str">
        <x:v>Huevos</x:v>
      </x:c>
      <x:c r="B8" s="43" t="n">
        <x:v>46170</x:v>
      </x:c>
      <x:c r="C8" s="34" t="str">
        <x:v>Comprar</x:v>
      </x:c>
      <x:c r="D8" s="35" t="n">
        <x:f>IF(C8="Comprar",COUNTIF($C$6:C8,"Comprar"),"")</x:f>
        <x:v>2</x:v>
      </x:c>
    </x:row>
    <x:row r="9">
      <x:c r="A9" s="34" t="str">
        <x:v>Papel higiénico</x:v>
      </x:c>
      <x:c r="B9" s="43" t="n">
        <x:v>46162</x:v>
      </x:c>
      <x:c r="C9" s="34" t="str">
        <x:v>Comprar</x:v>
      </x:c>
      <x:c r="D9" s="35" t="n">
        <x:f>IF(C9="Comprar",COUNTIF($C$6:C9,"Comprar"),"")</x:f>
        <x:v>3</x:v>
      </x:c>
    </x:row>
    <x:row r="10">
      <x:c r="A10" s="34" t="str">
        <x:v>Café</x:v>
      </x:c>
      <x:c r="B10" s="43" t="n">
        <x:v>46176</x:v>
      </x:c>
      <x:c r="C10" s="34" t="str">
        <x:v>Disponible</x:v>
      </x:c>
      <x:c r="D10" s="35" t="str">
        <x:f>IF(C10="Comprar",COUNTIF($C$6:C10,"Comprar"),"")</x:f>
      </x:c>
    </x:row>
    <x:row r="11">
      <x:c r="A11" s="34" t="str"/>
      <x:c r="B11" s="43"/>
      <x:c r="C11" s="34" t="str"/>
      <x:c r="D11" s="35" t="str">
        <x:f>IF(C11="Comprar",COUNTIF($C$6:C11,"Comprar"),"")</x:f>
      </x:c>
    </x:row>
    <x:row r="12">
      <x:c r="A12" s="34" t="str"/>
      <x:c r="B12" s="43"/>
      <x:c r="C12" s="34" t="str"/>
      <x:c r="D12" s="35" t="str">
        <x:f>IF(C12="Comprar",COUNTIF($C$6:C12,"Comprar"),"")</x:f>
      </x:c>
    </x:row>
    <x:row r="13">
      <x:c r="A13" s="34" t="str"/>
      <x:c r="B13" s="43"/>
      <x:c r="C13" s="34" t="str"/>
      <x:c r="D13" s="35" t="str">
        <x:f>IF(C13="Comprar",COUNTIF($C$6:C13,"Comprar"),"")</x:f>
      </x:c>
    </x:row>
    <x:row r="14">
      <x:c r="A14" s="34" t="str"/>
      <x:c r="B14" s="43"/>
      <x:c r="C14" s="34" t="str"/>
      <x:c r="D14" s="35" t="str">
        <x:f>IF(C14="Comprar",COUNTIF($C$6:C14,"Comprar"),"")</x:f>
      </x:c>
    </x:row>
    <x:row r="15">
      <x:c r="A15" s="34" t="str"/>
      <x:c r="B15" s="43"/>
      <x:c r="C15" s="34" t="str"/>
      <x:c r="D15" s="35" t="str">
        <x:f>IF(C15="Comprar",COUNTIF($C$6:C15,"Comprar"),"")</x:f>
      </x:c>
    </x:row>
    <x:row r="16">
      <x:c r="A16" s="34" t="str"/>
      <x:c r="B16" s="43"/>
      <x:c r="C16" s="34" t="str"/>
      <x:c r="D16" s="35" t="str">
        <x:f>IF(C16="Comprar",COUNTIF($C$6:C16,"Comprar"),"")</x:f>
      </x:c>
    </x:row>
    <x:row r="17">
      <x:c r="A17" s="34" t="str"/>
      <x:c r="B17" s="43"/>
      <x:c r="C17" s="34" t="str"/>
      <x:c r="D17" s="35" t="str">
        <x:f>IF(C17="Comprar",COUNTIF($C$6:C17,"Comprar"),"")</x:f>
      </x:c>
    </x:row>
    <x:row r="18">
      <x:c r="A18" s="34" t="str"/>
      <x:c r="B18" s="43"/>
      <x:c r="C18" s="34" t="str"/>
      <x:c r="D18" s="35" t="str">
        <x:f>IF(C18="Comprar",COUNTIF($C$6:C18,"Comprar"),"")</x:f>
      </x:c>
    </x:row>
    <x:row r="19">
      <x:c r="A19" s="34" t="str"/>
      <x:c r="B19" s="43"/>
      <x:c r="C19" s="34" t="str"/>
      <x:c r="D19" s="35" t="str">
        <x:f>IF(C19="Comprar",COUNTIF($C$6:C19,"Comprar"),"")</x:f>
      </x:c>
    </x:row>
    <x:row r="20">
      <x:c r="A20" s="34" t="str"/>
      <x:c r="B20" s="43"/>
      <x:c r="C20" s="34" t="str"/>
      <x:c r="D20" s="35" t="str">
        <x:f>IF(C20="Comprar",COUNTIF($C$6:C20,"Comprar"),"")</x:f>
      </x:c>
    </x:row>
    <x:row r="21">
      <x:c r="A21" s="34" t="str"/>
      <x:c r="B21" s="43"/>
      <x:c r="C21" s="34" t="str"/>
      <x:c r="D21" s="35" t="str">
        <x:f>IF(C21="Comprar",COUNTIF($C$6:C21,"Comprar"),"")</x:f>
      </x:c>
    </x:row>
    <x:row r="22">
      <x:c r="A22" s="34" t="str"/>
      <x:c r="B22" s="43"/>
      <x:c r="C22" s="34" t="str"/>
      <x:c r="D22" s="35" t="str">
        <x:f>IF(C22="Comprar",COUNTIF($C$6:C22,"Comprar"),"")</x:f>
      </x:c>
    </x:row>
    <x:row r="23">
      <x:c r="A23" s="34" t="str"/>
      <x:c r="B23" s="43"/>
      <x:c r="C23" s="34" t="str"/>
      <x:c r="D23" s="35" t="str">
        <x:f>IF(C23="Comprar",COUNTIF($C$6:C23,"Comprar"),"")</x:f>
      </x:c>
    </x:row>
    <x:row r="24">
      <x:c r="A24" s="34" t="str"/>
      <x:c r="B24" s="43"/>
      <x:c r="C24" s="34" t="str"/>
      <x:c r="D24" s="35" t="str">
        <x:f>IF(C24="Comprar",COUNTIF($C$6:C24,"Comprar"),"")</x:f>
      </x:c>
    </x:row>
    <x:row r="25">
      <x:c r="A25" s="34" t="str"/>
      <x:c r="B25" s="43"/>
      <x:c r="C25" s="34" t="str"/>
      <x:c r="D25" s="35" t="str">
        <x:f>IF(C25="Comprar",COUNTIF($C$6:C25,"Comprar"),"")</x:f>
      </x:c>
    </x:row>
    <x:row r="26">
      <x:c r="A26" s="34" t="str"/>
      <x:c r="B26" s="43"/>
      <x:c r="C26" s="34" t="str"/>
      <x:c r="D26" s="35" t="str">
        <x:f>IF(C26="Comprar",COUNTIF($C$6:C26,"Comprar"),"")</x:f>
      </x:c>
    </x:row>
    <x:row r="27">
      <x:c r="A27" s="34" t="str"/>
      <x:c r="B27" s="43"/>
      <x:c r="C27" s="34" t="str"/>
      <x:c r="D27" s="35" t="str">
        <x:f>IF(C27="Comprar",COUNTIF($C$6:C27,"Comprar"),"")</x:f>
      </x:c>
    </x:row>
    <x:row r="28">
      <x:c r="A28" s="34" t="str"/>
      <x:c r="B28" s="43"/>
      <x:c r="C28" s="34" t="str"/>
      <x:c r="D28" s="35" t="str">
        <x:f>IF(C28="Comprar",COUNTIF($C$6:C28,"Comprar"),"")</x:f>
      </x:c>
    </x:row>
    <x:row r="29">
      <x:c r="A29" s="34" t="str"/>
      <x:c r="B29" s="43"/>
      <x:c r="C29" s="34" t="str"/>
      <x:c r="D29" s="35" t="str">
        <x:f>IF(C29="Comprar",COUNTIF($C$6:C29,"Comprar"),"")</x:f>
      </x:c>
    </x:row>
    <x:row r="30">
      <x:c r="A30" s="34" t="str"/>
      <x:c r="B30" s="43"/>
      <x:c r="C30" s="34" t="str"/>
      <x:c r="D30" s="35" t="str">
        <x:f>IF(C30="Comprar",COUNTIF($C$6:C30,"Comprar"),"")</x:f>
      </x:c>
    </x:row>
    <x:row r="31">
      <x:c r="A31" s="34" t="str"/>
      <x:c r="B31" s="43"/>
      <x:c r="C31" s="34" t="str"/>
      <x:c r="D31" s="35" t="str">
        <x:f>IF(C31="Comprar",COUNTIF($C$6:C31,"Comprar"),"")</x:f>
      </x:c>
    </x:row>
    <x:row r="32">
      <x:c r="A32" s="34" t="str"/>
      <x:c r="B32" s="43"/>
      <x:c r="C32" s="34" t="str"/>
      <x:c r="D32" s="35" t="str">
        <x:f>IF(C32="Comprar",COUNTIF($C$6:C32,"Comprar"),"")</x:f>
      </x:c>
    </x:row>
    <x:row r="33">
      <x:c r="A33" s="34" t="str"/>
      <x:c r="B33" s="43"/>
      <x:c r="C33" s="34" t="str"/>
      <x:c r="D33" s="35" t="str">
        <x:f>IF(C33="Comprar",COUNTIF($C$6:C33,"Comprar"),"")</x:f>
      </x:c>
    </x:row>
    <x:row r="34">
      <x:c r="A34" s="34" t="str"/>
      <x:c r="B34" s="43"/>
      <x:c r="C34" s="34" t="str"/>
      <x:c r="D34" s="35" t="str">
        <x:f>IF(C34="Comprar",COUNTIF($C$6:C34,"Comprar"),"")</x:f>
      </x:c>
    </x:row>
    <x:row r="35">
      <x:c r="A35" s="34" t="str"/>
      <x:c r="B35" s="43"/>
      <x:c r="C35" s="34" t="str"/>
      <x:c r="D35" s="35" t="str">
        <x:f>IF(C35="Comprar",COUNTIF($C$6:C35,"Comprar"),"")</x:f>
      </x:c>
    </x:row>
    <x:row r="36">
      <x:c r="A36" s="34" t="str"/>
      <x:c r="B36" s="43"/>
      <x:c r="C36" s="34" t="str"/>
      <x:c r="D36" s="35" t="str">
        <x:f>IF(C36="Comprar",COUNTIF($C$6:C36,"Comprar"),"")</x:f>
      </x:c>
    </x:row>
    <x:row r="37">
      <x:c r="A37" s="34" t="str"/>
      <x:c r="B37" s="43"/>
      <x:c r="C37" s="34" t="str"/>
      <x:c r="D37" s="35" t="str">
        <x:f>IF(C37="Comprar",COUNTIF($C$6:C37,"Comprar"),"")</x:f>
      </x:c>
    </x:row>
    <x:row r="38">
      <x:c r="A38" s="34" t="str"/>
      <x:c r="B38" s="43"/>
      <x:c r="C38" s="34" t="str"/>
      <x:c r="D38" s="35" t="str">
        <x:f>IF(C38="Comprar",COUNTIF($C$6:C38,"Comprar"),"")</x:f>
      </x:c>
    </x:row>
    <x:row r="39">
      <x:c r="A39" s="34" t="str"/>
      <x:c r="B39" s="43"/>
      <x:c r="C39" s="34" t="str"/>
      <x:c r="D39" s="35" t="str">
        <x:f>IF(C39="Comprar",COUNTIF($C$6:C39,"Comprar"),"")</x:f>
      </x:c>
    </x:row>
    <x:row r="40">
      <x:c r="A40" s="34" t="str"/>
      <x:c r="B40" s="43"/>
      <x:c r="C40" s="34" t="str"/>
      <x:c r="D40" s="35" t="str">
        <x:f>IF(C40="Comprar",COUNTIF($C$6:C40,"Comprar"),"")</x:f>
      </x:c>
    </x:row>
    <x:row r="41">
      <x:c r="A41" s="34" t="str"/>
      <x:c r="B41" s="43"/>
      <x:c r="C41" s="34" t="str"/>
      <x:c r="D41" s="35" t="str">
        <x:f>IF(C41="Comprar",COUNTIF($C$6:C41,"Comprar"),"")</x:f>
      </x:c>
    </x:row>
    <x:row r="42">
      <x:c r="A42" s="34" t="str"/>
      <x:c r="B42" s="43"/>
      <x:c r="C42" s="34" t="str"/>
      <x:c r="D42" s="35" t="str">
        <x:f>IF(C42="Comprar",COUNTIF($C$6:C42,"Comprar"),"")</x:f>
      </x:c>
    </x:row>
    <x:row r="43">
      <x:c r="A43" s="34" t="str"/>
      <x:c r="B43" s="43"/>
      <x:c r="C43" s="34" t="str"/>
      <x:c r="D43" s="35" t="str">
        <x:f>IF(C43="Comprar",COUNTIF($C$6:C43,"Comprar"),"")</x:f>
      </x:c>
    </x:row>
    <x:row r="44">
      <x:c r="A44" s="34" t="str"/>
      <x:c r="B44" s="43"/>
      <x:c r="C44" s="34" t="str"/>
      <x:c r="D44" s="35" t="str">
        <x:f>IF(C44="Comprar",COUNTIF($C$6:C44,"Comprar"),"")</x:f>
      </x:c>
    </x:row>
    <x:row r="45">
      <x:c r="A45" s="34" t="str"/>
      <x:c r="B45" s="43"/>
      <x:c r="C45" s="34" t="str"/>
      <x:c r="D45" s="35" t="str">
        <x:f>IF(C45="Comprar",COUNTIF($C$6:C45,"Comprar"),"")</x:f>
      </x:c>
    </x:row>
    <x:row r="46">
      <x:c r="A46" s="34" t="str"/>
      <x:c r="B46" s="43"/>
      <x:c r="C46" s="34" t="str"/>
      <x:c r="D46" s="35" t="str">
        <x:f>IF(C46="Comprar",COUNTIF($C$6:C46,"Comprar"),"")</x:f>
      </x:c>
    </x:row>
    <x:row r="47">
      <x:c r="A47" s="34" t="str"/>
      <x:c r="B47" s="43"/>
      <x:c r="C47" s="34" t="str"/>
      <x:c r="D47" s="35" t="str">
        <x:f>IF(C47="Comprar",COUNTIF($C$6:C47,"Comprar"),"")</x:f>
      </x:c>
    </x:row>
    <x:row r="48">
      <x:c r="A48" s="34" t="str"/>
      <x:c r="B48" s="43"/>
      <x:c r="C48" s="34" t="str"/>
      <x:c r="D48" s="35" t="str">
        <x:f>IF(C48="Comprar",COUNTIF($C$6:C48,"Comprar"),"")</x:f>
      </x:c>
    </x:row>
    <x:row r="49">
      <x:c r="A49" s="34" t="str"/>
      <x:c r="B49" s="43"/>
      <x:c r="C49" s="34" t="str"/>
      <x:c r="D49" s="35" t="str">
        <x:f>IF(C49="Comprar",COUNTIF($C$6:C49,"Comprar"),"")</x:f>
      </x:c>
    </x:row>
    <x:row r="50">
      <x:c r="A50" s="34" t="str"/>
      <x:c r="B50" s="43"/>
      <x:c r="C50" s="34" t="str"/>
      <x:c r="D50" s="35" t="str">
        <x:f>IF(C50="Comprar",COUNTIF($C$6:C50,"Comprar"),"")</x:f>
      </x:c>
    </x:row>
    <x:row r="51">
      <x:c r="A51" s="34" t="str"/>
      <x:c r="B51" s="43"/>
      <x:c r="C51" s="34" t="str"/>
      <x:c r="D51" s="35" t="str">
        <x:f>IF(C51="Comprar",COUNTIF($C$6:C51,"Comprar"),"")</x:f>
      </x:c>
    </x:row>
    <x:row r="52">
      <x:c r="A52" s="34" t="str"/>
      <x:c r="B52" s="43"/>
      <x:c r="C52" s="34" t="str"/>
      <x:c r="D52" s="35" t="str">
        <x:f>IF(C52="Comprar",COUNTIF($C$6:C52,"Comprar"),"")</x:f>
      </x:c>
    </x:row>
    <x:row r="53">
      <x:c r="A53" s="34" t="str"/>
      <x:c r="B53" s="43"/>
      <x:c r="C53" s="34" t="str"/>
      <x:c r="D53" s="35" t="str">
        <x:f>IF(C53="Comprar",COUNTIF($C$6:C53,"Comprar"),"")</x:f>
      </x:c>
    </x:row>
    <x:row r="54">
      <x:c r="A54" s="34" t="str"/>
      <x:c r="B54" s="43"/>
      <x:c r="C54" s="34" t="str"/>
      <x:c r="D54" s="35" t="str">
        <x:f>IF(C54="Comprar",COUNTIF($C$6:C54,"Comprar"),"")</x:f>
      </x:c>
    </x:row>
    <x:row r="55">
      <x:c r="A55" s="34" t="str"/>
      <x:c r="B55" s="43"/>
      <x:c r="C55" s="34" t="str"/>
      <x:c r="D55" s="35" t="str">
        <x:f>IF(C55="Comprar",COUNTIF($C$6:C55,"Comprar"),"")</x:f>
      </x:c>
    </x:row>
    <x:row r="56">
      <x:c r="A56" s="34" t="str"/>
      <x:c r="B56" s="43"/>
      <x:c r="C56" s="34" t="str"/>
      <x:c r="D56" s="35" t="str">
        <x:f>IF(C56="Comprar",COUNTIF($C$6:C56,"Comprar"),"")</x:f>
      </x:c>
    </x:row>
    <x:row r="57">
      <x:c r="A57" s="34" t="str"/>
      <x:c r="B57" s="43"/>
      <x:c r="C57" s="34" t="str"/>
      <x:c r="D57" s="35" t="str">
        <x:f>IF(C57="Comprar",COUNTIF($C$6:C57,"Comprar"),"")</x:f>
      </x:c>
    </x:row>
    <x:row r="58">
      <x:c r="A58" s="34" t="str"/>
      <x:c r="B58" s="43"/>
      <x:c r="C58" s="34" t="str"/>
      <x:c r="D58" s="35" t="str">
        <x:f>IF(C58="Comprar",COUNTIF($C$6:C58,"Comprar"),"")</x:f>
      </x:c>
    </x:row>
    <x:row r="59">
      <x:c r="A59" s="34" t="str"/>
      <x:c r="B59" s="43"/>
      <x:c r="C59" s="34" t="str"/>
      <x:c r="D59" s="35" t="str">
        <x:f>IF(C59="Comprar",COUNTIF($C$6:C59,"Comprar"),"")</x:f>
      </x:c>
    </x:row>
    <x:row r="60">
      <x:c r="A60" s="34" t="str"/>
      <x:c r="B60" s="43"/>
      <x:c r="C60" s="34" t="str"/>
      <x:c r="D60" s="35" t="str">
        <x:f>IF(C60="Comprar",COUNTIF($C$6:C60,"Comprar"),"")</x:f>
      </x:c>
    </x:row>
    <x:row r="61">
      <x:c r="A61" s="34" t="str"/>
      <x:c r="B61" s="43"/>
      <x:c r="C61" s="34" t="str"/>
      <x:c r="D61" s="35" t="str">
        <x:f>IF(C61="Comprar",COUNTIF($C$6:C61,"Comprar"),"")</x:f>
      </x:c>
    </x:row>
    <x:row r="62">
      <x:c r="A62" s="34" t="str"/>
      <x:c r="B62" s="43"/>
      <x:c r="C62" s="34" t="str"/>
      <x:c r="D62" s="35" t="str">
        <x:f>IF(C62="Comprar",COUNTIF($C$6:C62,"Comprar"),"")</x:f>
      </x:c>
    </x:row>
    <x:row r="63">
      <x:c r="A63" s="34" t="str"/>
      <x:c r="B63" s="43"/>
      <x:c r="C63" s="34" t="str"/>
      <x:c r="D63" s="35" t="str">
        <x:f>IF(C63="Comprar",COUNTIF($C$6:C63,"Comprar"),"")</x:f>
      </x:c>
    </x:row>
    <x:row r="64">
      <x:c r="A64" s="34" t="str"/>
      <x:c r="B64" s="43"/>
      <x:c r="C64" s="34" t="str"/>
      <x:c r="D64" s="35" t="str">
        <x:f>IF(C64="Comprar",COUNTIF($C$6:C64,"Comprar"),"")</x:f>
      </x:c>
    </x:row>
    <x:row r="65">
      <x:c r="A65" s="34" t="str"/>
      <x:c r="B65" s="43"/>
      <x:c r="C65" s="34" t="str"/>
      <x:c r="D65" s="35" t="str">
        <x:f>IF(C65="Comprar",COUNTIF($C$6:C65,"Comprar"),"")</x:f>
      </x:c>
    </x:row>
    <x:row r="66">
      <x:c r="A66" s="34" t="str"/>
      <x:c r="B66" s="43"/>
      <x:c r="C66" s="34" t="str"/>
      <x:c r="D66" s="35" t="str">
        <x:f>IF(C66="Comprar",COUNTIF($C$6:C66,"Comprar"),"")</x:f>
      </x:c>
    </x:row>
    <x:row r="67">
      <x:c r="A67" s="34" t="str"/>
      <x:c r="B67" s="43"/>
      <x:c r="C67" s="34" t="str"/>
      <x:c r="D67" s="35" t="str">
        <x:f>IF(C67="Comprar",COUNTIF($C$6:C67,"Comprar"),"")</x:f>
      </x:c>
    </x:row>
    <x:row r="68">
      <x:c r="A68" s="34" t="str"/>
      <x:c r="B68" s="43"/>
      <x:c r="C68" s="34" t="str"/>
      <x:c r="D68" s="35" t="str">
        <x:f>IF(C68="Comprar",COUNTIF($C$6:C68,"Comprar"),"")</x:f>
      </x:c>
    </x:row>
    <x:row r="69">
      <x:c r="A69" s="34" t="str"/>
      <x:c r="B69" s="43"/>
      <x:c r="C69" s="34" t="str"/>
      <x:c r="D69" s="35" t="str">
        <x:f>IF(C69="Comprar",COUNTIF($C$6:C69,"Comprar"),"")</x:f>
      </x:c>
    </x:row>
    <x:row r="70">
      <x:c r="A70" s="34" t="str"/>
      <x:c r="B70" s="43"/>
      <x:c r="C70" s="34" t="str"/>
      <x:c r="D70" s="35" t="str">
        <x:f>IF(C70="Comprar",COUNTIF($C$6:C70,"Comprar"),"")</x:f>
      </x:c>
    </x:row>
    <x:row r="71">
      <x:c r="A71" s="34" t="str"/>
      <x:c r="B71" s="43"/>
      <x:c r="C71" s="34" t="str"/>
      <x:c r="D71" s="35" t="str">
        <x:f>IF(C71="Comprar",COUNTIF($C$6:C71,"Comprar"),"")</x:f>
      </x:c>
    </x:row>
    <x:row r="72">
      <x:c r="A72" s="34" t="str"/>
      <x:c r="B72" s="43"/>
      <x:c r="C72" s="34" t="str"/>
      <x:c r="D72" s="35" t="str">
        <x:f>IF(C72="Comprar",COUNTIF($C$6:C72,"Comprar"),"")</x:f>
      </x:c>
    </x:row>
    <x:row r="73">
      <x:c r="A73" s="34" t="str"/>
      <x:c r="B73" s="43"/>
      <x:c r="C73" s="34" t="str"/>
      <x:c r="D73" s="35" t="str">
        <x:f>IF(C73="Comprar",COUNTIF($C$6:C73,"Comprar"),"")</x:f>
      </x:c>
    </x:row>
    <x:row r="74">
      <x:c r="A74" s="34" t="str"/>
      <x:c r="B74" s="43"/>
      <x:c r="C74" s="34" t="str"/>
      <x:c r="D74" s="35" t="str">
        <x:f>IF(C74="Comprar",COUNTIF($C$6:C74,"Comprar"),"")</x:f>
      </x:c>
    </x:row>
    <x:row r="75">
      <x:c r="A75" s="34" t="str"/>
      <x:c r="B75" s="43"/>
      <x:c r="C75" s="34" t="str"/>
      <x:c r="D75" s="35" t="str">
        <x:f>IF(C75="Comprar",COUNTIF($C$6:C75,"Comprar"),"")</x:f>
      </x:c>
    </x:row>
    <x:row r="76">
      <x:c r="A76" s="34" t="str"/>
      <x:c r="B76" s="43"/>
      <x:c r="C76" s="34" t="str"/>
      <x:c r="D76" s="35" t="str">
        <x:f>IF(C76="Comprar",COUNTIF($C$6:C76,"Comprar"),"")</x:f>
      </x:c>
    </x:row>
    <x:row r="77">
      <x:c r="A77" s="34" t="str"/>
      <x:c r="B77" s="43"/>
      <x:c r="C77" s="34" t="str"/>
      <x:c r="D77" s="35" t="str">
        <x:f>IF(C77="Comprar",COUNTIF($C$6:C77,"Comprar"),"")</x:f>
      </x:c>
    </x:row>
    <x:row r="78">
      <x:c r="A78" s="34" t="str"/>
      <x:c r="B78" s="43"/>
      <x:c r="C78" s="34" t="str"/>
      <x:c r="D78" s="35" t="str">
        <x:f>IF(C78="Comprar",COUNTIF($C$6:C78,"Comprar"),"")</x:f>
      </x:c>
    </x:row>
    <x:row r="79">
      <x:c r="A79" s="34" t="str"/>
      <x:c r="B79" s="43"/>
      <x:c r="C79" s="34" t="str"/>
      <x:c r="D79" s="35" t="str">
        <x:f>IF(C79="Comprar",COUNTIF($C$6:C79,"Comprar"),"")</x:f>
      </x:c>
    </x:row>
    <x:row r="80">
      <x:c r="A80" s="34" t="str"/>
      <x:c r="B80" s="43"/>
      <x:c r="C80" s="34" t="str"/>
      <x:c r="D80" s="35" t="str">
        <x:f>IF(C80="Comprar",COUNTIF($C$6:C80,"Comprar"),"")</x:f>
      </x:c>
    </x:row>
    <x:row r="81">
      <x:c r="A81" s="34" t="str"/>
      <x:c r="B81" s="43"/>
      <x:c r="C81" s="34" t="str"/>
      <x:c r="D81" s="35" t="str">
        <x:f>IF(C81="Comprar",COUNTIF($C$6:C81,"Comprar"),"")</x:f>
      </x:c>
    </x:row>
    <x:row r="82">
      <x:c r="A82" s="34" t="str"/>
      <x:c r="B82" s="43"/>
      <x:c r="C82" s="34" t="str"/>
      <x:c r="D82" s="35" t="str">
        <x:f>IF(C82="Comprar",COUNTIF($C$6:C82,"Comprar"),"")</x:f>
      </x:c>
    </x:row>
    <x:row r="83">
      <x:c r="A83" s="34" t="str"/>
      <x:c r="B83" s="43"/>
      <x:c r="C83" s="34" t="str"/>
      <x:c r="D83" s="35" t="str">
        <x:f>IF(C83="Comprar",COUNTIF($C$6:C83,"Comprar"),"")</x:f>
      </x:c>
    </x:row>
    <x:row r="84">
      <x:c r="A84" s="34" t="str"/>
      <x:c r="B84" s="43"/>
      <x:c r="C84" s="34" t="str"/>
      <x:c r="D84" s="35" t="str">
        <x:f>IF(C84="Comprar",COUNTIF($C$6:C84,"Comprar"),"")</x:f>
      </x:c>
    </x:row>
    <x:row r="85">
      <x:c r="A85" s="34" t="str"/>
      <x:c r="B85" s="43"/>
      <x:c r="C85" s="34" t="str"/>
      <x:c r="D85" s="35" t="str">
        <x:f>IF(C85="Comprar",COUNTIF($C$6:C85,"Comprar"),"")</x:f>
      </x:c>
    </x:row>
    <x:row r="86">
      <x:c r="A86" s="34" t="str"/>
      <x:c r="B86" s="43"/>
      <x:c r="C86" s="34" t="str"/>
      <x:c r="D86" s="35" t="str">
        <x:f>IF(C86="Comprar",COUNTIF($C$6:C86,"Comprar"),"")</x:f>
      </x:c>
    </x:row>
    <x:row r="87">
      <x:c r="A87" s="34" t="str"/>
      <x:c r="B87" s="43"/>
      <x:c r="C87" s="34" t="str"/>
      <x:c r="D87" s="35" t="str">
        <x:f>IF(C87="Comprar",COUNTIF($C$6:C87,"Comprar"),"")</x:f>
      </x:c>
    </x:row>
    <x:row r="88">
      <x:c r="A88" s="34" t="str"/>
      <x:c r="B88" s="43"/>
      <x:c r="C88" s="34" t="str"/>
      <x:c r="D88" s="35" t="str">
        <x:f>IF(C88="Comprar",COUNTIF($C$6:C88,"Comprar"),"")</x:f>
      </x:c>
    </x:row>
    <x:row r="89">
      <x:c r="A89" s="34" t="str"/>
      <x:c r="B89" s="43"/>
      <x:c r="C89" s="34" t="str"/>
      <x:c r="D89" s="35" t="str">
        <x:f>IF(C89="Comprar",COUNTIF($C$6:C89,"Comprar"),"")</x:f>
      </x:c>
    </x:row>
    <x:row r="90">
      <x:c r="A90" s="34" t="str"/>
      <x:c r="B90" s="43"/>
      <x:c r="C90" s="34" t="str"/>
      <x:c r="D90" s="35" t="str">
        <x:f>IF(C90="Comprar",COUNTIF($C$6:C90,"Comprar"),"")</x:f>
      </x:c>
    </x:row>
    <x:row r="91">
      <x:c r="A91" s="34" t="str"/>
      <x:c r="B91" s="43"/>
      <x:c r="C91" s="34" t="str"/>
      <x:c r="D91" s="35" t="str">
        <x:f>IF(C91="Comprar",COUNTIF($C$6:C91,"Comprar"),"")</x:f>
      </x:c>
    </x:row>
    <x:row r="92">
      <x:c r="A92" s="34" t="str"/>
      <x:c r="B92" s="43"/>
      <x:c r="C92" s="34" t="str"/>
      <x:c r="D92" s="35" t="str">
        <x:f>IF(C92="Comprar",COUNTIF($C$6:C92,"Comprar"),"")</x:f>
      </x:c>
    </x:row>
    <x:row r="93">
      <x:c r="A93" s="34" t="str"/>
      <x:c r="B93" s="43"/>
      <x:c r="C93" s="34" t="str"/>
      <x:c r="D93" s="35" t="str">
        <x:f>IF(C93="Comprar",COUNTIF($C$6:C93,"Comprar"),"")</x:f>
      </x:c>
    </x:row>
    <x:row r="94">
      <x:c r="A94" s="34" t="str"/>
      <x:c r="B94" s="43"/>
      <x:c r="C94" s="34" t="str"/>
      <x:c r="D94" s="35" t="str">
        <x:f>IF(C94="Comprar",COUNTIF($C$6:C94,"Comprar"),"")</x:f>
      </x:c>
    </x:row>
    <x:row r="95">
      <x:c r="A95" s="34" t="str"/>
      <x:c r="B95" s="43"/>
      <x:c r="C95" s="34" t="str"/>
      <x:c r="D95" s="35" t="str">
        <x:f>IF(C95="Comprar",COUNTIF($C$6:C95,"Comprar"),"")</x:f>
      </x:c>
    </x:row>
    <x:row r="96">
      <x:c r="A96" s="34" t="str"/>
      <x:c r="B96" s="43"/>
      <x:c r="C96" s="34" t="str"/>
      <x:c r="D96" s="35" t="str">
        <x:f>IF(C96="Comprar",COUNTIF($C$6:C96,"Comprar"),"")</x:f>
      </x:c>
    </x:row>
    <x:row r="97">
      <x:c r="A97" s="34" t="str"/>
      <x:c r="B97" s="43"/>
      <x:c r="C97" s="34" t="str"/>
      <x:c r="D97" s="35" t="str">
        <x:f>IF(C97="Comprar",COUNTIF($C$6:C97,"Comprar"),"")</x:f>
      </x:c>
    </x:row>
    <x:row r="98">
      <x:c r="A98" s="34" t="str"/>
      <x:c r="B98" s="43"/>
      <x:c r="C98" s="34" t="str"/>
      <x:c r="D98" s="35" t="str">
        <x:f>IF(C98="Comprar",COUNTIF($C$6:C98,"Comprar"),"")</x:f>
      </x:c>
    </x:row>
    <x:row r="99">
      <x:c r="A99" s="34" t="str"/>
      <x:c r="B99" s="43"/>
      <x:c r="C99" s="34" t="str"/>
      <x:c r="D99" s="35" t="str">
        <x:f>IF(C99="Comprar",COUNTIF($C$6:C99,"Comprar"),"")</x:f>
      </x:c>
    </x:row>
    <x:row r="100">
      <x:c r="A100" s="34" t="str"/>
      <x:c r="B100" s="43"/>
      <x:c r="C100" s="34" t="str"/>
      <x:c r="D100" s="35" t="str">
        <x:f>IF(C100="Comprar",COUNTIF($C$6:C100,"Comprar"),"")</x:f>
      </x:c>
    </x:row>
    <x:row r="101">
      <x:c r="A101" s="34" t="str"/>
      <x:c r="B101" s="43"/>
      <x:c r="C101" s="34" t="str"/>
      <x:c r="D101" s="35" t="str">
        <x:f>IF(C101="Comprar",COUNTIF($C$6:C101,"Comprar"),"")</x:f>
      </x:c>
    </x:row>
    <x:row r="102">
      <x:c r="A102" s="34" t="str"/>
      <x:c r="B102" s="43"/>
      <x:c r="C102" s="34" t="str"/>
      <x:c r="D102" s="35" t="str">
        <x:f>IF(C102="Comprar",COUNTIF($C$6:C102,"Comprar"),"")</x:f>
      </x:c>
    </x:row>
    <x:row r="103">
      <x:c r="A103" s="34" t="str"/>
      <x:c r="B103" s="43"/>
      <x:c r="C103" s="34" t="str"/>
      <x:c r="D103" s="35" t="str">
        <x:f>IF(C103="Comprar",COUNTIF($C$6:C103,"Comprar"),"")</x:f>
      </x:c>
    </x:row>
    <x:row r="104">
      <x:c r="A104" s="34" t="str"/>
      <x:c r="B104" s="43"/>
      <x:c r="C104" s="34" t="str"/>
      <x:c r="D104" s="35" t="str">
        <x:f>IF(C104="Comprar",COUNTIF($C$6:C104,"Comprar"),"")</x:f>
      </x:c>
    </x:row>
    <x:row r="105">
      <x:c r="A105" s="34" t="str"/>
      <x:c r="B105" s="43"/>
      <x:c r="C105" s="34" t="str"/>
      <x:c r="D105" s="35" t="str">
        <x:f>IF(C105="Comprar",COUNTIF($C$6:C105,"Comprar"),"")</x:f>
      </x:c>
    </x:row>
    <x:row r="106">
      <x:c r="A106" s="34" t="str"/>
      <x:c r="B106" s="43"/>
      <x:c r="C106" s="34" t="str"/>
      <x:c r="D106" s="35" t="str">
        <x:f>IF(C106="Comprar",COUNTIF($C$6:C106,"Comprar"),"")</x:f>
      </x:c>
    </x:row>
    <x:row r="107">
      <x:c r="A107" s="34" t="str"/>
      <x:c r="B107" s="43"/>
      <x:c r="C107" s="34" t="str"/>
      <x:c r="D107" s="35" t="str">
        <x:f>IF(C107="Comprar",COUNTIF($C$6:C107,"Comprar"),"")</x:f>
      </x:c>
    </x:row>
    <x:row r="108">
      <x:c r="A108" s="34" t="str"/>
      <x:c r="B108" s="43"/>
      <x:c r="C108" s="34" t="str"/>
      <x:c r="D108" s="35" t="str">
        <x:f>IF(C108="Comprar",COUNTIF($C$6:C108,"Comprar"),"")</x:f>
      </x:c>
    </x:row>
    <x:row r="109">
      <x:c r="A109" s="34" t="str"/>
      <x:c r="B109" s="43"/>
      <x:c r="C109" s="34" t="str"/>
      <x:c r="D109" s="35" t="str">
        <x:f>IF(C109="Comprar",COUNTIF($C$6:C109,"Comprar"),"")</x:f>
      </x:c>
    </x:row>
    <x:row r="110">
      <x:c r="A110" s="34" t="str"/>
      <x:c r="B110" s="43"/>
      <x:c r="C110" s="34" t="str"/>
      <x:c r="D110" s="35" t="str">
        <x:f>IF(C110="Comprar",COUNTIF($C$6:C110,"Comprar"),"")</x:f>
      </x:c>
    </x:row>
    <x:row r="111">
      <x:c r="A111" s="34" t="str"/>
      <x:c r="B111" s="43"/>
      <x:c r="C111" s="34" t="str"/>
      <x:c r="D111" s="35" t="str">
        <x:f>IF(C111="Comprar",COUNTIF($C$6:C111,"Comprar"),"")</x:f>
      </x:c>
    </x:row>
    <x:row r="112">
      <x:c r="A112" s="34" t="str"/>
      <x:c r="B112" s="43"/>
      <x:c r="C112" s="34" t="str"/>
      <x:c r="D112" s="35" t="str">
        <x:f>IF(C112="Comprar",COUNTIF($C$6:C112,"Comprar"),"")</x:f>
      </x:c>
    </x:row>
    <x:row r="113">
      <x:c r="A113" s="34" t="str"/>
      <x:c r="B113" s="43"/>
      <x:c r="C113" s="34" t="str"/>
      <x:c r="D113" s="35" t="str">
        <x:f>IF(C113="Comprar",COUNTIF($C$6:C113,"Comprar"),"")</x:f>
      </x:c>
    </x:row>
    <x:row r="114">
      <x:c r="A114" s="34" t="str"/>
      <x:c r="B114" s="43"/>
      <x:c r="C114" s="34" t="str"/>
      <x:c r="D114" s="35" t="str">
        <x:f>IF(C114="Comprar",COUNTIF($C$6:C114,"Comprar"),"")</x:f>
      </x:c>
    </x:row>
    <x:row r="115">
      <x:c r="A115" s="34" t="str"/>
      <x:c r="B115" s="43"/>
      <x:c r="C115" s="34" t="str"/>
      <x:c r="D115" s="35" t="str">
        <x:f>IF(C115="Comprar",COUNTIF($C$6:C115,"Comprar"),"")</x:f>
      </x:c>
    </x:row>
    <x:row r="116">
      <x:c r="A116" s="34" t="str"/>
      <x:c r="B116" s="43"/>
      <x:c r="C116" s="34" t="str"/>
      <x:c r="D116" s="35" t="str">
        <x:f>IF(C116="Comprar",COUNTIF($C$6:C116,"Comprar"),"")</x:f>
      </x:c>
    </x:row>
    <x:row r="117">
      <x:c r="A117" s="34" t="str"/>
      <x:c r="B117" s="43"/>
      <x:c r="C117" s="34" t="str"/>
      <x:c r="D117" s="35" t="str">
        <x:f>IF(C117="Comprar",COUNTIF($C$6:C117,"Comprar"),"")</x:f>
      </x:c>
    </x:row>
    <x:row r="118">
      <x:c r="A118" s="34" t="str"/>
      <x:c r="B118" s="43"/>
      <x:c r="C118" s="34" t="str"/>
      <x:c r="D118" s="35" t="str">
        <x:f>IF(C118="Comprar",COUNTIF($C$6:C118,"Comprar"),"")</x:f>
      </x:c>
    </x:row>
    <x:row r="119">
      <x:c r="A119" s="34" t="str"/>
      <x:c r="B119" s="43"/>
      <x:c r="C119" s="34" t="str"/>
      <x:c r="D119" s="35" t="str">
        <x:f>IF(C119="Comprar",COUNTIF($C$6:C119,"Comprar"),"")</x:f>
      </x:c>
    </x:row>
    <x:row r="120">
      <x:c r="A120" s="34" t="str"/>
      <x:c r="B120" s="43"/>
      <x:c r="C120" s="34" t="str"/>
      <x:c r="D120" s="35" t="str">
        <x:f>IF(C120="Comprar",COUNTIF($C$6:C120,"Comprar"),"")</x:f>
      </x:c>
    </x:row>
    <x:row r="121">
      <x:c r="A121" s="34" t="str"/>
      <x:c r="B121" s="43"/>
      <x:c r="C121" s="34" t="str"/>
      <x:c r="D121" s="35" t="str">
        <x:f>IF(C121="Comprar",COUNTIF($C$6:C121,"Comprar"),"")</x:f>
      </x:c>
    </x:row>
    <x:row r="122">
      <x:c r="A122" s="34" t="str"/>
      <x:c r="B122" s="43"/>
      <x:c r="C122" s="34" t="str"/>
      <x:c r="D122" s="35" t="str">
        <x:f>IF(C122="Comprar",COUNTIF($C$6:C122,"Comprar"),"")</x:f>
      </x:c>
    </x:row>
    <x:row r="123">
      <x:c r="A123" s="34" t="str"/>
      <x:c r="B123" s="43"/>
      <x:c r="C123" s="34" t="str"/>
      <x:c r="D123" s="35" t="str">
        <x:f>IF(C123="Comprar",COUNTIF($C$6:C123,"Comprar"),"")</x:f>
      </x:c>
    </x:row>
    <x:row r="124">
      <x:c r="A124" s="34" t="str"/>
      <x:c r="B124" s="43"/>
      <x:c r="C124" s="34" t="str"/>
      <x:c r="D124" s="35" t="str">
        <x:f>IF(C124="Comprar",COUNTIF($C$6:C124,"Comprar"),"")</x:f>
      </x:c>
    </x:row>
    <x:row r="125">
      <x:c r="A125" s="34" t="str"/>
      <x:c r="B125" s="43"/>
      <x:c r="C125" s="34" t="str"/>
      <x:c r="D125" s="35" t="str">
        <x:f>IF(C125="Comprar",COUNTIF($C$6:C125,"Comprar"),"")</x:f>
      </x:c>
    </x:row>
    <x:row r="126">
      <x:c r="A126" s="34" t="str"/>
      <x:c r="B126" s="43"/>
      <x:c r="C126" s="34" t="str"/>
      <x:c r="D126" s="35" t="str">
        <x:f>IF(C126="Comprar",COUNTIF($C$6:C126,"Comprar"),"")</x:f>
      </x:c>
    </x:row>
    <x:row r="127">
      <x:c r="A127" s="34" t="str"/>
      <x:c r="B127" s="43"/>
      <x:c r="C127" s="34" t="str"/>
      <x:c r="D127" s="35" t="str">
        <x:f>IF(C127="Comprar",COUNTIF($C$6:C127,"Comprar"),"")</x:f>
      </x:c>
    </x:row>
    <x:row r="128">
      <x:c r="A128" s="34" t="str"/>
      <x:c r="B128" s="43"/>
      <x:c r="C128" s="34" t="str"/>
      <x:c r="D128" s="35" t="str">
        <x:f>IF(C128="Comprar",COUNTIF($C$6:C128,"Comprar"),"")</x:f>
      </x:c>
    </x:row>
    <x:row r="129">
      <x:c r="A129" s="34" t="str"/>
      <x:c r="B129" s="43"/>
      <x:c r="C129" s="34" t="str"/>
      <x:c r="D129" s="35" t="str">
        <x:f>IF(C129="Comprar",COUNTIF($C$6:C129,"Comprar"),"")</x:f>
      </x:c>
    </x:row>
    <x:row r="130">
      <x:c r="A130" s="34" t="str"/>
      <x:c r="B130" s="43"/>
      <x:c r="C130" s="34" t="str"/>
      <x:c r="D130" s="35" t="str">
        <x:f>IF(C130="Comprar",COUNTIF($C$6:C130,"Comprar"),"")</x:f>
      </x:c>
    </x:row>
    <x:row r="131">
      <x:c r="A131" s="34" t="str"/>
      <x:c r="B131" s="43"/>
      <x:c r="C131" s="34" t="str"/>
      <x:c r="D131" s="35" t="str">
        <x:f>IF(C131="Comprar",COUNTIF($C$6:C131,"Comprar"),"")</x:f>
      </x:c>
    </x:row>
    <x:row r="132">
      <x:c r="A132" s="34" t="str"/>
      <x:c r="B132" s="43"/>
      <x:c r="C132" s="34" t="str"/>
      <x:c r="D132" s="35" t="str">
        <x:f>IF(C132="Comprar",COUNTIF($C$6:C132,"Comprar"),"")</x:f>
      </x:c>
    </x:row>
    <x:row r="133">
      <x:c r="A133" s="34" t="str"/>
      <x:c r="B133" s="43"/>
      <x:c r="C133" s="34" t="str"/>
      <x:c r="D133" s="35" t="str">
        <x:f>IF(C133="Comprar",COUNTIF($C$6:C133,"Comprar"),"")</x:f>
      </x:c>
    </x:row>
    <x:row r="134">
      <x:c r="A134" s="34" t="str"/>
      <x:c r="B134" s="43"/>
      <x:c r="C134" s="34" t="str"/>
      <x:c r="D134" s="35" t="str">
        <x:f>IF(C134="Comprar",COUNTIF($C$6:C134,"Comprar"),"")</x:f>
      </x:c>
    </x:row>
    <x:row r="135">
      <x:c r="A135" s="34" t="str"/>
      <x:c r="B135" s="43"/>
      <x:c r="C135" s="34" t="str"/>
      <x:c r="D135" s="35" t="str">
        <x:f>IF(C135="Comprar",COUNTIF($C$6:C135,"Comprar"),"")</x:f>
      </x:c>
    </x:row>
    <x:row r="136">
      <x:c r="A136" s="34" t="str"/>
      <x:c r="B136" s="43"/>
      <x:c r="C136" s="34" t="str"/>
      <x:c r="D136" s="35" t="str">
        <x:f>IF(C136="Comprar",COUNTIF($C$6:C136,"Comprar"),"")</x:f>
      </x:c>
    </x:row>
    <x:row r="137">
      <x:c r="A137" s="34" t="str"/>
      <x:c r="B137" s="43"/>
      <x:c r="C137" s="34" t="str"/>
      <x:c r="D137" s="35" t="str">
        <x:f>IF(C137="Comprar",COUNTIF($C$6:C137,"Comprar"),"")</x:f>
      </x:c>
    </x:row>
    <x:row r="138">
      <x:c r="A138" s="34" t="str"/>
      <x:c r="B138" s="43"/>
      <x:c r="C138" s="34" t="str"/>
      <x:c r="D138" s="35" t="str">
        <x:f>IF(C138="Comprar",COUNTIF($C$6:C138,"Comprar"),"")</x:f>
      </x:c>
    </x:row>
    <x:row r="139">
      <x:c r="A139" s="34" t="str"/>
      <x:c r="B139" s="43"/>
      <x:c r="C139" s="34" t="str"/>
      <x:c r="D139" s="35" t="str">
        <x:f>IF(C139="Comprar",COUNTIF($C$6:C139,"Comprar"),"")</x:f>
      </x:c>
    </x:row>
    <x:row r="140">
      <x:c r="A140" s="34" t="str"/>
      <x:c r="B140" s="43"/>
      <x:c r="C140" s="34" t="str"/>
      <x:c r="D140" s="35" t="str">
        <x:f>IF(C140="Comprar",COUNTIF($C$6:C140,"Comprar"),"")</x:f>
      </x:c>
    </x:row>
    <x:row r="141">
      <x:c r="A141" s="34" t="str"/>
      <x:c r="B141" s="43"/>
      <x:c r="C141" s="34" t="str"/>
      <x:c r="D141" s="35" t="str">
        <x:f>IF(C141="Comprar",COUNTIF($C$6:C141,"Comprar"),"")</x:f>
      </x:c>
    </x:row>
    <x:row r="142">
      <x:c r="A142" s="34" t="str"/>
      <x:c r="B142" s="43"/>
      <x:c r="C142" s="34" t="str"/>
      <x:c r="D142" s="35" t="str">
        <x:f>IF(C142="Comprar",COUNTIF($C$6:C142,"Comprar"),"")</x:f>
      </x:c>
    </x:row>
    <x:row r="143">
      <x:c r="A143" s="34" t="str"/>
      <x:c r="B143" s="43"/>
      <x:c r="C143" s="34" t="str"/>
      <x:c r="D143" s="35" t="str">
        <x:f>IF(C143="Comprar",COUNTIF($C$6:C143,"Comprar"),"")</x:f>
      </x:c>
    </x:row>
    <x:row r="144">
      <x:c r="A144" s="34" t="str"/>
      <x:c r="B144" s="43"/>
      <x:c r="C144" s="34" t="str"/>
      <x:c r="D144" s="35" t="str">
        <x:f>IF(C144="Comprar",COUNTIF($C$6:C144,"Comprar"),"")</x:f>
      </x:c>
    </x:row>
    <x:row r="145">
      <x:c r="A145" s="34" t="str"/>
      <x:c r="B145" s="43"/>
      <x:c r="C145" s="34" t="str"/>
      <x:c r="D145" s="35" t="str">
        <x:f>IF(C145="Comprar",COUNTIF($C$6:C145,"Comprar"),"")</x:f>
      </x:c>
    </x:row>
    <x:row r="146">
      <x:c r="A146" s="34" t="str"/>
      <x:c r="B146" s="43"/>
      <x:c r="C146" s="34" t="str"/>
      <x:c r="D146" s="35" t="str">
        <x:f>IF(C146="Comprar",COUNTIF($C$6:C146,"Comprar"),"")</x:f>
      </x:c>
    </x:row>
    <x:row r="147">
      <x:c r="A147" s="34" t="str"/>
      <x:c r="B147" s="43"/>
      <x:c r="C147" s="34" t="str"/>
      <x:c r="D147" s="35" t="str">
        <x:f>IF(C147="Comprar",COUNTIF($C$6:C147,"Comprar"),"")</x:f>
      </x:c>
    </x:row>
    <x:row r="148">
      <x:c r="A148" s="34" t="str"/>
      <x:c r="B148" s="43"/>
      <x:c r="C148" s="34" t="str"/>
      <x:c r="D148" s="35" t="str">
        <x:f>IF(C148="Comprar",COUNTIF($C$6:C148,"Comprar"),"")</x:f>
      </x:c>
    </x:row>
    <x:row r="149">
      <x:c r="A149" s="34" t="str"/>
      <x:c r="B149" s="43"/>
      <x:c r="C149" s="34" t="str"/>
      <x:c r="D149" s="35" t="str">
        <x:f>IF(C149="Comprar",COUNTIF($C$6:C149,"Comprar"),"")</x:f>
      </x:c>
    </x:row>
    <x:row r="150">
      <x:c r="A150" s="34" t="str"/>
      <x:c r="B150" s="43"/>
      <x:c r="C150" s="34" t="str"/>
      <x:c r="D150" s="35" t="str">
        <x:f>IF(C150="Comprar",COUNTIF($C$6:C150,"Comprar"),"")</x:f>
      </x:c>
    </x:row>
    <x:row r="151">
      <x:c r="A151" s="34" t="str"/>
      <x:c r="B151" s="43"/>
      <x:c r="C151" s="34" t="str"/>
      <x:c r="D151" s="35" t="str">
        <x:f>IF(C151="Comprar",COUNTIF($C$6:C151,"Comprar"),"")</x:f>
      </x:c>
    </x:row>
    <x:row r="152">
      <x:c r="A152" s="34" t="str"/>
      <x:c r="B152" s="43"/>
      <x:c r="C152" s="34" t="str"/>
      <x:c r="D152" s="35" t="str">
        <x:f>IF(C152="Comprar",COUNTIF($C$6:C152,"Comprar"),"")</x:f>
      </x:c>
    </x:row>
    <x:row r="153">
      <x:c r="A153" s="34" t="str"/>
      <x:c r="B153" s="43"/>
      <x:c r="C153" s="34" t="str"/>
      <x:c r="D153" s="35" t="str">
        <x:f>IF(C153="Comprar",COUNTIF($C$6:C153,"Comprar"),"")</x:f>
      </x:c>
    </x:row>
    <x:row r="154">
      <x:c r="A154" s="34" t="str"/>
      <x:c r="B154" s="43"/>
      <x:c r="C154" s="34" t="str"/>
      <x:c r="D154" s="35" t="str">
        <x:f>IF(C154="Comprar",COUNTIF($C$6:C154,"Comprar"),"")</x:f>
      </x:c>
    </x:row>
    <x:row r="155">
      <x:c r="A155" s="34" t="str"/>
      <x:c r="B155" s="43"/>
      <x:c r="C155" s="34" t="str"/>
      <x:c r="D155" s="35" t="str">
        <x:f>IF(C155="Comprar",COUNTIF($C$6:C155,"Comprar"),"")</x:f>
      </x:c>
    </x:row>
    <x:row r="156">
      <x:c r="A156" s="34" t="str"/>
      <x:c r="B156" s="43"/>
      <x:c r="C156" s="34" t="str"/>
      <x:c r="D156" s="35" t="str">
        <x:f>IF(C156="Comprar",COUNTIF($C$6:C156,"Comprar"),"")</x:f>
      </x:c>
    </x:row>
    <x:row r="157">
      <x:c r="A157" s="34" t="str"/>
      <x:c r="B157" s="43"/>
      <x:c r="C157" s="34" t="str"/>
      <x:c r="D157" s="35" t="str">
        <x:f>IF(C157="Comprar",COUNTIF($C$6:C157,"Comprar"),"")</x:f>
      </x:c>
    </x:row>
    <x:row r="158">
      <x:c r="A158" s="34" t="str"/>
      <x:c r="B158" s="43"/>
      <x:c r="C158" s="34" t="str"/>
      <x:c r="D158" s="35" t="str">
        <x:f>IF(C158="Comprar",COUNTIF($C$6:C158,"Comprar"),"")</x:f>
      </x:c>
    </x:row>
    <x:row r="159">
      <x:c r="A159" s="34" t="str"/>
      <x:c r="B159" s="43"/>
      <x:c r="C159" s="34" t="str"/>
      <x:c r="D159" s="35" t="str">
        <x:f>IF(C159="Comprar",COUNTIF($C$6:C159,"Comprar"),"")</x:f>
      </x:c>
    </x:row>
    <x:row r="160">
      <x:c r="A160" s="34" t="str"/>
      <x:c r="B160" s="43"/>
      <x:c r="C160" s="34" t="str"/>
      <x:c r="D160" s="35" t="str">
        <x:f>IF(C160="Comprar",COUNTIF($C$6:C160,"Comprar"),"")</x:f>
      </x:c>
    </x:row>
    <x:row r="161">
      <x:c r="A161" s="34" t="str"/>
      <x:c r="B161" s="43"/>
      <x:c r="C161" s="34" t="str"/>
      <x:c r="D161" s="35" t="str">
        <x:f>IF(C161="Comprar",COUNTIF($C$6:C161,"Comprar"),"")</x:f>
      </x:c>
    </x:row>
    <x:row r="162">
      <x:c r="A162" s="34" t="str"/>
      <x:c r="B162" s="43"/>
      <x:c r="C162" s="34" t="str"/>
      <x:c r="D162" s="35" t="str">
        <x:f>IF(C162="Comprar",COUNTIF($C$6:C162,"Comprar"),"")</x:f>
      </x:c>
    </x:row>
    <x:row r="163">
      <x:c r="A163" s="34" t="str"/>
      <x:c r="B163" s="43"/>
      <x:c r="C163" s="34" t="str"/>
      <x:c r="D163" s="35" t="str">
        <x:f>IF(C163="Comprar",COUNTIF($C$6:C163,"Comprar"),"")</x:f>
      </x:c>
    </x:row>
    <x:row r="164">
      <x:c r="A164" s="34" t="str"/>
      <x:c r="B164" s="43"/>
      <x:c r="C164" s="34" t="str"/>
      <x:c r="D164" s="35" t="str">
        <x:f>IF(C164="Comprar",COUNTIF($C$6:C164,"Comprar"),"")</x:f>
      </x:c>
    </x:row>
    <x:row r="165">
      <x:c r="A165" s="34" t="str"/>
      <x:c r="B165" s="43"/>
      <x:c r="C165" s="34" t="str"/>
      <x:c r="D165" s="35" t="str">
        <x:f>IF(C165="Comprar",COUNTIF($C$6:C165,"Comprar"),"")</x:f>
      </x:c>
    </x:row>
    <x:row r="166">
      <x:c r="A166" s="34" t="str"/>
      <x:c r="B166" s="43"/>
      <x:c r="C166" s="34" t="str"/>
      <x:c r="D166" s="35" t="str">
        <x:f>IF(C166="Comprar",COUNTIF($C$6:C166,"Comprar"),"")</x:f>
      </x:c>
    </x:row>
    <x:row r="167">
      <x:c r="A167" s="34" t="str"/>
      <x:c r="B167" s="43"/>
      <x:c r="C167" s="34" t="str"/>
      <x:c r="D167" s="35" t="str">
        <x:f>IF(C167="Comprar",COUNTIF($C$6:C167,"Comprar"),"")</x:f>
      </x:c>
    </x:row>
    <x:row r="168">
      <x:c r="A168" s="34" t="str"/>
      <x:c r="B168" s="43"/>
      <x:c r="C168" s="34" t="str"/>
      <x:c r="D168" s="35" t="str">
        <x:f>IF(C168="Comprar",COUNTIF($C$6:C168,"Comprar"),"")</x:f>
      </x:c>
    </x:row>
    <x:row r="169">
      <x:c r="A169" s="34" t="str"/>
      <x:c r="B169" s="43"/>
      <x:c r="C169" s="34" t="str"/>
      <x:c r="D169" s="35" t="str">
        <x:f>IF(C169="Comprar",COUNTIF($C$6:C169,"Comprar"),"")</x:f>
      </x:c>
    </x:row>
    <x:row r="170">
      <x:c r="A170" s="34" t="str"/>
      <x:c r="B170" s="43"/>
      <x:c r="C170" s="34" t="str"/>
      <x:c r="D170" s="35" t="str">
        <x:f>IF(C170="Comprar",COUNTIF($C$6:C170,"Comprar"),"")</x:f>
      </x:c>
    </x:row>
    <x:row r="171">
      <x:c r="A171" s="34" t="str"/>
      <x:c r="B171" s="43"/>
      <x:c r="C171" s="34" t="str"/>
      <x:c r="D171" s="35" t="str">
        <x:f>IF(C171="Comprar",COUNTIF($C$6:C171,"Comprar"),"")</x:f>
      </x:c>
    </x:row>
    <x:row r="172">
      <x:c r="A172" s="34" t="str"/>
      <x:c r="B172" s="43"/>
      <x:c r="C172" s="34" t="str"/>
      <x:c r="D172" s="35" t="str">
        <x:f>IF(C172="Comprar",COUNTIF($C$6:C172,"Comprar"),"")</x:f>
      </x:c>
    </x:row>
    <x:row r="173">
      <x:c r="A173" s="34" t="str"/>
      <x:c r="B173" s="43"/>
      <x:c r="C173" s="34" t="str"/>
      <x:c r="D173" s="35" t="str">
        <x:f>IF(C173="Comprar",COUNTIF($C$6:C173,"Comprar"),"")</x:f>
      </x:c>
    </x:row>
    <x:row r="174">
      <x:c r="A174" s="34" t="str"/>
      <x:c r="B174" s="43"/>
      <x:c r="C174" s="34" t="str"/>
      <x:c r="D174" s="35" t="str">
        <x:f>IF(C174="Comprar",COUNTIF($C$6:C174,"Comprar"),"")</x:f>
      </x:c>
    </x:row>
    <x:row r="175">
      <x:c r="A175" s="34" t="str"/>
      <x:c r="B175" s="43"/>
      <x:c r="C175" s="34" t="str"/>
      <x:c r="D175" s="35" t="str">
        <x:f>IF(C175="Comprar",COUNTIF($C$6:C175,"Comprar"),"")</x:f>
      </x:c>
    </x:row>
    <x:row r="176">
      <x:c r="A176" s="34" t="str"/>
      <x:c r="B176" s="43"/>
      <x:c r="C176" s="34" t="str"/>
      <x:c r="D176" s="35" t="str">
        <x:f>IF(C176="Comprar",COUNTIF($C$6:C176,"Comprar"),"")</x:f>
      </x:c>
    </x:row>
    <x:row r="177">
      <x:c r="A177" s="34" t="str"/>
      <x:c r="B177" s="43"/>
      <x:c r="C177" s="34" t="str"/>
      <x:c r="D177" s="35" t="str">
        <x:f>IF(C177="Comprar",COUNTIF($C$6:C177,"Comprar"),"")</x:f>
      </x:c>
    </x:row>
    <x:row r="178">
      <x:c r="A178" s="34" t="str"/>
      <x:c r="B178" s="43"/>
      <x:c r="C178" s="34" t="str"/>
      <x:c r="D178" s="35" t="str">
        <x:f>IF(C178="Comprar",COUNTIF($C$6:C178,"Comprar"),"")</x:f>
      </x:c>
    </x:row>
    <x:row r="179">
      <x:c r="A179" s="34" t="str"/>
      <x:c r="B179" s="43"/>
      <x:c r="C179" s="34" t="str"/>
      <x:c r="D179" s="35" t="str">
        <x:f>IF(C179="Comprar",COUNTIF($C$6:C179,"Comprar"),"")</x:f>
      </x:c>
    </x:row>
    <x:row r="180">
      <x:c r="A180" s="34" t="str"/>
      <x:c r="B180" s="43"/>
      <x:c r="C180" s="34" t="str"/>
      <x:c r="D180" s="35" t="str">
        <x:f>IF(C180="Comprar",COUNTIF($C$6:C180,"Comprar"),"")</x:f>
      </x:c>
    </x:row>
    <x:row r="181">
      <x:c r="A181" s="34" t="str"/>
      <x:c r="B181" s="43"/>
      <x:c r="C181" s="34" t="str"/>
      <x:c r="D181" s="35" t="str">
        <x:f>IF(C181="Comprar",COUNTIF($C$6:C181,"Comprar"),"")</x:f>
      </x:c>
    </x:row>
    <x:row r="182">
      <x:c r="A182" s="34" t="str"/>
      <x:c r="B182" s="43"/>
      <x:c r="C182" s="34" t="str"/>
      <x:c r="D182" s="35" t="str">
        <x:f>IF(C182="Comprar",COUNTIF($C$6:C182,"Comprar"),"")</x:f>
      </x:c>
    </x:row>
    <x:row r="183">
      <x:c r="A183" s="34" t="str"/>
      <x:c r="B183" s="43"/>
      <x:c r="C183" s="34" t="str"/>
      <x:c r="D183" s="35" t="str">
        <x:f>IF(C183="Comprar",COUNTIF($C$6:C183,"Comprar"),"")</x:f>
      </x:c>
    </x:row>
    <x:row r="184">
      <x:c r="A184" s="34" t="str"/>
      <x:c r="B184" s="43"/>
      <x:c r="C184" s="34" t="str"/>
      <x:c r="D184" s="35" t="str">
        <x:f>IF(C184="Comprar",COUNTIF($C$6:C184,"Comprar"),"")</x:f>
      </x:c>
    </x:row>
    <x:row r="185">
      <x:c r="A185" s="34" t="str"/>
      <x:c r="B185" s="43"/>
      <x:c r="C185" s="34" t="str"/>
      <x:c r="D185" s="35" t="str">
        <x:f>IF(C185="Comprar",COUNTIF($C$6:C185,"Comprar"),"")</x:f>
      </x:c>
    </x:row>
    <x:row r="186">
      <x:c r="A186" s="34" t="str"/>
      <x:c r="B186" s="43"/>
      <x:c r="C186" s="34" t="str"/>
      <x:c r="D186" s="35" t="str">
        <x:f>IF(C186="Comprar",COUNTIF($C$6:C186,"Comprar"),"")</x:f>
      </x:c>
    </x:row>
    <x:row r="187">
      <x:c r="A187" s="34" t="str"/>
      <x:c r="B187" s="43"/>
      <x:c r="C187" s="34" t="str"/>
      <x:c r="D187" s="35" t="str">
        <x:f>IF(C187="Comprar",COUNTIF($C$6:C187,"Comprar"),"")</x:f>
      </x:c>
    </x:row>
    <x:row r="188">
      <x:c r="A188" s="34" t="str"/>
      <x:c r="B188" s="43"/>
      <x:c r="C188" s="34" t="str"/>
      <x:c r="D188" s="35" t="str">
        <x:f>IF(C188="Comprar",COUNTIF($C$6:C188,"Comprar"),"")</x:f>
      </x:c>
    </x:row>
    <x:row r="189">
      <x:c r="A189" s="34" t="str"/>
      <x:c r="B189" s="43"/>
      <x:c r="C189" s="34" t="str"/>
      <x:c r="D189" s="35" t="str">
        <x:f>IF(C189="Comprar",COUNTIF($C$6:C189,"Comprar"),"")</x:f>
      </x:c>
    </x:row>
    <x:row r="190">
      <x:c r="A190" s="34" t="str"/>
      <x:c r="B190" s="43"/>
      <x:c r="C190" s="34" t="str"/>
      <x:c r="D190" s="35" t="str">
        <x:f>IF(C190="Comprar",COUNTIF($C$6:C190,"Comprar"),"")</x:f>
      </x:c>
    </x:row>
    <x:row r="191">
      <x:c r="A191" s="34" t="str"/>
      <x:c r="B191" s="43"/>
      <x:c r="C191" s="34" t="str"/>
      <x:c r="D191" s="35" t="str">
        <x:f>IF(C191="Comprar",COUNTIF($C$6:C191,"Comprar"),"")</x:f>
      </x:c>
    </x:row>
    <x:row r="192">
      <x:c r="A192" s="34" t="str"/>
      <x:c r="B192" s="43"/>
      <x:c r="C192" s="34" t="str"/>
      <x:c r="D192" s="35" t="str">
        <x:f>IF(C192="Comprar",COUNTIF($C$6:C192,"Comprar"),"")</x:f>
      </x:c>
    </x:row>
    <x:row r="193">
      <x:c r="A193" s="34" t="str"/>
      <x:c r="B193" s="43"/>
      <x:c r="C193" s="34" t="str"/>
      <x:c r="D193" s="35" t="str">
        <x:f>IF(C193="Comprar",COUNTIF($C$6:C193,"Comprar"),"")</x:f>
      </x:c>
    </x:row>
    <x:row r="194">
      <x:c r="A194" s="34" t="str"/>
      <x:c r="B194" s="43"/>
      <x:c r="C194" s="34" t="str"/>
      <x:c r="D194" s="35" t="str">
        <x:f>IF(C194="Comprar",COUNTIF($C$6:C194,"Comprar"),"")</x:f>
      </x:c>
    </x:row>
    <x:row r="195">
      <x:c r="A195" s="34" t="str"/>
      <x:c r="B195" s="43"/>
      <x:c r="C195" s="34" t="str"/>
      <x:c r="D195" s="35" t="str">
        <x:f>IF(C195="Comprar",COUNTIF($C$6:C195,"Comprar"),"")</x:f>
      </x:c>
    </x:row>
    <x:row r="196">
      <x:c r="A196" s="34" t="str"/>
      <x:c r="B196" s="43"/>
      <x:c r="C196" s="34" t="str"/>
      <x:c r="D196" s="35" t="str">
        <x:f>IF(C196="Comprar",COUNTIF($C$6:C196,"Comprar"),"")</x:f>
      </x:c>
    </x:row>
    <x:row r="197">
      <x:c r="A197" s="34" t="str"/>
      <x:c r="B197" s="43"/>
      <x:c r="C197" s="34" t="str"/>
      <x:c r="D197" s="35" t="str">
        <x:f>IF(C197="Comprar",COUNTIF($C$6:C197,"Comprar"),"")</x:f>
      </x:c>
    </x:row>
    <x:row r="198">
      <x:c r="A198" s="34" t="str"/>
      <x:c r="B198" s="43"/>
      <x:c r="C198" s="34" t="str"/>
      <x:c r="D198" s="35" t="str">
        <x:f>IF(C198="Comprar",COUNTIF($C$6:C198,"Comprar"),"")</x:f>
      </x:c>
    </x:row>
    <x:row r="199">
      <x:c r="A199" s="34" t="str"/>
      <x:c r="B199" s="43"/>
      <x:c r="C199" s="34" t="str"/>
      <x:c r="D199" s="35" t="str">
        <x:f>IF(C199="Comprar",COUNTIF($C$6:C199,"Comprar"),"")</x:f>
      </x:c>
    </x:row>
    <x:row r="200">
      <x:c r="A200" s="34" t="str"/>
      <x:c r="B200" s="43"/>
      <x:c r="C200" s="34" t="str"/>
      <x:c r="D200" s="35" t="str">
        <x:f>IF(C200="Comprar",COUNTIF($C$6:C200,"Comprar"),"")</x:f>
      </x:c>
    </x:row>
    <x:row r="201">
      <x:c r="A201" s="34" t="str"/>
      <x:c r="B201" s="43"/>
      <x:c r="C201" s="34" t="str"/>
      <x:c r="D201" s="35" t="str">
        <x:f>IF(C201="Comprar",COUNTIF($C$6:C201,"Comprar"),"")</x:f>
      </x:c>
    </x:row>
    <x:row r="202">
      <x:c r="A202" s="34" t="str"/>
      <x:c r="B202" s="43"/>
      <x:c r="C202" s="34" t="str"/>
      <x:c r="D202" s="35" t="str">
        <x:f>IF(C202="Comprar",COUNTIF($C$6:C202,"Comprar"),"")</x:f>
      </x:c>
    </x:row>
    <x:row r="203">
      <x:c r="A203" s="34" t="str"/>
      <x:c r="B203" s="43"/>
      <x:c r="C203" s="34" t="str"/>
      <x:c r="D203" s="35" t="str">
        <x:f>IF(C203="Comprar",COUNTIF($C$6:C203,"Comprar"),"")</x:f>
      </x:c>
    </x:row>
    <x:row r="204">
      <x:c r="A204" s="34" t="str"/>
      <x:c r="B204" s="43"/>
      <x:c r="C204" s="34" t="str"/>
      <x:c r="D204" s="35" t="str">
        <x:f>IF(C204="Comprar",COUNTIF($C$6:C204,"Comprar"),"")</x:f>
      </x:c>
    </x:row>
    <x:row r="205">
      <x:c r="A205" s="34" t="str"/>
      <x:c r="B205" s="43"/>
      <x:c r="C205" s="34" t="str"/>
      <x:c r="D205" s="35" t="str">
        <x:f>IF(C205="Comprar",COUNTIF($C$6:C205,"Comprar"),"")</x:f>
      </x:c>
    </x:row>
    <x:row r="206">
      <x:c r="A206" s="34" t="str"/>
      <x:c r="B206" s="43"/>
      <x:c r="C206" s="34" t="str"/>
      <x:c r="D206" s="35" t="str">
        <x:f>IF(C206="Comprar",COUNTIF($C$6:C206,"Comprar"),"")</x:f>
      </x:c>
    </x:row>
    <x:row r="207">
      <x:c r="A207" s="34" t="str"/>
      <x:c r="B207" s="43"/>
      <x:c r="C207" s="34" t="str"/>
      <x:c r="D207" s="35" t="str">
        <x:f>IF(C207="Comprar",COUNTIF($C$6:C207,"Comprar"),"")</x:f>
      </x:c>
    </x:row>
    <x:row r="208">
      <x:c r="A208" s="34" t="str"/>
      <x:c r="B208" s="43"/>
      <x:c r="C208" s="34" t="str"/>
      <x:c r="D208" s="35" t="str">
        <x:f>IF(C208="Comprar",COUNTIF($C$6:C208,"Comprar"),"")</x:f>
      </x:c>
    </x:row>
    <x:row r="209">
      <x:c r="A209" s="34" t="str"/>
      <x:c r="B209" s="43"/>
      <x:c r="C209" s="34" t="str"/>
      <x:c r="D209" s="35" t="str">
        <x:f>IF(C209="Comprar",COUNTIF($C$6:C209,"Comprar"),"")</x:f>
      </x:c>
    </x:row>
    <x:row r="210">
      <x:c r="A210" s="34" t="str"/>
      <x:c r="B210" s="43"/>
      <x:c r="C210" s="34" t="str"/>
      <x:c r="D210" s="35" t="str">
        <x:f>IF(C210="Comprar",COUNTIF($C$6:C210,"Comprar"),"")</x:f>
      </x:c>
    </x:row>
    <x:row r="211">
      <x:c r="A211" s="34" t="str"/>
      <x:c r="B211" s="43"/>
      <x:c r="C211" s="34" t="str"/>
      <x:c r="D211" s="35" t="str">
        <x:f>IF(C211="Comprar",COUNTIF($C$6:C211,"Comprar"),"")</x:f>
      </x:c>
    </x:row>
    <x:row r="212">
      <x:c r="A212" s="34" t="str"/>
      <x:c r="B212" s="43"/>
      <x:c r="C212" s="34" t="str"/>
      <x:c r="D212" s="35" t="str">
        <x:f>IF(C212="Comprar",COUNTIF($C$6:C212,"Comprar"),"")</x:f>
      </x:c>
    </x:row>
    <x:row r="213">
      <x:c r="A213" s="34" t="str"/>
      <x:c r="B213" s="43"/>
      <x:c r="C213" s="34" t="str"/>
      <x:c r="D213" s="35" t="str">
        <x:f>IF(C213="Comprar",COUNTIF($C$6:C213,"Comprar"),"")</x:f>
      </x:c>
    </x:row>
    <x:row r="214">
      <x:c r="A214" s="34" t="str"/>
      <x:c r="B214" s="43"/>
      <x:c r="C214" s="34" t="str"/>
      <x:c r="D214" s="35" t="str">
        <x:f>IF(C214="Comprar",COUNTIF($C$6:C214,"Comprar"),"")</x:f>
      </x:c>
    </x:row>
    <x:row r="215">
      <x:c r="A215" s="34" t="str"/>
      <x:c r="B215" s="43"/>
      <x:c r="C215" s="34" t="str"/>
      <x:c r="D215" s="35" t="str">
        <x:f>IF(C215="Comprar",COUNTIF($C$6:C215,"Comprar"),"")</x:f>
      </x:c>
    </x:row>
    <x:row r="216">
      <x:c r="A216" s="34" t="str"/>
      <x:c r="B216" s="43"/>
      <x:c r="C216" s="34" t="str"/>
      <x:c r="D216" s="35" t="str">
        <x:f>IF(C216="Comprar",COUNTIF($C$6:C216,"Comprar"),"")</x:f>
      </x:c>
    </x:row>
    <x:row r="217">
      <x:c r="A217" s="34" t="str"/>
      <x:c r="B217" s="43"/>
      <x:c r="C217" s="34" t="str"/>
      <x:c r="D217" s="35" t="str">
        <x:f>IF(C217="Comprar",COUNTIF($C$6:C217,"Comprar"),"")</x:f>
      </x:c>
    </x:row>
    <x:row r="218">
      <x:c r="A218" s="34" t="str"/>
      <x:c r="B218" s="43"/>
      <x:c r="C218" s="34" t="str"/>
      <x:c r="D218" s="35" t="str">
        <x:f>IF(C218="Comprar",COUNTIF($C$6:C218,"Comprar"),"")</x:f>
      </x:c>
    </x:row>
    <x:row r="219">
      <x:c r="A219" s="34" t="str"/>
      <x:c r="B219" s="43"/>
      <x:c r="C219" s="34" t="str"/>
      <x:c r="D219" s="35" t="str">
        <x:f>IF(C219="Comprar",COUNTIF($C$6:C219,"Comprar"),"")</x:f>
      </x:c>
    </x:row>
    <x:row r="220">
      <x:c r="A220" s="34" t="str"/>
      <x:c r="B220" s="43"/>
      <x:c r="C220" s="34" t="str"/>
      <x:c r="D220" s="35" t="str">
        <x:f>IF(C220="Comprar",COUNTIF($C$6:C220,"Comprar"),"")</x:f>
      </x:c>
    </x:row>
    <x:row r="221">
      <x:c r="A221" s="34" t="str"/>
      <x:c r="B221" s="43"/>
      <x:c r="C221" s="34" t="str"/>
      <x:c r="D221" s="35" t="str">
        <x:f>IF(C221="Comprar",COUNTIF($C$6:C221,"Comprar"),"")</x:f>
      </x:c>
    </x:row>
    <x:row r="222">
      <x:c r="A222" s="34" t="str"/>
      <x:c r="B222" s="43"/>
      <x:c r="C222" s="34" t="str"/>
      <x:c r="D222" s="35" t="str">
        <x:f>IF(C222="Comprar",COUNTIF($C$6:C222,"Comprar"),"")</x:f>
      </x:c>
    </x:row>
    <x:row r="223">
      <x:c r="A223" s="34" t="str"/>
      <x:c r="B223" s="43"/>
      <x:c r="C223" s="34" t="str"/>
      <x:c r="D223" s="35" t="str">
        <x:f>IF(C223="Comprar",COUNTIF($C$6:C223,"Comprar"),"")</x:f>
      </x:c>
    </x:row>
    <x:row r="224">
      <x:c r="A224" s="34" t="str"/>
      <x:c r="B224" s="43"/>
      <x:c r="C224" s="34" t="str"/>
      <x:c r="D224" s="35" t="str">
        <x:f>IF(C224="Comprar",COUNTIF($C$6:C224,"Comprar"),"")</x:f>
      </x:c>
    </x:row>
    <x:row r="225">
      <x:c r="A225" s="34" t="str"/>
      <x:c r="B225" s="43"/>
      <x:c r="C225" s="34" t="str"/>
      <x:c r="D225" s="35" t="str">
        <x:f>IF(C225="Comprar",COUNTIF($C$6:C225,"Comprar"),"")</x:f>
      </x:c>
    </x:row>
    <x:row r="226">
      <x:c r="A226" s="34" t="str"/>
      <x:c r="B226" s="43"/>
      <x:c r="C226" s="34" t="str"/>
      <x:c r="D226" s="35" t="str">
        <x:f>IF(C226="Comprar",COUNTIF($C$6:C226,"Comprar"),"")</x:f>
      </x:c>
    </x:row>
    <x:row r="227">
      <x:c r="A227" s="34" t="str"/>
      <x:c r="B227" s="43"/>
      <x:c r="C227" s="34" t="str"/>
      <x:c r="D227" s="35" t="str">
        <x:f>IF(C227="Comprar",COUNTIF($C$6:C227,"Comprar"),"")</x:f>
      </x:c>
    </x:row>
    <x:row r="228">
      <x:c r="A228" s="34" t="str"/>
      <x:c r="B228" s="43"/>
      <x:c r="C228" s="34" t="str"/>
      <x:c r="D228" s="35" t="str">
        <x:f>IF(C228="Comprar",COUNTIF($C$6:C228,"Comprar"),"")</x:f>
      </x:c>
    </x:row>
    <x:row r="229">
      <x:c r="A229" s="34" t="str"/>
      <x:c r="B229" s="43"/>
      <x:c r="C229" s="34" t="str"/>
      <x:c r="D229" s="35" t="str">
        <x:f>IF(C229="Comprar",COUNTIF($C$6:C229,"Comprar"),"")</x:f>
      </x:c>
    </x:row>
    <x:row r="230">
      <x:c r="A230" s="34" t="str"/>
      <x:c r="B230" s="43"/>
      <x:c r="C230" s="34" t="str"/>
      <x:c r="D230" s="35" t="str">
        <x:f>IF(C230="Comprar",COUNTIF($C$6:C230,"Comprar"),"")</x:f>
      </x:c>
    </x:row>
    <x:row r="231">
      <x:c r="A231" s="34" t="str"/>
      <x:c r="B231" s="43"/>
      <x:c r="C231" s="34" t="str"/>
      <x:c r="D231" s="35" t="str">
        <x:f>IF(C231="Comprar",COUNTIF($C$6:C231,"Comprar"),"")</x:f>
      </x:c>
    </x:row>
    <x:row r="232">
      <x:c r="A232" s="34" t="str"/>
      <x:c r="B232" s="43"/>
      <x:c r="C232" s="34" t="str"/>
      <x:c r="D232" s="35" t="str">
        <x:f>IF(C232="Comprar",COUNTIF($C$6:C232,"Comprar"),"")</x:f>
      </x:c>
    </x:row>
    <x:row r="233">
      <x:c r="A233" s="34" t="str"/>
      <x:c r="B233" s="43"/>
      <x:c r="C233" s="34" t="str"/>
      <x:c r="D233" s="35" t="str">
        <x:f>IF(C233="Comprar",COUNTIF($C$6:C233,"Comprar"),"")</x:f>
      </x:c>
    </x:row>
    <x:row r="234">
      <x:c r="A234" s="34" t="str"/>
      <x:c r="B234" s="43"/>
      <x:c r="C234" s="34" t="str"/>
      <x:c r="D234" s="35" t="str">
        <x:f>IF(C234="Comprar",COUNTIF($C$6:C234,"Comprar"),"")</x:f>
      </x:c>
    </x:row>
    <x:row r="235">
      <x:c r="A235" s="34" t="str"/>
      <x:c r="B235" s="43"/>
      <x:c r="C235" s="34" t="str"/>
      <x:c r="D235" s="35" t="str">
        <x:f>IF(C235="Comprar",COUNTIF($C$6:C235,"Comprar"),"")</x:f>
      </x:c>
    </x:row>
    <x:row r="236">
      <x:c r="A236" s="34" t="str"/>
      <x:c r="B236" s="43"/>
      <x:c r="C236" s="34" t="str"/>
      <x:c r="D236" s="35" t="str">
        <x:f>IF(C236="Comprar",COUNTIF($C$6:C236,"Comprar"),"")</x:f>
      </x:c>
    </x:row>
    <x:row r="237">
      <x:c r="A237" s="34" t="str"/>
      <x:c r="B237" s="43"/>
      <x:c r="C237" s="34" t="str"/>
      <x:c r="D237" s="35" t="str">
        <x:f>IF(C237="Comprar",COUNTIF($C$6:C237,"Comprar"),"")</x:f>
      </x:c>
    </x:row>
    <x:row r="238">
      <x:c r="A238" s="34" t="str"/>
      <x:c r="B238" s="43"/>
      <x:c r="C238" s="34" t="str"/>
      <x:c r="D238" s="35" t="str">
        <x:f>IF(C238="Comprar",COUNTIF($C$6:C238,"Comprar"),"")</x:f>
      </x:c>
    </x:row>
    <x:row r="239">
      <x:c r="A239" s="34" t="str"/>
      <x:c r="B239" s="43"/>
      <x:c r="C239" s="34" t="str"/>
      <x:c r="D239" s="35" t="str">
        <x:f>IF(C239="Comprar",COUNTIF($C$6:C239,"Comprar"),"")</x:f>
      </x:c>
    </x:row>
    <x:row r="240">
      <x:c r="A240" s="34" t="str"/>
      <x:c r="B240" s="43"/>
      <x:c r="C240" s="34" t="str"/>
      <x:c r="D240" s="35" t="str">
        <x:f>IF(C240="Comprar",COUNTIF($C$6:C240,"Comprar"),"")</x:f>
      </x:c>
    </x:row>
    <x:row r="241">
      <x:c r="A241" s="34" t="str"/>
      <x:c r="B241" s="43"/>
      <x:c r="C241" s="34" t="str"/>
      <x:c r="D241" s="35" t="str">
        <x:f>IF(C241="Comprar",COUNTIF($C$6:C241,"Comprar"),"")</x:f>
      </x:c>
    </x:row>
    <x:row r="242">
      <x:c r="A242" s="34" t="str"/>
      <x:c r="B242" s="43"/>
      <x:c r="C242" s="34" t="str"/>
      <x:c r="D242" s="35" t="str">
        <x:f>IF(C242="Comprar",COUNTIF($C$6:C242,"Comprar"),"")</x:f>
      </x:c>
    </x:row>
    <x:row r="243">
      <x:c r="A243" s="34" t="str"/>
      <x:c r="B243" s="43"/>
      <x:c r="C243" s="34" t="str"/>
      <x:c r="D243" s="35" t="str">
        <x:f>IF(C243="Comprar",COUNTIF($C$6:C243,"Comprar"),"")</x:f>
      </x:c>
    </x:row>
    <x:row r="244">
      <x:c r="A244" s="34" t="str"/>
      <x:c r="B244" s="43"/>
      <x:c r="C244" s="34" t="str"/>
      <x:c r="D244" s="35" t="str">
        <x:f>IF(C244="Comprar",COUNTIF($C$6:C244,"Comprar"),"")</x:f>
      </x:c>
    </x:row>
    <x:row r="245">
      <x:c r="A245" s="34" t="str"/>
      <x:c r="B245" s="43"/>
      <x:c r="C245" s="34" t="str"/>
      <x:c r="D245" s="35" t="str">
        <x:f>IF(C245="Comprar",COUNTIF($C$6:C245,"Comprar"),"")</x:f>
      </x:c>
    </x:row>
    <x:row r="246">
      <x:c r="A246" s="34" t="str"/>
      <x:c r="B246" s="43"/>
      <x:c r="C246" s="34" t="str"/>
      <x:c r="D246" s="35" t="str">
        <x:f>IF(C246="Comprar",COUNTIF($C$6:C246,"Comprar"),"")</x:f>
      </x:c>
    </x:row>
    <x:row r="247">
      <x:c r="A247" s="34" t="str"/>
      <x:c r="B247" s="43"/>
      <x:c r="C247" s="34" t="str"/>
      <x:c r="D247" s="35" t="str">
        <x:f>IF(C247="Comprar",COUNTIF($C$6:C247,"Comprar"),"")</x:f>
      </x:c>
    </x:row>
    <x:row r="248">
      <x:c r="A248" s="34" t="str"/>
      <x:c r="B248" s="43"/>
      <x:c r="C248" s="34" t="str"/>
      <x:c r="D248" s="35" t="str">
        <x:f>IF(C248="Comprar",COUNTIF($C$6:C248,"Comprar"),"")</x:f>
      </x:c>
    </x:row>
    <x:row r="249">
      <x:c r="A249" s="34" t="str"/>
      <x:c r="B249" s="43"/>
      <x:c r="C249" s="34" t="str"/>
      <x:c r="D249" s="35" t="str">
        <x:f>IF(C249="Comprar",COUNTIF($C$6:C249,"Comprar"),"")</x:f>
      </x:c>
    </x:row>
    <x:row r="250">
      <x:c r="A250" s="34" t="str"/>
      <x:c r="B250" s="43"/>
      <x:c r="C250" s="34" t="str"/>
      <x:c r="D250" s="35" t="str">
        <x:f>IF(C250="Comprar",COUNTIF($C$6:C250,"Comprar"),"")</x:f>
      </x:c>
    </x:row>
    <x:row r="251">
      <x:c r="A251" s="34" t="str"/>
      <x:c r="B251" s="43"/>
      <x:c r="C251" s="34" t="str"/>
      <x:c r="D251" s="35" t="str">
        <x:f>IF(C251="Comprar",COUNTIF($C$6:C251,"Comprar"),"")</x:f>
      </x:c>
    </x:row>
    <x:row r="252">
      <x:c r="A252" s="34" t="str"/>
      <x:c r="B252" s="43"/>
      <x:c r="C252" s="34" t="str"/>
      <x:c r="D252" s="35" t="str">
        <x:f>IF(C252="Comprar",COUNTIF($C$6:C252,"Comprar"),"")</x:f>
      </x:c>
    </x:row>
    <x:row r="253">
      <x:c r="A253" s="34" t="str"/>
      <x:c r="B253" s="43"/>
      <x:c r="C253" s="34" t="str"/>
      <x:c r="D253" s="35" t="str">
        <x:f>IF(C253="Comprar",COUNTIF($C$6:C253,"Comprar"),"")</x:f>
      </x:c>
    </x:row>
    <x:row r="254">
      <x:c r="A254" s="34" t="str"/>
      <x:c r="B254" s="43"/>
      <x:c r="C254" s="34" t="str"/>
      <x:c r="D254" s="35" t="str">
        <x:f>IF(C254="Comprar",COUNTIF($C$6:C254,"Comprar"),"")</x:f>
      </x:c>
    </x:row>
    <x:row r="255">
      <x:c r="A255" s="34" t="str"/>
      <x:c r="B255" s="43"/>
      <x:c r="C255" s="34" t="str"/>
      <x:c r="D255" s="35" t="str">
        <x:f>IF(C255="Comprar",COUNTIF($C$6:C255,"Comprar"),"")</x:f>
      </x:c>
    </x:row>
    <x:row r="256">
      <x:c r="A256" s="34" t="str"/>
      <x:c r="B256" s="43"/>
      <x:c r="C256" s="34" t="str"/>
      <x:c r="D256" s="35" t="str">
        <x:f>IF(C256="Comprar",COUNTIF($C$6:C256,"Comprar"),"")</x:f>
      </x:c>
    </x:row>
    <x:row r="257">
      <x:c r="A257" s="34" t="str"/>
      <x:c r="B257" s="43"/>
      <x:c r="C257" s="34" t="str"/>
      <x:c r="D257" s="35" t="str">
        <x:f>IF(C257="Comprar",COUNTIF($C$6:C257,"Comprar"),"")</x:f>
      </x:c>
    </x:row>
    <x:row r="258">
      <x:c r="A258" s="34" t="str"/>
      <x:c r="B258" s="43"/>
      <x:c r="C258" s="34" t="str"/>
      <x:c r="D258" s="35" t="str">
        <x:f>IF(C258="Comprar",COUNTIF($C$6:C258,"Comprar"),"")</x:f>
      </x:c>
    </x:row>
    <x:row r="259">
      <x:c r="A259" s="34" t="str"/>
      <x:c r="B259" s="43"/>
      <x:c r="C259" s="34" t="str"/>
      <x:c r="D259" s="35" t="str">
        <x:f>IF(C259="Comprar",COUNTIF($C$6:C259,"Comprar"),"")</x:f>
      </x:c>
    </x:row>
    <x:row r="260">
      <x:c r="A260" s="34" t="str"/>
      <x:c r="B260" s="43"/>
      <x:c r="C260" s="34" t="str"/>
      <x:c r="D260" s="35" t="str">
        <x:f>IF(C260="Comprar",COUNTIF($C$6:C260,"Comprar"),"")</x:f>
      </x:c>
    </x:row>
    <x:row r="261">
      <x:c r="A261" s="34" t="str"/>
      <x:c r="B261" s="43"/>
      <x:c r="C261" s="34" t="str"/>
      <x:c r="D261" s="35" t="str">
        <x:f>IF(C261="Comprar",COUNTIF($C$6:C261,"Comprar"),"")</x:f>
      </x:c>
    </x:row>
    <x:row r="262">
      <x:c r="A262" s="34" t="str"/>
      <x:c r="B262" s="43"/>
      <x:c r="C262" s="34" t="str"/>
      <x:c r="D262" s="35" t="str">
        <x:f>IF(C262="Comprar",COUNTIF($C$6:C262,"Comprar"),"")</x:f>
      </x:c>
    </x:row>
    <x:row r="263">
      <x:c r="A263" s="34" t="str"/>
      <x:c r="B263" s="43"/>
      <x:c r="C263" s="34" t="str"/>
      <x:c r="D263" s="35" t="str">
        <x:f>IF(C263="Comprar",COUNTIF($C$6:C263,"Comprar"),"")</x:f>
      </x:c>
    </x:row>
    <x:row r="264">
      <x:c r="A264" s="34" t="str"/>
      <x:c r="B264" s="43"/>
      <x:c r="C264" s="34" t="str"/>
      <x:c r="D264" s="35" t="str">
        <x:f>IF(C264="Comprar",COUNTIF($C$6:C264,"Comprar"),"")</x:f>
      </x:c>
    </x:row>
    <x:row r="265">
      <x:c r="A265" s="34" t="str"/>
      <x:c r="B265" s="43"/>
      <x:c r="C265" s="34" t="str"/>
      <x:c r="D265" s="35" t="str">
        <x:f>IF(C265="Comprar",COUNTIF($C$6:C265,"Comprar"),"")</x:f>
      </x:c>
    </x:row>
    <x:row r="266">
      <x:c r="A266" s="34" t="str"/>
      <x:c r="B266" s="43"/>
      <x:c r="C266" s="34" t="str"/>
      <x:c r="D266" s="35" t="str">
        <x:f>IF(C266="Comprar",COUNTIF($C$6:C266,"Comprar"),"")</x:f>
      </x:c>
    </x:row>
    <x:row r="267">
      <x:c r="A267" s="34" t="str"/>
      <x:c r="B267" s="43"/>
      <x:c r="C267" s="34" t="str"/>
      <x:c r="D267" s="35" t="str">
        <x:f>IF(C267="Comprar",COUNTIF($C$6:C267,"Comprar"),"")</x:f>
      </x:c>
    </x:row>
    <x:row r="268">
      <x:c r="A268" s="34" t="str"/>
      <x:c r="B268" s="43"/>
      <x:c r="C268" s="34" t="str"/>
      <x:c r="D268" s="35" t="str">
        <x:f>IF(C268="Comprar",COUNTIF($C$6:C268,"Comprar"),"")</x:f>
      </x:c>
    </x:row>
    <x:row r="269">
      <x:c r="A269" s="34" t="str"/>
      <x:c r="B269" s="43"/>
      <x:c r="C269" s="34" t="str"/>
      <x:c r="D269" s="35" t="str">
        <x:f>IF(C269="Comprar",COUNTIF($C$6:C269,"Comprar"),"")</x:f>
      </x:c>
    </x:row>
    <x:row r="270">
      <x:c r="A270" s="34" t="str"/>
      <x:c r="B270" s="43"/>
      <x:c r="C270" s="34" t="str"/>
      <x:c r="D270" s="35" t="str">
        <x:f>IF(C270="Comprar",COUNTIF($C$6:C270,"Comprar"),"")</x:f>
      </x:c>
    </x:row>
    <x:row r="271">
      <x:c r="A271" s="34" t="str"/>
      <x:c r="B271" s="43"/>
      <x:c r="C271" s="34" t="str"/>
      <x:c r="D271" s="35" t="str">
        <x:f>IF(C271="Comprar",COUNTIF($C$6:C271,"Comprar"),"")</x:f>
      </x:c>
    </x:row>
    <x:row r="272">
      <x:c r="A272" s="34" t="str"/>
      <x:c r="B272" s="43"/>
      <x:c r="C272" s="34" t="str"/>
      <x:c r="D272" s="35" t="str">
        <x:f>IF(C272="Comprar",COUNTIF($C$6:C272,"Comprar"),"")</x:f>
      </x:c>
    </x:row>
    <x:row r="273">
      <x:c r="A273" s="34" t="str"/>
      <x:c r="B273" s="43"/>
      <x:c r="C273" s="34" t="str"/>
      <x:c r="D273" s="35" t="str">
        <x:f>IF(C273="Comprar",COUNTIF($C$6:C273,"Comprar"),"")</x:f>
      </x:c>
    </x:row>
    <x:row r="274">
      <x:c r="A274" s="34" t="str"/>
      <x:c r="B274" s="43"/>
      <x:c r="C274" s="34" t="str"/>
      <x:c r="D274" s="35" t="str">
        <x:f>IF(C274="Comprar",COUNTIF($C$6:C274,"Comprar"),"")</x:f>
      </x:c>
    </x:row>
    <x:row r="275">
      <x:c r="A275" s="34" t="str"/>
      <x:c r="B275" s="43"/>
      <x:c r="C275" s="34" t="str"/>
      <x:c r="D275" s="35" t="str">
        <x:f>IF(C275="Comprar",COUNTIF($C$6:C275,"Comprar"),"")</x:f>
      </x:c>
    </x:row>
    <x:row r="276">
      <x:c r="A276" s="34" t="str"/>
      <x:c r="B276" s="43"/>
      <x:c r="C276" s="34" t="str"/>
      <x:c r="D276" s="35" t="str">
        <x:f>IF(C276="Comprar",COUNTIF($C$6:C276,"Comprar"),"")</x:f>
      </x:c>
    </x:row>
    <x:row r="277">
      <x:c r="A277" s="34" t="str"/>
      <x:c r="B277" s="43"/>
      <x:c r="C277" s="34" t="str"/>
      <x:c r="D277" s="35" t="str">
        <x:f>IF(C277="Comprar",COUNTIF($C$6:C277,"Comprar"),"")</x:f>
      </x:c>
    </x:row>
    <x:row r="278">
      <x:c r="A278" s="34" t="str"/>
      <x:c r="B278" s="43"/>
      <x:c r="C278" s="34" t="str"/>
      <x:c r="D278" s="35" t="str">
        <x:f>IF(C278="Comprar",COUNTIF($C$6:C278,"Comprar"),"")</x:f>
      </x:c>
    </x:row>
    <x:row r="279">
      <x:c r="A279" s="34" t="str"/>
      <x:c r="B279" s="43"/>
      <x:c r="C279" s="34" t="str"/>
      <x:c r="D279" s="35" t="str">
        <x:f>IF(C279="Comprar",COUNTIF($C$6:C279,"Comprar"),"")</x:f>
      </x:c>
    </x:row>
    <x:row r="280">
      <x:c r="A280" s="34" t="str"/>
      <x:c r="B280" s="43"/>
      <x:c r="C280" s="34" t="str"/>
      <x:c r="D280" s="35" t="str">
        <x:f>IF(C280="Comprar",COUNTIF($C$6:C280,"Comprar"),"")</x:f>
      </x:c>
    </x:row>
    <x:row r="281">
      <x:c r="A281" s="34" t="str"/>
      <x:c r="B281" s="43"/>
      <x:c r="C281" s="34" t="str"/>
      <x:c r="D281" s="35" t="str">
        <x:f>IF(C281="Comprar",COUNTIF($C$6:C281,"Comprar"),"")</x:f>
      </x:c>
    </x:row>
    <x:row r="282">
      <x:c r="A282" s="34" t="str"/>
      <x:c r="B282" s="43"/>
      <x:c r="C282" s="34" t="str"/>
      <x:c r="D282" s="35" t="str">
        <x:f>IF(C282="Comprar",COUNTIF($C$6:C282,"Comprar"),"")</x:f>
      </x:c>
    </x:row>
    <x:row r="283">
      <x:c r="A283" s="34" t="str"/>
      <x:c r="B283" s="43"/>
      <x:c r="C283" s="34" t="str"/>
      <x:c r="D283" s="35" t="str">
        <x:f>IF(C283="Comprar",COUNTIF($C$6:C283,"Comprar"),"")</x:f>
      </x:c>
    </x:row>
    <x:row r="284">
      <x:c r="A284" s="34" t="str"/>
      <x:c r="B284" s="43"/>
      <x:c r="C284" s="34" t="str"/>
      <x:c r="D284" s="35" t="str">
        <x:f>IF(C284="Comprar",COUNTIF($C$6:C284,"Comprar"),"")</x:f>
      </x:c>
    </x:row>
    <x:row r="285">
      <x:c r="A285" s="34" t="str"/>
      <x:c r="B285" s="43"/>
      <x:c r="C285" s="34" t="str"/>
      <x:c r="D285" s="35" t="str">
        <x:f>IF(C285="Comprar",COUNTIF($C$6:C285,"Comprar"),"")</x:f>
      </x:c>
    </x:row>
    <x:row r="286">
      <x:c r="A286" s="34" t="str"/>
      <x:c r="B286" s="43"/>
      <x:c r="C286" s="34" t="str"/>
      <x:c r="D286" s="35" t="str">
        <x:f>IF(C286="Comprar",COUNTIF($C$6:C286,"Comprar"),"")</x:f>
      </x:c>
    </x:row>
    <x:row r="287">
      <x:c r="A287" s="34" t="str"/>
      <x:c r="B287" s="43"/>
      <x:c r="C287" s="34" t="str"/>
      <x:c r="D287" s="35" t="str">
        <x:f>IF(C287="Comprar",COUNTIF($C$6:C287,"Comprar"),"")</x:f>
      </x:c>
    </x:row>
    <x:row r="288">
      <x:c r="A288" s="34" t="str"/>
      <x:c r="B288" s="43"/>
      <x:c r="C288" s="34" t="str"/>
      <x:c r="D288" s="35" t="str">
        <x:f>IF(C288="Comprar",COUNTIF($C$6:C288,"Comprar"),"")</x:f>
      </x:c>
    </x:row>
    <x:row r="289">
      <x:c r="A289" s="34" t="str"/>
      <x:c r="B289" s="43"/>
      <x:c r="C289" s="34" t="str"/>
      <x:c r="D289" s="35" t="str">
        <x:f>IF(C289="Comprar",COUNTIF($C$6:C289,"Comprar"),"")</x:f>
      </x:c>
    </x:row>
    <x:row r="290">
      <x:c r="A290" s="34" t="str"/>
      <x:c r="B290" s="43"/>
      <x:c r="C290" s="34" t="str"/>
      <x:c r="D290" s="35" t="str">
        <x:f>IF(C290="Comprar",COUNTIF($C$6:C290,"Comprar"),"")</x:f>
      </x:c>
    </x:row>
    <x:row r="291">
      <x:c r="A291" s="34" t="str"/>
      <x:c r="B291" s="43"/>
      <x:c r="C291" s="34" t="str"/>
      <x:c r="D291" s="35" t="str">
        <x:f>IF(C291="Comprar",COUNTIF($C$6:C291,"Comprar"),"")</x:f>
      </x:c>
    </x:row>
    <x:row r="292">
      <x:c r="A292" s="34" t="str"/>
      <x:c r="B292" s="43"/>
      <x:c r="C292" s="34" t="str"/>
      <x:c r="D292" s="35" t="str">
        <x:f>IF(C292="Comprar",COUNTIF($C$6:C292,"Comprar"),"")</x:f>
      </x:c>
    </x:row>
    <x:row r="293">
      <x:c r="A293" s="34" t="str"/>
      <x:c r="B293" s="43"/>
      <x:c r="C293" s="34" t="str"/>
      <x:c r="D293" s="35" t="str">
        <x:f>IF(C293="Comprar",COUNTIF($C$6:C293,"Comprar"),"")</x:f>
      </x:c>
    </x:row>
    <x:row r="294">
      <x:c r="A294" s="34" t="str"/>
      <x:c r="B294" s="43"/>
      <x:c r="C294" s="34" t="str"/>
      <x:c r="D294" s="35" t="str">
        <x:f>IF(C294="Comprar",COUNTIF($C$6:C294,"Comprar"),"")</x:f>
      </x:c>
    </x:row>
    <x:row r="295">
      <x:c r="A295" s="34" t="str"/>
      <x:c r="B295" s="43"/>
      <x:c r="C295" s="34" t="str"/>
      <x:c r="D295" s="35" t="str">
        <x:f>IF(C295="Comprar",COUNTIF($C$6:C295,"Comprar"),"")</x:f>
      </x:c>
    </x:row>
    <x:row r="296">
      <x:c r="A296" s="34" t="str"/>
      <x:c r="B296" s="43"/>
      <x:c r="C296" s="34" t="str"/>
      <x:c r="D296" s="35" t="str">
        <x:f>IF(C296="Comprar",COUNTIF($C$6:C296,"Comprar"),"")</x:f>
      </x:c>
    </x:row>
    <x:row r="297">
      <x:c r="A297" s="34" t="str"/>
      <x:c r="B297" s="43"/>
      <x:c r="C297" s="34" t="str"/>
      <x:c r="D297" s="35" t="str">
        <x:f>IF(C297="Comprar",COUNTIF($C$6:C297,"Comprar"),"")</x:f>
      </x:c>
    </x:row>
    <x:row r="298">
      <x:c r="A298" s="34" t="str"/>
      <x:c r="B298" s="43"/>
      <x:c r="C298" s="34" t="str"/>
      <x:c r="D298" s="35" t="str">
        <x:f>IF(C298="Comprar",COUNTIF($C$6:C298,"Comprar"),"")</x:f>
      </x:c>
    </x:row>
    <x:row r="299">
      <x:c r="A299" s="34" t="str"/>
      <x:c r="B299" s="43"/>
      <x:c r="C299" s="34" t="str"/>
      <x:c r="D299" s="35" t="str">
        <x:f>IF(C299="Comprar",COUNTIF($C$6:C299,"Comprar"),"")</x:f>
      </x:c>
    </x:row>
    <x:row r="300">
      <x:c r="A300" s="34" t="str"/>
      <x:c r="B300" s="43"/>
      <x:c r="C300" s="34" t="str"/>
      <x:c r="D300" s="35" t="str">
        <x:f>IF(C300="Comprar",COUNTIF($C$6:C300,"Comprar"),"")</x:f>
      </x:c>
    </x:row>
    <x:row r="301">
      <x:c r="A301" s="34" t="str"/>
      <x:c r="B301" s="43"/>
      <x:c r="C301" s="34" t="str"/>
      <x:c r="D301" s="35" t="str">
        <x:f>IF(C301="Comprar",COUNTIF($C$6:C301,"Comprar"),"")</x:f>
      </x:c>
    </x:row>
    <x:row r="302">
      <x:c r="A302" s="34" t="str"/>
      <x:c r="B302" s="43"/>
      <x:c r="C302" s="34" t="str"/>
      <x:c r="D302" s="35" t="str">
        <x:f>IF(C302="Comprar",COUNTIF($C$6:C302,"Comprar"),"")</x:f>
      </x:c>
    </x:row>
    <x:row r="303">
      <x:c r="A303" s="34" t="str"/>
      <x:c r="B303" s="43"/>
      <x:c r="C303" s="34" t="str"/>
      <x:c r="D303" s="35" t="str">
        <x:f>IF(C303="Comprar",COUNTIF($C$6:C303,"Comprar"),"")</x:f>
      </x:c>
    </x:row>
    <x:row r="304">
      <x:c r="A304" s="34" t="str"/>
      <x:c r="B304" s="43"/>
      <x:c r="C304" s="34" t="str"/>
      <x:c r="D304" s="35" t="str">
        <x:f>IF(C304="Comprar",COUNTIF($C$6:C304,"Comprar"),"")</x:f>
      </x:c>
    </x:row>
    <x:row r="305">
      <x:c r="A305" s="34" t="str"/>
      <x:c r="B305" s="43"/>
      <x:c r="C305" s="34" t="str"/>
      <x:c r="D305" s="35" t="str">
        <x:f>IF(C305="Comprar",COUNTIF($C$6:C305,"Comprar"),"")</x:f>
      </x:c>
    </x:row>
    <x:row r="306">
      <x:c r="A306" s="34" t="str"/>
      <x:c r="B306" s="43"/>
      <x:c r="C306" s="34" t="str"/>
      <x:c r="D306" s="35" t="str">
        <x:f>IF(C306="Comprar",COUNTIF($C$6:C306,"Comprar"),"")</x:f>
      </x:c>
    </x:row>
    <x:row r="307">
      <x:c r="A307" s="34" t="str"/>
      <x:c r="B307" s="43"/>
      <x:c r="C307" s="34" t="str"/>
      <x:c r="D307" s="35" t="str">
        <x:f>IF(C307="Comprar",COUNTIF($C$6:C307,"Comprar"),"")</x:f>
      </x:c>
    </x:row>
    <x:row r="308">
      <x:c r="A308" s="34" t="str"/>
      <x:c r="B308" s="43"/>
      <x:c r="C308" s="34" t="str"/>
      <x:c r="D308" s="35" t="str">
        <x:f>IF(C308="Comprar",COUNTIF($C$6:C308,"Comprar"),"")</x:f>
      </x:c>
    </x:row>
    <x:row r="309">
      <x:c r="A309" s="34" t="str"/>
      <x:c r="B309" s="43"/>
      <x:c r="C309" s="34" t="str"/>
      <x:c r="D309" s="35" t="str">
        <x:f>IF(C309="Comprar",COUNTIF($C$6:C309,"Comprar"),"")</x:f>
      </x:c>
    </x:row>
    <x:row r="310">
      <x:c r="A310" s="34" t="str"/>
      <x:c r="B310" s="43"/>
      <x:c r="C310" s="34" t="str"/>
      <x:c r="D310" s="35" t="str">
        <x:f>IF(C310="Comprar",COUNTIF($C$6:C310,"Comprar"),"")</x:f>
      </x:c>
    </x:row>
    <x:row r="311">
      <x:c r="A311" s="34" t="str"/>
      <x:c r="B311" s="43"/>
      <x:c r="C311" s="34" t="str"/>
      <x:c r="D311" s="35" t="str">
        <x:f>IF(C311="Comprar",COUNTIF($C$6:C311,"Comprar"),"")</x:f>
      </x:c>
    </x:row>
    <x:row r="312">
      <x:c r="A312" s="34" t="str"/>
      <x:c r="B312" s="43"/>
      <x:c r="C312" s="34" t="str"/>
      <x:c r="D312" s="35" t="str">
        <x:f>IF(C312="Comprar",COUNTIF($C$6:C312,"Comprar"),"")</x:f>
      </x:c>
    </x:row>
    <x:row r="313">
      <x:c r="A313" s="34" t="str"/>
      <x:c r="B313" s="43"/>
      <x:c r="C313" s="34" t="str"/>
      <x:c r="D313" s="35" t="str">
        <x:f>IF(C313="Comprar",COUNTIF($C$6:C313,"Comprar"),"")</x:f>
      </x:c>
    </x:row>
    <x:row r="314">
      <x:c r="A314" s="34" t="str"/>
      <x:c r="B314" s="43"/>
      <x:c r="C314" s="34" t="str"/>
      <x:c r="D314" s="35" t="str">
        <x:f>IF(C314="Comprar",COUNTIF($C$6:C314,"Comprar"),"")</x:f>
      </x:c>
    </x:row>
    <x:row r="315">
      <x:c r="A315" s="34" t="str"/>
      <x:c r="B315" s="43"/>
      <x:c r="C315" s="34" t="str"/>
      <x:c r="D315" s="35" t="str">
        <x:f>IF(C315="Comprar",COUNTIF($C$6:C315,"Comprar"),"")</x:f>
      </x:c>
    </x:row>
    <x:row r="316">
      <x:c r="A316" s="34" t="str"/>
      <x:c r="B316" s="43"/>
      <x:c r="C316" s="34" t="str"/>
      <x:c r="D316" s="35" t="str">
        <x:f>IF(C316="Comprar",COUNTIF($C$6:C316,"Comprar"),"")</x:f>
      </x:c>
    </x:row>
    <x:row r="317">
      <x:c r="A317" s="34" t="str"/>
      <x:c r="B317" s="43"/>
      <x:c r="C317" s="34" t="str"/>
      <x:c r="D317" s="35" t="str">
        <x:f>IF(C317="Comprar",COUNTIF($C$6:C317,"Comprar"),"")</x:f>
      </x:c>
    </x:row>
    <x:row r="318">
      <x:c r="A318" s="34" t="str"/>
      <x:c r="B318" s="43"/>
      <x:c r="C318" s="34" t="str"/>
      <x:c r="D318" s="35" t="str">
        <x:f>IF(C318="Comprar",COUNTIF($C$6:C318,"Comprar"),"")</x:f>
      </x:c>
    </x:row>
    <x:row r="319">
      <x:c r="A319" s="34" t="str"/>
      <x:c r="B319" s="43"/>
      <x:c r="C319" s="34" t="str"/>
      <x:c r="D319" s="35" t="str">
        <x:f>IF(C319="Comprar",COUNTIF($C$6:C319,"Comprar"),"")</x:f>
      </x:c>
    </x:row>
    <x:row r="320">
      <x:c r="A320" s="34" t="str"/>
      <x:c r="B320" s="43"/>
      <x:c r="C320" s="34" t="str"/>
      <x:c r="D320" s="35" t="str">
        <x:f>IF(C320="Comprar",COUNTIF($C$6:C320,"Comprar"),"")</x:f>
      </x:c>
    </x:row>
    <x:row r="321">
      <x:c r="A321" s="34" t="str"/>
      <x:c r="B321" s="43"/>
      <x:c r="C321" s="34" t="str"/>
      <x:c r="D321" s="35" t="str">
        <x:f>IF(C321="Comprar",COUNTIF($C$6:C321,"Comprar"),"")</x:f>
      </x:c>
    </x:row>
    <x:row r="322">
      <x:c r="A322" s="34" t="str"/>
      <x:c r="B322" s="43"/>
      <x:c r="C322" s="34" t="str"/>
      <x:c r="D322" s="35" t="str">
        <x:f>IF(C322="Comprar",COUNTIF($C$6:C322,"Comprar"),"")</x:f>
      </x:c>
    </x:row>
    <x:row r="323">
      <x:c r="A323" s="34" t="str"/>
      <x:c r="B323" s="43"/>
      <x:c r="C323" s="34" t="str"/>
      <x:c r="D323" s="35" t="str">
        <x:f>IF(C323="Comprar",COUNTIF($C$6:C323,"Comprar"),"")</x:f>
      </x:c>
    </x:row>
    <x:row r="324">
      <x:c r="A324" s="34" t="str"/>
      <x:c r="B324" s="43"/>
      <x:c r="C324" s="34" t="str"/>
      <x:c r="D324" s="35" t="str">
        <x:f>IF(C324="Comprar",COUNTIF($C$6:C324,"Comprar"),"")</x:f>
      </x:c>
    </x:row>
    <x:row r="325">
      <x:c r="A325" s="34" t="str"/>
      <x:c r="B325" s="43"/>
      <x:c r="C325" s="34" t="str"/>
      <x:c r="D325" s="35" t="str">
        <x:f>IF(C325="Comprar",COUNTIF($C$6:C325,"Comprar"),"")</x:f>
      </x:c>
    </x:row>
    <x:row r="326">
      <x:c r="A326" s="34" t="str"/>
      <x:c r="B326" s="43"/>
      <x:c r="C326" s="34" t="str"/>
      <x:c r="D326" s="35" t="str">
        <x:f>IF(C326="Comprar",COUNTIF($C$6:C326,"Comprar"),"")</x:f>
      </x:c>
    </x:row>
    <x:row r="327">
      <x:c r="A327" s="34" t="str"/>
      <x:c r="B327" s="43"/>
      <x:c r="C327" s="34" t="str"/>
      <x:c r="D327" s="35" t="str">
        <x:f>IF(C327="Comprar",COUNTIF($C$6:C327,"Comprar"),"")</x:f>
      </x:c>
    </x:row>
    <x:row r="328">
      <x:c r="A328" s="34" t="str"/>
      <x:c r="B328" s="43"/>
      <x:c r="C328" s="34" t="str"/>
      <x:c r="D328" s="35" t="str">
        <x:f>IF(C328="Comprar",COUNTIF($C$6:C328,"Comprar"),"")</x:f>
      </x:c>
    </x:row>
    <x:row r="329">
      <x:c r="A329" s="34" t="str"/>
      <x:c r="B329" s="43"/>
      <x:c r="C329" s="34" t="str"/>
      <x:c r="D329" s="35" t="str">
        <x:f>IF(C329="Comprar",COUNTIF($C$6:C329,"Comprar"),"")</x:f>
      </x:c>
    </x:row>
    <x:row r="330">
      <x:c r="A330" s="34" t="str"/>
      <x:c r="B330" s="43"/>
      <x:c r="C330" s="34" t="str"/>
      <x:c r="D330" s="35" t="str">
        <x:f>IF(C330="Comprar",COUNTIF($C$6:C330,"Comprar"),"")</x:f>
      </x:c>
    </x:row>
    <x:row r="331">
      <x:c r="A331" s="34" t="str"/>
      <x:c r="B331" s="43"/>
      <x:c r="C331" s="34" t="str"/>
      <x:c r="D331" s="35" t="str">
        <x:f>IF(C331="Comprar",COUNTIF($C$6:C331,"Comprar"),"")</x:f>
      </x:c>
    </x:row>
    <x:row r="332">
      <x:c r="A332" s="34" t="str"/>
      <x:c r="B332" s="43"/>
      <x:c r="C332" s="34" t="str"/>
      <x:c r="D332" s="35" t="str">
        <x:f>IF(C332="Comprar",COUNTIF($C$6:C332,"Comprar"),"")</x:f>
      </x:c>
    </x:row>
    <x:row r="333">
      <x:c r="A333" s="34" t="str"/>
      <x:c r="B333" s="43"/>
      <x:c r="C333" s="34" t="str"/>
      <x:c r="D333" s="35" t="str">
        <x:f>IF(C333="Comprar",COUNTIF($C$6:C333,"Comprar"),"")</x:f>
      </x:c>
    </x:row>
    <x:row r="334">
      <x:c r="A334" s="34" t="str"/>
      <x:c r="B334" s="43"/>
      <x:c r="C334" s="34" t="str"/>
      <x:c r="D334" s="35" t="str">
        <x:f>IF(C334="Comprar",COUNTIF($C$6:C334,"Comprar"),"")</x:f>
      </x:c>
    </x:row>
    <x:row r="335">
      <x:c r="A335" s="34" t="str"/>
      <x:c r="B335" s="43"/>
      <x:c r="C335" s="34" t="str"/>
      <x:c r="D335" s="35" t="str">
        <x:f>IF(C335="Comprar",COUNTIF($C$6:C335,"Comprar"),"")</x:f>
      </x:c>
    </x:row>
    <x:row r="336">
      <x:c r="A336" s="34" t="str"/>
      <x:c r="B336" s="43"/>
      <x:c r="C336" s="34" t="str"/>
      <x:c r="D336" s="35" t="str">
        <x:f>IF(C336="Comprar",COUNTIF($C$6:C336,"Comprar"),"")</x:f>
      </x:c>
    </x:row>
    <x:row r="337">
      <x:c r="A337" s="34" t="str"/>
      <x:c r="B337" s="43"/>
      <x:c r="C337" s="34" t="str"/>
      <x:c r="D337" s="35" t="str">
        <x:f>IF(C337="Comprar",COUNTIF($C$6:C337,"Comprar"),"")</x:f>
      </x:c>
    </x:row>
    <x:row r="338">
      <x:c r="A338" s="34" t="str"/>
      <x:c r="B338" s="43"/>
      <x:c r="C338" s="34" t="str"/>
      <x:c r="D338" s="35" t="str">
        <x:f>IF(C338="Comprar",COUNTIF($C$6:C338,"Comprar"),"")</x:f>
      </x:c>
    </x:row>
    <x:row r="339">
      <x:c r="A339" s="34" t="str"/>
      <x:c r="B339" s="43"/>
      <x:c r="C339" s="34" t="str"/>
      <x:c r="D339" s="35" t="str">
        <x:f>IF(C339="Comprar",COUNTIF($C$6:C339,"Comprar"),"")</x:f>
      </x:c>
    </x:row>
    <x:row r="340">
      <x:c r="A340" s="34" t="str"/>
      <x:c r="B340" s="43"/>
      <x:c r="C340" s="34" t="str"/>
      <x:c r="D340" s="35" t="str">
        <x:f>IF(C340="Comprar",COUNTIF($C$6:C340,"Comprar"),"")</x:f>
      </x:c>
    </x:row>
    <x:row r="341">
      <x:c r="A341" s="34" t="str"/>
      <x:c r="B341" s="43"/>
      <x:c r="C341" s="34" t="str"/>
      <x:c r="D341" s="35" t="str">
        <x:f>IF(C341="Comprar",COUNTIF($C$6:C341,"Comprar"),"")</x:f>
      </x:c>
    </x:row>
    <x:row r="342">
      <x:c r="A342" s="34" t="str"/>
      <x:c r="B342" s="43"/>
      <x:c r="C342" s="34" t="str"/>
      <x:c r="D342" s="35" t="str">
        <x:f>IF(C342="Comprar",COUNTIF($C$6:C342,"Comprar"),"")</x:f>
      </x:c>
    </x:row>
    <x:row r="343">
      <x:c r="A343" s="34" t="str"/>
      <x:c r="B343" s="43"/>
      <x:c r="C343" s="34" t="str"/>
      <x:c r="D343" s="35" t="str">
        <x:f>IF(C343="Comprar",COUNTIF($C$6:C343,"Comprar"),"")</x:f>
      </x:c>
    </x:row>
    <x:row r="344">
      <x:c r="A344" s="34" t="str"/>
      <x:c r="B344" s="43"/>
      <x:c r="C344" s="34" t="str"/>
      <x:c r="D344" s="35" t="str">
        <x:f>IF(C344="Comprar",COUNTIF($C$6:C344,"Comprar"),"")</x:f>
      </x:c>
    </x:row>
    <x:row r="345">
      <x:c r="A345" s="34" t="str"/>
      <x:c r="B345" s="43"/>
      <x:c r="C345" s="34" t="str"/>
      <x:c r="D345" s="35" t="str">
        <x:f>IF(C345="Comprar",COUNTIF($C$6:C345,"Comprar"),"")</x:f>
      </x:c>
    </x:row>
    <x:row r="346">
      <x:c r="A346" s="34" t="str"/>
      <x:c r="B346" s="43"/>
      <x:c r="C346" s="34" t="str"/>
      <x:c r="D346" s="35" t="str">
        <x:f>IF(C346="Comprar",COUNTIF($C$6:C346,"Comprar"),"")</x:f>
      </x:c>
    </x:row>
    <x:row r="347">
      <x:c r="A347" s="34" t="str"/>
      <x:c r="B347" s="43"/>
      <x:c r="C347" s="34" t="str"/>
      <x:c r="D347" s="35" t="str">
        <x:f>IF(C347="Comprar",COUNTIF($C$6:C347,"Comprar"),"")</x:f>
      </x:c>
    </x:row>
    <x:row r="348">
      <x:c r="A348" s="34" t="str"/>
      <x:c r="B348" s="43"/>
      <x:c r="C348" s="34" t="str"/>
      <x:c r="D348" s="35" t="str">
        <x:f>IF(C348="Comprar",COUNTIF($C$6:C348,"Comprar"),"")</x:f>
      </x:c>
    </x:row>
    <x:row r="349">
      <x:c r="A349" s="34" t="str"/>
      <x:c r="B349" s="43"/>
      <x:c r="C349" s="34" t="str"/>
      <x:c r="D349" s="35" t="str">
        <x:f>IF(C349="Comprar",COUNTIF($C$6:C349,"Comprar"),"")</x:f>
      </x:c>
    </x:row>
    <x:row r="350">
      <x:c r="A350" s="34" t="str"/>
      <x:c r="B350" s="43"/>
      <x:c r="C350" s="34" t="str"/>
      <x:c r="D350" s="35" t="str">
        <x:f>IF(C350="Comprar",COUNTIF($C$6:C350,"Comprar"),"")</x:f>
      </x:c>
    </x:row>
    <x:row r="351">
      <x:c r="A351" s="34" t="str"/>
      <x:c r="B351" s="43"/>
      <x:c r="C351" s="34" t="str"/>
      <x:c r="D351" s="35" t="str">
        <x:f>IF(C351="Comprar",COUNTIF($C$6:C351,"Comprar"),"")</x:f>
      </x:c>
    </x:row>
    <x:row r="352">
      <x:c r="A352" s="34" t="str"/>
      <x:c r="B352" s="43"/>
      <x:c r="C352" s="34" t="str"/>
      <x:c r="D352" s="35" t="str">
        <x:f>IF(C352="Comprar",COUNTIF($C$6:C352,"Comprar"),"")</x:f>
      </x:c>
    </x:row>
    <x:row r="353">
      <x:c r="A353" s="34" t="str"/>
      <x:c r="B353" s="43"/>
      <x:c r="C353" s="34" t="str"/>
      <x:c r="D353" s="35" t="str">
        <x:f>IF(C353="Comprar",COUNTIF($C$6:C353,"Comprar"),"")</x:f>
      </x:c>
    </x:row>
    <x:row r="354">
      <x:c r="A354" s="34" t="str"/>
      <x:c r="B354" s="43"/>
      <x:c r="C354" s="34" t="str"/>
      <x:c r="D354" s="35" t="str">
        <x:f>IF(C354="Comprar",COUNTIF($C$6:C354,"Comprar"),"")</x:f>
      </x:c>
    </x:row>
    <x:row r="355">
      <x:c r="A355" s="34" t="str"/>
      <x:c r="B355" s="43"/>
      <x:c r="C355" s="34" t="str"/>
      <x:c r="D355" s="35" t="str">
        <x:f>IF(C355="Comprar",COUNTIF($C$6:C355,"Comprar"),"")</x:f>
      </x:c>
    </x:row>
    <x:row r="356">
      <x:c r="A356" s="34" t="str"/>
      <x:c r="B356" s="43"/>
      <x:c r="C356" s="34" t="str"/>
      <x:c r="D356" s="35" t="str">
        <x:f>IF(C356="Comprar",COUNTIF($C$6:C356,"Comprar"),"")</x:f>
      </x:c>
    </x:row>
    <x:row r="357">
      <x:c r="A357" s="34" t="str"/>
      <x:c r="B357" s="43"/>
      <x:c r="C357" s="34" t="str"/>
      <x:c r="D357" s="35" t="str">
        <x:f>IF(C357="Comprar",COUNTIF($C$6:C357,"Comprar"),"")</x:f>
      </x:c>
    </x:row>
    <x:row r="358">
      <x:c r="A358" s="34" t="str"/>
      <x:c r="B358" s="43"/>
      <x:c r="C358" s="34" t="str"/>
      <x:c r="D358" s="35" t="str">
        <x:f>IF(C358="Comprar",COUNTIF($C$6:C358,"Comprar"),"")</x:f>
      </x:c>
    </x:row>
    <x:row r="359">
      <x:c r="A359" s="34" t="str"/>
      <x:c r="B359" s="43"/>
      <x:c r="C359" s="34" t="str"/>
      <x:c r="D359" s="35" t="str">
        <x:f>IF(C359="Comprar",COUNTIF($C$6:C359,"Comprar"),"")</x:f>
      </x:c>
    </x:row>
    <x:row r="360">
      <x:c r="A360" s="34" t="str"/>
      <x:c r="B360" s="43"/>
      <x:c r="C360" s="34" t="str"/>
      <x:c r="D360" s="35" t="str">
        <x:f>IF(C360="Comprar",COUNTIF($C$6:C360,"Comprar"),"")</x:f>
      </x:c>
    </x:row>
    <x:row r="361">
      <x:c r="A361" s="34" t="str"/>
      <x:c r="B361" s="43"/>
      <x:c r="C361" s="34" t="str"/>
      <x:c r="D361" s="35" t="str">
        <x:f>IF(C361="Comprar",COUNTIF($C$6:C361,"Comprar"),"")</x:f>
      </x:c>
    </x:row>
    <x:row r="362">
      <x:c r="A362" s="34" t="str"/>
      <x:c r="B362" s="43"/>
      <x:c r="C362" s="34" t="str"/>
      <x:c r="D362" s="35" t="str">
        <x:f>IF(C362="Comprar",COUNTIF($C$6:C362,"Comprar"),"")</x:f>
      </x:c>
    </x:row>
    <x:row r="363">
      <x:c r="A363" s="34" t="str"/>
      <x:c r="B363" s="43"/>
      <x:c r="C363" s="34" t="str"/>
      <x:c r="D363" s="35" t="str">
        <x:f>IF(C363="Comprar",COUNTIF($C$6:C363,"Comprar"),"")</x:f>
      </x:c>
    </x:row>
    <x:row r="364">
      <x:c r="A364" s="34" t="str"/>
      <x:c r="B364" s="43"/>
      <x:c r="C364" s="34" t="str"/>
      <x:c r="D364" s="35" t="str">
        <x:f>IF(C364="Comprar",COUNTIF($C$6:C364,"Comprar"),"")</x:f>
      </x:c>
    </x:row>
    <x:row r="365">
      <x:c r="A365" s="34" t="str"/>
      <x:c r="B365" s="43"/>
      <x:c r="C365" s="34" t="str"/>
      <x:c r="D365" s="35" t="str">
        <x:f>IF(C365="Comprar",COUNTIF($C$6:C365,"Comprar"),"")</x:f>
      </x:c>
    </x:row>
    <x:row r="366">
      <x:c r="A366" s="34" t="str"/>
      <x:c r="B366" s="43"/>
      <x:c r="C366" s="34" t="str"/>
      <x:c r="D366" s="35" t="str">
        <x:f>IF(C366="Comprar",COUNTIF($C$6:C366,"Comprar"),"")</x:f>
      </x:c>
    </x:row>
    <x:row r="367">
      <x:c r="A367" s="34" t="str"/>
      <x:c r="B367" s="43"/>
      <x:c r="C367" s="34" t="str"/>
      <x:c r="D367" s="35" t="str">
        <x:f>IF(C367="Comprar",COUNTIF($C$6:C367,"Comprar"),"")</x:f>
      </x:c>
    </x:row>
    <x:row r="368">
      <x:c r="A368" s="34" t="str"/>
      <x:c r="B368" s="43"/>
      <x:c r="C368" s="34" t="str"/>
      <x:c r="D368" s="35" t="str">
        <x:f>IF(C368="Comprar",COUNTIF($C$6:C368,"Comprar"),"")</x:f>
      </x:c>
    </x:row>
    <x:row r="369">
      <x:c r="A369" s="34" t="str"/>
      <x:c r="B369" s="43"/>
      <x:c r="C369" s="34" t="str"/>
      <x:c r="D369" s="35" t="str">
        <x:f>IF(C369="Comprar",COUNTIF($C$6:C369,"Comprar"),"")</x:f>
      </x:c>
    </x:row>
    <x:row r="370">
      <x:c r="A370" s="34" t="str"/>
      <x:c r="B370" s="43"/>
      <x:c r="C370" s="34" t="str"/>
      <x:c r="D370" s="35" t="str">
        <x:f>IF(C370="Comprar",COUNTIF($C$6:C370,"Comprar"),"")</x:f>
      </x:c>
    </x:row>
    <x:row r="371">
      <x:c r="A371" s="34" t="str"/>
      <x:c r="B371" s="43"/>
      <x:c r="C371" s="34" t="str"/>
      <x:c r="D371" s="35" t="str">
        <x:f>IF(C371="Comprar",COUNTIF($C$6:C371,"Comprar"),"")</x:f>
      </x:c>
    </x:row>
    <x:row r="372">
      <x:c r="A372" s="34" t="str"/>
      <x:c r="B372" s="43"/>
      <x:c r="C372" s="34" t="str"/>
      <x:c r="D372" s="35" t="str">
        <x:f>IF(C372="Comprar",COUNTIF($C$6:C372,"Comprar"),"")</x:f>
      </x:c>
    </x:row>
    <x:row r="373">
      <x:c r="A373" s="34" t="str"/>
      <x:c r="B373" s="43"/>
      <x:c r="C373" s="34" t="str"/>
      <x:c r="D373" s="35" t="str">
        <x:f>IF(C373="Comprar",COUNTIF($C$6:C373,"Comprar"),"")</x:f>
      </x:c>
    </x:row>
    <x:row r="374">
      <x:c r="A374" s="34" t="str"/>
      <x:c r="B374" s="43"/>
      <x:c r="C374" s="34" t="str"/>
      <x:c r="D374" s="35" t="str">
        <x:f>IF(C374="Comprar",COUNTIF($C$6:C374,"Comprar"),"")</x:f>
      </x:c>
    </x:row>
    <x:row r="375">
      <x:c r="A375" s="34" t="str"/>
      <x:c r="B375" s="43"/>
      <x:c r="C375" s="34" t="str"/>
      <x:c r="D375" s="35" t="str">
        <x:f>IF(C375="Comprar",COUNTIF($C$6:C375,"Comprar"),"")</x:f>
      </x:c>
    </x:row>
    <x:row r="376">
      <x:c r="A376" s="34" t="str"/>
      <x:c r="B376" s="43"/>
      <x:c r="C376" s="34" t="str"/>
      <x:c r="D376" s="35" t="str">
        <x:f>IF(C376="Comprar",COUNTIF($C$6:C376,"Comprar"),"")</x:f>
      </x:c>
    </x:row>
    <x:row r="377">
      <x:c r="A377" s="34" t="str"/>
      <x:c r="B377" s="43"/>
      <x:c r="C377" s="34" t="str"/>
      <x:c r="D377" s="35" t="str">
        <x:f>IF(C377="Comprar",COUNTIF($C$6:C377,"Comprar"),"")</x:f>
      </x:c>
    </x:row>
    <x:row r="378">
      <x:c r="A378" s="34" t="str"/>
      <x:c r="B378" s="43"/>
      <x:c r="C378" s="34" t="str"/>
      <x:c r="D378" s="35" t="str">
        <x:f>IF(C378="Comprar",COUNTIF($C$6:C378,"Comprar"),"")</x:f>
      </x:c>
    </x:row>
    <x:row r="379">
      <x:c r="A379" s="34" t="str"/>
      <x:c r="B379" s="43"/>
      <x:c r="C379" s="34" t="str"/>
      <x:c r="D379" s="35" t="str">
        <x:f>IF(C379="Comprar",COUNTIF($C$6:C379,"Comprar"),"")</x:f>
      </x:c>
    </x:row>
    <x:row r="380">
      <x:c r="A380" s="34" t="str"/>
      <x:c r="B380" s="43"/>
      <x:c r="C380" s="34" t="str"/>
      <x:c r="D380" s="35" t="str">
        <x:f>IF(C380="Comprar",COUNTIF($C$6:C380,"Comprar"),"")</x:f>
      </x:c>
    </x:row>
    <x:row r="381">
      <x:c r="A381" s="34" t="str"/>
      <x:c r="B381" s="43"/>
      <x:c r="C381" s="34" t="str"/>
      <x:c r="D381" s="35" t="str">
        <x:f>IF(C381="Comprar",COUNTIF($C$6:C381,"Comprar"),"")</x:f>
      </x:c>
    </x:row>
    <x:row r="382">
      <x:c r="A382" s="34" t="str"/>
      <x:c r="B382" s="43"/>
      <x:c r="C382" s="34" t="str"/>
      <x:c r="D382" s="35" t="str">
        <x:f>IF(C382="Comprar",COUNTIF($C$6:C382,"Comprar"),"")</x:f>
      </x:c>
    </x:row>
    <x:row r="383">
      <x:c r="A383" s="34" t="str"/>
      <x:c r="B383" s="43"/>
      <x:c r="C383" s="34" t="str"/>
      <x:c r="D383" s="35" t="str">
        <x:f>IF(C383="Comprar",COUNTIF($C$6:C383,"Comprar"),"")</x:f>
      </x:c>
    </x:row>
    <x:row r="384">
      <x:c r="A384" s="34" t="str"/>
      <x:c r="B384" s="43"/>
      <x:c r="C384" s="34" t="str"/>
      <x:c r="D384" s="35" t="str">
        <x:f>IF(C384="Comprar",COUNTIF($C$6:C384,"Comprar"),"")</x:f>
      </x:c>
    </x:row>
    <x:row r="385">
      <x:c r="A385" s="34" t="str"/>
      <x:c r="B385" s="43"/>
      <x:c r="C385" s="34" t="str"/>
      <x:c r="D385" s="35" t="str">
        <x:f>IF(C385="Comprar",COUNTIF($C$6:C385,"Comprar"),"")</x:f>
      </x:c>
    </x:row>
    <x:row r="386">
      <x:c r="A386" s="34" t="str"/>
      <x:c r="B386" s="43"/>
      <x:c r="C386" s="34" t="str"/>
      <x:c r="D386" s="35" t="str">
        <x:f>IF(C386="Comprar",COUNTIF($C$6:C386,"Comprar"),"")</x:f>
      </x:c>
    </x:row>
    <x:row r="387">
      <x:c r="A387" s="34" t="str"/>
      <x:c r="B387" s="43"/>
      <x:c r="C387" s="34" t="str"/>
      <x:c r="D387" s="35" t="str">
        <x:f>IF(C387="Comprar",COUNTIF($C$6:C387,"Comprar"),"")</x:f>
      </x:c>
    </x:row>
    <x:row r="388">
      <x:c r="A388" s="34" t="str"/>
      <x:c r="B388" s="43"/>
      <x:c r="C388" s="34" t="str"/>
      <x:c r="D388" s="35" t="str">
        <x:f>IF(C388="Comprar",COUNTIF($C$6:C388,"Comprar"),"")</x:f>
      </x:c>
    </x:row>
    <x:row r="389">
      <x:c r="A389" s="34" t="str"/>
      <x:c r="B389" s="43"/>
      <x:c r="C389" s="34" t="str"/>
      <x:c r="D389" s="35" t="str">
        <x:f>IF(C389="Comprar",COUNTIF($C$6:C389,"Comprar"),"")</x:f>
      </x:c>
    </x:row>
    <x:row r="390">
      <x:c r="A390" s="34" t="str"/>
      <x:c r="B390" s="43"/>
      <x:c r="C390" s="34" t="str"/>
      <x:c r="D390" s="35" t="str">
        <x:f>IF(C390="Comprar",COUNTIF($C$6:C390,"Comprar"),"")</x:f>
      </x:c>
    </x:row>
    <x:row r="391">
      <x:c r="A391" s="34" t="str"/>
      <x:c r="B391" s="43"/>
      <x:c r="C391" s="34" t="str"/>
      <x:c r="D391" s="35" t="str">
        <x:f>IF(C391="Comprar",COUNTIF($C$6:C391,"Comprar"),"")</x:f>
      </x:c>
    </x:row>
    <x:row r="392">
      <x:c r="A392" s="34" t="str"/>
      <x:c r="B392" s="43"/>
      <x:c r="C392" s="34" t="str"/>
      <x:c r="D392" s="35" t="str">
        <x:f>IF(C392="Comprar",COUNTIF($C$6:C392,"Comprar"),"")</x:f>
      </x:c>
    </x:row>
    <x:row r="393">
      <x:c r="A393" s="34" t="str"/>
      <x:c r="B393" s="43"/>
      <x:c r="C393" s="34" t="str"/>
      <x:c r="D393" s="35" t="str">
        <x:f>IF(C393="Comprar",COUNTIF($C$6:C393,"Comprar"),"")</x:f>
      </x:c>
    </x:row>
    <x:row r="394">
      <x:c r="A394" s="34" t="str"/>
      <x:c r="B394" s="43"/>
      <x:c r="C394" s="34" t="str"/>
      <x:c r="D394" s="35" t="str">
        <x:f>IF(C394="Comprar",COUNTIF($C$6:C394,"Comprar"),"")</x:f>
      </x:c>
    </x:row>
    <x:row r="395">
      <x:c r="A395" s="34" t="str"/>
      <x:c r="B395" s="43"/>
      <x:c r="C395" s="34" t="str"/>
      <x:c r="D395" s="35" t="str">
        <x:f>IF(C395="Comprar",COUNTIF($C$6:C395,"Comprar"),"")</x:f>
      </x:c>
    </x:row>
    <x:row r="396">
      <x:c r="A396" s="34" t="str"/>
      <x:c r="B396" s="43"/>
      <x:c r="C396" s="34" t="str"/>
      <x:c r="D396" s="35" t="str">
        <x:f>IF(C396="Comprar",COUNTIF($C$6:C396,"Comprar"),"")</x:f>
      </x:c>
    </x:row>
    <x:row r="397">
      <x:c r="A397" s="34" t="str"/>
      <x:c r="B397" s="43"/>
      <x:c r="C397" s="34" t="str"/>
      <x:c r="D397" s="35" t="str">
        <x:f>IF(C397="Comprar",COUNTIF($C$6:C397,"Comprar"),"")</x:f>
      </x:c>
    </x:row>
    <x:row r="398">
      <x:c r="A398" s="34" t="str"/>
      <x:c r="B398" s="43"/>
      <x:c r="C398" s="34" t="str"/>
      <x:c r="D398" s="35" t="str">
        <x:f>IF(C398="Comprar",COUNTIF($C$6:C398,"Comprar"),"")</x:f>
      </x:c>
    </x:row>
    <x:row r="399">
      <x:c r="A399" s="34" t="str"/>
      <x:c r="B399" s="43"/>
      <x:c r="C399" s="34" t="str"/>
      <x:c r="D399" s="35" t="str">
        <x:f>IF(C399="Comprar",COUNTIF($C$6:C399,"Comprar"),"")</x:f>
      </x:c>
    </x:row>
    <x:row r="400">
      <x:c r="A400" s="34" t="str"/>
      <x:c r="B400" s="43"/>
      <x:c r="C400" s="34" t="str"/>
      <x:c r="D400" s="35" t="str">
        <x:f>IF(C400="Comprar",COUNTIF($C$6:C400,"Comprar"),"")</x:f>
      </x:c>
    </x:row>
    <x:row r="401">
      <x:c r="A401" s="34" t="str"/>
      <x:c r="B401" s="43"/>
      <x:c r="C401" s="34" t="str"/>
      <x:c r="D401" s="35" t="str">
        <x:f>IF(C401="Comprar",COUNTIF($C$6:C401,"Comprar"),"")</x:f>
      </x:c>
    </x:row>
    <x:row r="402">
      <x:c r="A402" s="34" t="str"/>
      <x:c r="B402" s="43"/>
      <x:c r="C402" s="34" t="str"/>
      <x:c r="D402" s="35" t="str">
        <x:f>IF(C402="Comprar",COUNTIF($C$6:C402,"Comprar"),"")</x:f>
      </x:c>
    </x:row>
    <x:row r="403">
      <x:c r="A403" s="34" t="str"/>
      <x:c r="B403" s="43"/>
      <x:c r="C403" s="34" t="str"/>
      <x:c r="D403" s="35" t="str">
        <x:f>IF(C403="Comprar",COUNTIF($C$6:C403,"Comprar"),"")</x:f>
      </x:c>
    </x:row>
    <x:row r="404">
      <x:c r="A404" s="34" t="str"/>
      <x:c r="B404" s="43"/>
      <x:c r="C404" s="34" t="str"/>
      <x:c r="D404" s="35" t="str">
        <x:f>IF(C404="Comprar",COUNTIF($C$6:C404,"Comprar"),"")</x:f>
      </x:c>
    </x:row>
    <x:row r="405">
      <x:c r="A405" s="34" t="str"/>
      <x:c r="B405" s="43"/>
      <x:c r="C405" s="34" t="str"/>
      <x:c r="D405" s="35" t="str">
        <x:f>IF(C405="Comprar",COUNTIF($C$6:C405,"Comprar"),"")</x:f>
      </x:c>
    </x:row>
    <x:row r="406">
      <x:c r="A406" s="34" t="str"/>
      <x:c r="B406" s="43"/>
      <x:c r="C406" s="34" t="str"/>
      <x:c r="D406" s="35" t="str">
        <x:f>IF(C406="Comprar",COUNTIF($C$6:C406,"Comprar"),"")</x:f>
      </x:c>
    </x:row>
    <x:row r="407">
      <x:c r="A407" s="34" t="str"/>
      <x:c r="B407" s="43"/>
      <x:c r="C407" s="34" t="str"/>
      <x:c r="D407" s="35" t="str">
        <x:f>IF(C407="Comprar",COUNTIF($C$6:C407,"Comprar"),"")</x:f>
      </x:c>
    </x:row>
    <x:row r="408">
      <x:c r="A408" s="34" t="str"/>
      <x:c r="B408" s="43"/>
      <x:c r="C408" s="34" t="str"/>
      <x:c r="D408" s="35" t="str">
        <x:f>IF(C408="Comprar",COUNTIF($C$6:C408,"Comprar"),"")</x:f>
      </x:c>
    </x:row>
    <x:row r="409">
      <x:c r="A409" s="34" t="str"/>
      <x:c r="B409" s="43"/>
      <x:c r="C409" s="34" t="str"/>
      <x:c r="D409" s="35" t="str">
        <x:f>IF(C409="Comprar",COUNTIF($C$6:C409,"Comprar"),"")</x:f>
      </x:c>
    </x:row>
    <x:row r="410">
      <x:c r="A410" s="34" t="str"/>
      <x:c r="B410" s="43"/>
      <x:c r="C410" s="34" t="str"/>
      <x:c r="D410" s="35" t="str">
        <x:f>IF(C410="Comprar",COUNTIF($C$6:C410,"Comprar"),"")</x:f>
      </x:c>
    </x:row>
    <x:row r="411">
      <x:c r="A411" s="34" t="str"/>
      <x:c r="B411" s="43"/>
      <x:c r="C411" s="34" t="str"/>
      <x:c r="D411" s="35" t="str">
        <x:f>IF(C411="Comprar",COUNTIF($C$6:C411,"Comprar"),"")</x:f>
      </x:c>
    </x:row>
    <x:row r="412">
      <x:c r="A412" s="34" t="str"/>
      <x:c r="B412" s="43"/>
      <x:c r="C412" s="34" t="str"/>
      <x:c r="D412" s="35" t="str">
        <x:f>IF(C412="Comprar",COUNTIF($C$6:C412,"Comprar"),"")</x:f>
      </x:c>
    </x:row>
    <x:row r="413">
      <x:c r="A413" s="34" t="str"/>
      <x:c r="B413" s="43"/>
      <x:c r="C413" s="34" t="str"/>
      <x:c r="D413" s="35" t="str">
        <x:f>IF(C413="Comprar",COUNTIF($C$6:C413,"Comprar"),"")</x:f>
      </x:c>
    </x:row>
    <x:row r="414">
      <x:c r="A414" s="34" t="str"/>
      <x:c r="B414" s="43"/>
      <x:c r="C414" s="34" t="str"/>
      <x:c r="D414" s="35" t="str">
        <x:f>IF(C414="Comprar",COUNTIF($C$6:C414,"Comprar"),"")</x:f>
      </x:c>
    </x:row>
    <x:row r="415">
      <x:c r="A415" s="34" t="str"/>
      <x:c r="B415" s="43"/>
      <x:c r="C415" s="34" t="str"/>
      <x:c r="D415" s="35" t="str">
        <x:f>IF(C415="Comprar",COUNTIF($C$6:C415,"Comprar"),"")</x:f>
      </x:c>
    </x:row>
    <x:row r="416">
      <x:c r="A416" s="34" t="str"/>
      <x:c r="B416" s="43"/>
      <x:c r="C416" s="34" t="str"/>
      <x:c r="D416" s="35" t="str">
        <x:f>IF(C416="Comprar",COUNTIF($C$6:C416,"Comprar"),"")</x:f>
      </x:c>
    </x:row>
    <x:row r="417">
      <x:c r="A417" s="34" t="str"/>
      <x:c r="B417" s="43"/>
      <x:c r="C417" s="34" t="str"/>
      <x:c r="D417" s="35" t="str">
        <x:f>IF(C417="Comprar",COUNTIF($C$6:C417,"Comprar"),"")</x:f>
      </x:c>
    </x:row>
    <x:row r="418">
      <x:c r="A418" s="34" t="str"/>
      <x:c r="B418" s="43"/>
      <x:c r="C418" s="34" t="str"/>
      <x:c r="D418" s="35" t="str">
        <x:f>IF(C418="Comprar",COUNTIF($C$6:C418,"Comprar"),"")</x:f>
      </x:c>
    </x:row>
    <x:row r="419">
      <x:c r="A419" s="34" t="str"/>
      <x:c r="B419" s="43"/>
      <x:c r="C419" s="34" t="str"/>
      <x:c r="D419" s="35" t="str">
        <x:f>IF(C419="Comprar",COUNTIF($C$6:C419,"Comprar"),"")</x:f>
      </x:c>
    </x:row>
    <x:row r="420">
      <x:c r="A420" s="34" t="str"/>
      <x:c r="B420" s="43"/>
      <x:c r="C420" s="34" t="str"/>
      <x:c r="D420" s="35" t="str">
        <x:f>IF(C420="Comprar",COUNTIF($C$6:C420,"Comprar"),"")</x:f>
      </x:c>
    </x:row>
    <x:row r="421">
      <x:c r="A421" s="34" t="str"/>
      <x:c r="B421" s="43"/>
      <x:c r="C421" s="34" t="str"/>
      <x:c r="D421" s="35" t="str">
        <x:f>IF(C421="Comprar",COUNTIF($C$6:C421,"Comprar"),"")</x:f>
      </x:c>
    </x:row>
    <x:row r="422">
      <x:c r="A422" s="34" t="str"/>
      <x:c r="B422" s="43"/>
      <x:c r="C422" s="34" t="str"/>
      <x:c r="D422" s="35" t="str">
        <x:f>IF(C422="Comprar",COUNTIF($C$6:C422,"Comprar"),"")</x:f>
      </x:c>
    </x:row>
    <x:row r="423">
      <x:c r="A423" s="34" t="str"/>
      <x:c r="B423" s="43"/>
      <x:c r="C423" s="34" t="str"/>
      <x:c r="D423" s="35" t="str">
        <x:f>IF(C423="Comprar",COUNTIF($C$6:C423,"Comprar"),"")</x:f>
      </x:c>
    </x:row>
    <x:row r="424">
      <x:c r="A424" s="34" t="str"/>
      <x:c r="B424" s="43"/>
      <x:c r="C424" s="34" t="str"/>
      <x:c r="D424" s="35" t="str">
        <x:f>IF(C424="Comprar",COUNTIF($C$6:C424,"Comprar"),"")</x:f>
      </x:c>
    </x:row>
    <x:row r="425">
      <x:c r="A425" s="34" t="str"/>
      <x:c r="B425" s="43"/>
      <x:c r="C425" s="34" t="str"/>
      <x:c r="D425" s="35" t="str">
        <x:f>IF(C425="Comprar",COUNTIF($C$6:C425,"Comprar"),"")</x:f>
      </x:c>
    </x:row>
    <x:row r="426">
      <x:c r="A426" s="34" t="str"/>
      <x:c r="B426" s="43"/>
      <x:c r="C426" s="34" t="str"/>
      <x:c r="D426" s="35" t="str">
        <x:f>IF(C426="Comprar",COUNTIF($C$6:C426,"Comprar"),"")</x:f>
      </x:c>
    </x:row>
    <x:row r="427">
      <x:c r="A427" s="34" t="str"/>
      <x:c r="B427" s="43"/>
      <x:c r="C427" s="34" t="str"/>
      <x:c r="D427" s="35" t="str">
        <x:f>IF(C427="Comprar",COUNTIF($C$6:C427,"Comprar"),"")</x:f>
      </x:c>
    </x:row>
    <x:row r="428">
      <x:c r="A428" s="34" t="str"/>
      <x:c r="B428" s="43"/>
      <x:c r="C428" s="34" t="str"/>
      <x:c r="D428" s="35" t="str">
        <x:f>IF(C428="Comprar",COUNTIF($C$6:C428,"Comprar"),"")</x:f>
      </x:c>
    </x:row>
    <x:row r="429">
      <x:c r="A429" s="34" t="str"/>
      <x:c r="B429" s="43"/>
      <x:c r="C429" s="34" t="str"/>
      <x:c r="D429" s="35" t="str">
        <x:f>IF(C429="Comprar",COUNTIF($C$6:C429,"Comprar"),"")</x:f>
      </x:c>
    </x:row>
    <x:row r="430">
      <x:c r="A430" s="34" t="str"/>
      <x:c r="B430" s="43"/>
      <x:c r="C430" s="34" t="str"/>
      <x:c r="D430" s="35" t="str">
        <x:f>IF(C430="Comprar",COUNTIF($C$6:C430,"Comprar"),"")</x:f>
      </x:c>
    </x:row>
    <x:row r="431">
      <x:c r="A431" s="34" t="str"/>
      <x:c r="B431" s="43"/>
      <x:c r="C431" s="34" t="str"/>
      <x:c r="D431" s="35" t="str">
        <x:f>IF(C431="Comprar",COUNTIF($C$6:C431,"Comprar"),"")</x:f>
      </x:c>
    </x:row>
    <x:row r="432">
      <x:c r="A432" s="34" t="str"/>
      <x:c r="B432" s="43"/>
      <x:c r="C432" s="34" t="str"/>
      <x:c r="D432" s="35" t="str">
        <x:f>IF(C432="Comprar",COUNTIF($C$6:C432,"Comprar"),"")</x:f>
      </x:c>
    </x:row>
    <x:row r="433">
      <x:c r="A433" s="34" t="str"/>
      <x:c r="B433" s="43"/>
      <x:c r="C433" s="34" t="str"/>
      <x:c r="D433" s="35" t="str">
        <x:f>IF(C433="Comprar",COUNTIF($C$6:C433,"Comprar"),"")</x:f>
      </x:c>
    </x:row>
    <x:row r="434">
      <x:c r="A434" s="34" t="str"/>
      <x:c r="B434" s="43"/>
      <x:c r="C434" s="34" t="str"/>
      <x:c r="D434" s="35" t="str">
        <x:f>IF(C434="Comprar",COUNTIF($C$6:C434,"Comprar"),"")</x:f>
      </x:c>
    </x:row>
    <x:row r="435">
      <x:c r="A435" s="34" t="str"/>
      <x:c r="B435" s="43"/>
      <x:c r="C435" s="34" t="str"/>
      <x:c r="D435" s="35" t="str">
        <x:f>IF(C435="Comprar",COUNTIF($C$6:C435,"Comprar"),"")</x:f>
      </x:c>
    </x:row>
    <x:row r="436">
      <x:c r="A436" s="34" t="str"/>
      <x:c r="B436" s="43"/>
      <x:c r="C436" s="34" t="str"/>
      <x:c r="D436" s="35" t="str">
        <x:f>IF(C436="Comprar",COUNTIF($C$6:C436,"Comprar"),"")</x:f>
      </x:c>
    </x:row>
    <x:row r="437">
      <x:c r="A437" s="34" t="str"/>
      <x:c r="B437" s="43"/>
      <x:c r="C437" s="34" t="str"/>
      <x:c r="D437" s="35" t="str">
        <x:f>IF(C437="Comprar",COUNTIF($C$6:C437,"Comprar"),"")</x:f>
      </x:c>
    </x:row>
    <x:row r="438">
      <x:c r="A438" s="34" t="str"/>
      <x:c r="B438" s="43"/>
      <x:c r="C438" s="34" t="str"/>
      <x:c r="D438" s="35" t="str">
        <x:f>IF(C438="Comprar",COUNTIF($C$6:C438,"Comprar"),"")</x:f>
      </x:c>
    </x:row>
    <x:row r="439">
      <x:c r="A439" s="34" t="str"/>
      <x:c r="B439" s="43"/>
      <x:c r="C439" s="34" t="str"/>
      <x:c r="D439" s="35" t="str">
        <x:f>IF(C439="Comprar",COUNTIF($C$6:C439,"Comprar"),"")</x:f>
      </x:c>
    </x:row>
    <x:row r="440">
      <x:c r="A440" s="34" t="str"/>
      <x:c r="B440" s="43"/>
      <x:c r="C440" s="34" t="str"/>
      <x:c r="D440" s="35" t="str">
        <x:f>IF(C440="Comprar",COUNTIF($C$6:C440,"Comprar"),"")</x:f>
      </x:c>
    </x:row>
    <x:row r="441">
      <x:c r="A441" s="34" t="str"/>
      <x:c r="B441" s="43"/>
      <x:c r="C441" s="34" t="str"/>
      <x:c r="D441" s="35" t="str">
        <x:f>IF(C441="Comprar",COUNTIF($C$6:C441,"Comprar"),"")</x:f>
      </x:c>
    </x:row>
    <x:row r="442">
      <x:c r="A442" s="34" t="str"/>
      <x:c r="B442" s="43"/>
      <x:c r="C442" s="34" t="str"/>
      <x:c r="D442" s="35" t="str">
        <x:f>IF(C442="Comprar",COUNTIF($C$6:C442,"Comprar"),"")</x:f>
      </x:c>
    </x:row>
    <x:row r="443">
      <x:c r="A443" s="34" t="str"/>
      <x:c r="B443" s="43"/>
      <x:c r="C443" s="34" t="str"/>
      <x:c r="D443" s="35" t="str">
        <x:f>IF(C443="Comprar",COUNTIF($C$6:C443,"Comprar"),"")</x:f>
      </x:c>
    </x:row>
    <x:row r="444">
      <x:c r="A444" s="34" t="str"/>
      <x:c r="B444" s="43"/>
      <x:c r="C444" s="34" t="str"/>
      <x:c r="D444" s="35" t="str">
        <x:f>IF(C444="Comprar",COUNTIF($C$6:C444,"Comprar"),"")</x:f>
      </x:c>
    </x:row>
    <x:row r="445">
      <x:c r="A445" s="34" t="str"/>
      <x:c r="B445" s="43"/>
      <x:c r="C445" s="34" t="str"/>
      <x:c r="D445" s="35" t="str">
        <x:f>IF(C445="Comprar",COUNTIF($C$6:C445,"Comprar"),"")</x:f>
      </x:c>
    </x:row>
    <x:row r="446">
      <x:c r="A446" s="34" t="str"/>
      <x:c r="B446" s="43"/>
      <x:c r="C446" s="34" t="str"/>
      <x:c r="D446" s="35" t="str">
        <x:f>IF(C446="Comprar",COUNTIF($C$6:C446,"Comprar"),"")</x:f>
      </x:c>
    </x:row>
    <x:row r="447">
      <x:c r="A447" s="34" t="str"/>
      <x:c r="B447" s="43"/>
      <x:c r="C447" s="34" t="str"/>
      <x:c r="D447" s="35" t="str">
        <x:f>IF(C447="Comprar",COUNTIF($C$6:C447,"Comprar"),"")</x:f>
      </x:c>
    </x:row>
    <x:row r="448">
      <x:c r="A448" s="34" t="str"/>
      <x:c r="B448" s="43"/>
      <x:c r="C448" s="34" t="str"/>
      <x:c r="D448" s="35" t="str">
        <x:f>IF(C448="Comprar",COUNTIF($C$6:C448,"Comprar"),"")</x:f>
      </x:c>
    </x:row>
    <x:row r="449">
      <x:c r="A449" s="34" t="str"/>
      <x:c r="B449" s="43"/>
      <x:c r="C449" s="34" t="str"/>
      <x:c r="D449" s="35" t="str">
        <x:f>IF(C449="Comprar",COUNTIF($C$6:C449,"Comprar"),"")</x:f>
      </x:c>
    </x:row>
    <x:row r="450">
      <x:c r="A450" s="34" t="str"/>
      <x:c r="B450" s="43"/>
      <x:c r="C450" s="34" t="str"/>
      <x:c r="D450" s="35" t="str">
        <x:f>IF(C450="Comprar",COUNTIF($C$6:C450,"Comprar"),"")</x:f>
      </x:c>
    </x:row>
    <x:row r="451">
      <x:c r="A451" s="34" t="str"/>
      <x:c r="B451" s="43"/>
      <x:c r="C451" s="34" t="str"/>
      <x:c r="D451" s="35" t="str">
        <x:f>IF(C451="Comprar",COUNTIF($C$6:C451,"Comprar"),"")</x:f>
      </x:c>
    </x:row>
    <x:row r="452">
      <x:c r="A452" s="34" t="str"/>
      <x:c r="B452" s="43"/>
      <x:c r="C452" s="34" t="str"/>
      <x:c r="D452" s="35" t="str">
        <x:f>IF(C452="Comprar",COUNTIF($C$6:C452,"Comprar"),"")</x:f>
      </x:c>
    </x:row>
    <x:row r="453">
      <x:c r="A453" s="34" t="str"/>
      <x:c r="B453" s="43"/>
      <x:c r="C453" s="34" t="str"/>
      <x:c r="D453" s="35" t="str">
        <x:f>IF(C453="Comprar",COUNTIF($C$6:C453,"Comprar"),"")</x:f>
      </x:c>
    </x:row>
    <x:row r="454">
      <x:c r="A454" s="34" t="str"/>
      <x:c r="B454" s="43"/>
      <x:c r="C454" s="34" t="str"/>
      <x:c r="D454" s="35" t="str">
        <x:f>IF(C454="Comprar",COUNTIF($C$6:C454,"Comprar"),"")</x:f>
      </x:c>
    </x:row>
    <x:row r="455">
      <x:c r="A455" s="34" t="str"/>
      <x:c r="B455" s="43"/>
      <x:c r="C455" s="34" t="str"/>
      <x:c r="D455" s="35" t="str">
        <x:f>IF(C455="Comprar",COUNTIF($C$6:C455,"Comprar"),"")</x:f>
      </x:c>
    </x:row>
    <x:row r="456">
      <x:c r="A456" s="34" t="str"/>
      <x:c r="B456" s="43"/>
      <x:c r="C456" s="34" t="str"/>
      <x:c r="D456" s="35" t="str">
        <x:f>IF(C456="Comprar",COUNTIF($C$6:C456,"Comprar"),"")</x:f>
      </x:c>
    </x:row>
    <x:row r="457">
      <x:c r="A457" s="34" t="str"/>
      <x:c r="B457" s="43"/>
      <x:c r="C457" s="34" t="str"/>
      <x:c r="D457" s="35" t="str">
        <x:f>IF(C457="Comprar",COUNTIF($C$6:C457,"Comprar"),"")</x:f>
      </x:c>
    </x:row>
    <x:row r="458">
      <x:c r="A458" s="34" t="str"/>
      <x:c r="B458" s="43"/>
      <x:c r="C458" s="34" t="str"/>
      <x:c r="D458" s="35" t="str">
        <x:f>IF(C458="Comprar",COUNTIF($C$6:C458,"Comprar"),"")</x:f>
      </x:c>
    </x:row>
    <x:row r="459">
      <x:c r="A459" s="34" t="str"/>
      <x:c r="B459" s="43"/>
      <x:c r="C459" s="34" t="str"/>
      <x:c r="D459" s="35" t="str">
        <x:f>IF(C459="Comprar",COUNTIF($C$6:C459,"Comprar"),"")</x:f>
      </x:c>
    </x:row>
    <x:row r="460">
      <x:c r="A460" s="34" t="str"/>
      <x:c r="B460" s="43"/>
      <x:c r="C460" s="34" t="str"/>
      <x:c r="D460" s="35" t="str">
        <x:f>IF(C460="Comprar",COUNTIF($C$6:C460,"Comprar"),"")</x:f>
      </x:c>
    </x:row>
    <x:row r="461">
      <x:c r="A461" s="34" t="str"/>
      <x:c r="B461" s="43"/>
      <x:c r="C461" s="34" t="str"/>
      <x:c r="D461" s="35" t="str">
        <x:f>IF(C461="Comprar",COUNTIF($C$6:C461,"Comprar"),"")</x:f>
      </x:c>
    </x:row>
    <x:row r="462">
      <x:c r="A462" s="34" t="str"/>
      <x:c r="B462" s="43"/>
      <x:c r="C462" s="34" t="str"/>
      <x:c r="D462" s="35" t="str">
        <x:f>IF(C462="Comprar",COUNTIF($C$6:C462,"Comprar"),"")</x:f>
      </x:c>
    </x:row>
    <x:row r="463">
      <x:c r="A463" s="34" t="str"/>
      <x:c r="B463" s="43"/>
      <x:c r="C463" s="34" t="str"/>
      <x:c r="D463" s="35" t="str">
        <x:f>IF(C463="Comprar",COUNTIF($C$6:C463,"Comprar"),"")</x:f>
      </x:c>
    </x:row>
    <x:row r="464">
      <x:c r="A464" s="34" t="str"/>
      <x:c r="B464" s="43"/>
      <x:c r="C464" s="34" t="str"/>
      <x:c r="D464" s="35" t="str">
        <x:f>IF(C464="Comprar",COUNTIF($C$6:C464,"Comprar"),"")</x:f>
      </x:c>
    </x:row>
    <x:row r="465">
      <x:c r="A465" s="34" t="str"/>
      <x:c r="B465" s="43"/>
      <x:c r="C465" s="34" t="str"/>
      <x:c r="D465" s="35" t="str">
        <x:f>IF(C465="Comprar",COUNTIF($C$6:C465,"Comprar"),"")</x:f>
      </x:c>
    </x:row>
    <x:row r="466">
      <x:c r="A466" s="34" t="str"/>
      <x:c r="B466" s="43"/>
      <x:c r="C466" s="34" t="str"/>
      <x:c r="D466" s="35" t="str">
        <x:f>IF(C466="Comprar",COUNTIF($C$6:C466,"Comprar"),"")</x:f>
      </x:c>
    </x:row>
    <x:row r="467">
      <x:c r="A467" s="34" t="str"/>
      <x:c r="B467" s="43"/>
      <x:c r="C467" s="34" t="str"/>
      <x:c r="D467" s="35" t="str">
        <x:f>IF(C467="Comprar",COUNTIF($C$6:C467,"Comprar"),"")</x:f>
      </x:c>
    </x:row>
    <x:row r="468">
      <x:c r="A468" s="34" t="str"/>
      <x:c r="B468" s="43"/>
      <x:c r="C468" s="34" t="str"/>
      <x:c r="D468" s="35" t="str">
        <x:f>IF(C468="Comprar",COUNTIF($C$6:C468,"Comprar"),"")</x:f>
      </x:c>
    </x:row>
    <x:row r="469">
      <x:c r="A469" s="34" t="str"/>
      <x:c r="B469" s="43"/>
      <x:c r="C469" s="34" t="str"/>
      <x:c r="D469" s="35" t="str">
        <x:f>IF(C469="Comprar",COUNTIF($C$6:C469,"Comprar"),"")</x:f>
      </x:c>
    </x:row>
    <x:row r="470">
      <x:c r="A470" s="34" t="str"/>
      <x:c r="B470" s="43"/>
      <x:c r="C470" s="34" t="str"/>
      <x:c r="D470" s="35" t="str">
        <x:f>IF(C470="Comprar",COUNTIF($C$6:C470,"Comprar"),"")</x:f>
      </x:c>
    </x:row>
    <x:row r="471">
      <x:c r="A471" s="34" t="str"/>
      <x:c r="B471" s="43"/>
      <x:c r="C471" s="34" t="str"/>
      <x:c r="D471" s="35" t="str">
        <x:f>IF(C471="Comprar",COUNTIF($C$6:C471,"Comprar"),"")</x:f>
      </x:c>
    </x:row>
    <x:row r="472">
      <x:c r="A472" s="34" t="str"/>
      <x:c r="B472" s="43"/>
      <x:c r="C472" s="34" t="str"/>
      <x:c r="D472" s="35" t="str">
        <x:f>IF(C472="Comprar",COUNTIF($C$6:C472,"Comprar"),"")</x:f>
      </x:c>
    </x:row>
    <x:row r="473">
      <x:c r="A473" s="34" t="str"/>
      <x:c r="B473" s="43"/>
      <x:c r="C473" s="34" t="str"/>
      <x:c r="D473" s="35" t="str">
        <x:f>IF(C473="Comprar",COUNTIF($C$6:C473,"Comprar"),"")</x:f>
      </x:c>
    </x:row>
    <x:row r="474">
      <x:c r="A474" s="34" t="str"/>
      <x:c r="B474" s="43"/>
      <x:c r="C474" s="34" t="str"/>
      <x:c r="D474" s="35" t="str">
        <x:f>IF(C474="Comprar",COUNTIF($C$6:C474,"Comprar"),"")</x:f>
      </x:c>
    </x:row>
    <x:row r="475">
      <x:c r="A475" s="34" t="str"/>
      <x:c r="B475" s="43"/>
      <x:c r="C475" s="34" t="str"/>
      <x:c r="D475" s="35" t="str">
        <x:f>IF(C475="Comprar",COUNTIF($C$6:C475,"Comprar"),"")</x:f>
      </x:c>
    </x:row>
    <x:row r="476">
      <x:c r="A476" s="34" t="str"/>
      <x:c r="B476" s="43"/>
      <x:c r="C476" s="34" t="str"/>
      <x:c r="D476" s="35" t="str">
        <x:f>IF(C476="Comprar",COUNTIF($C$6:C476,"Comprar"),"")</x:f>
      </x:c>
    </x:row>
    <x:row r="477">
      <x:c r="A477" s="34" t="str"/>
      <x:c r="B477" s="43"/>
      <x:c r="C477" s="34" t="str"/>
      <x:c r="D477" s="35" t="str">
        <x:f>IF(C477="Comprar",COUNTIF($C$6:C477,"Comprar"),"")</x:f>
      </x:c>
    </x:row>
    <x:row r="478">
      <x:c r="A478" s="34" t="str"/>
      <x:c r="B478" s="43"/>
      <x:c r="C478" s="34" t="str"/>
      <x:c r="D478" s="35" t="str">
        <x:f>IF(C478="Comprar",COUNTIF($C$6:C478,"Comprar"),"")</x:f>
      </x:c>
    </x:row>
    <x:row r="479">
      <x:c r="A479" s="34" t="str"/>
      <x:c r="B479" s="43"/>
      <x:c r="C479" s="34" t="str"/>
      <x:c r="D479" s="35" t="str">
        <x:f>IF(C479="Comprar",COUNTIF($C$6:C479,"Comprar"),"")</x:f>
      </x:c>
    </x:row>
    <x:row r="480">
      <x:c r="A480" s="34" t="str"/>
      <x:c r="B480" s="43"/>
      <x:c r="C480" s="34" t="str"/>
      <x:c r="D480" s="35" t="str">
        <x:f>IF(C480="Comprar",COUNTIF($C$6:C480,"Comprar"),"")</x:f>
      </x:c>
    </x:row>
    <x:row r="481">
      <x:c r="A481" s="34" t="str"/>
      <x:c r="B481" s="43"/>
      <x:c r="C481" s="34" t="str"/>
      <x:c r="D481" s="35" t="str">
        <x:f>IF(C481="Comprar",COUNTIF($C$6:C481,"Comprar"),"")</x:f>
      </x:c>
    </x:row>
    <x:row r="482">
      <x:c r="A482" s="34" t="str"/>
      <x:c r="B482" s="43"/>
      <x:c r="C482" s="34" t="str"/>
      <x:c r="D482" s="35" t="str">
        <x:f>IF(C482="Comprar",COUNTIF($C$6:C482,"Comprar"),"")</x:f>
      </x:c>
    </x:row>
    <x:row r="483">
      <x:c r="A483" s="34" t="str"/>
      <x:c r="B483" s="43"/>
      <x:c r="C483" s="34" t="str"/>
      <x:c r="D483" s="35" t="str">
        <x:f>IF(C483="Comprar",COUNTIF($C$6:C483,"Comprar"),"")</x:f>
      </x:c>
    </x:row>
    <x:row r="484">
      <x:c r="A484" s="34" t="str"/>
      <x:c r="B484" s="43"/>
      <x:c r="C484" s="34" t="str"/>
      <x:c r="D484" s="35" t="str">
        <x:f>IF(C484="Comprar",COUNTIF($C$6:C484,"Comprar"),"")</x:f>
      </x:c>
    </x:row>
    <x:row r="485">
      <x:c r="A485" s="34" t="str"/>
      <x:c r="B485" s="43"/>
      <x:c r="C485" s="34" t="str"/>
      <x:c r="D485" s="35" t="str">
        <x:f>IF(C485="Comprar",COUNTIF($C$6:C485,"Comprar"),"")</x:f>
      </x:c>
    </x:row>
    <x:row r="486">
      <x:c r="A486" s="34" t="str"/>
      <x:c r="B486" s="43"/>
      <x:c r="C486" s="34" t="str"/>
      <x:c r="D486" s="35" t="str">
        <x:f>IF(C486="Comprar",COUNTIF($C$6:C486,"Comprar"),"")</x:f>
      </x:c>
    </x:row>
    <x:row r="487">
      <x:c r="A487" s="34" t="str"/>
      <x:c r="B487" s="43"/>
      <x:c r="C487" s="34" t="str"/>
      <x:c r="D487" s="35" t="str">
        <x:f>IF(C487="Comprar",COUNTIF($C$6:C487,"Comprar"),"")</x:f>
      </x:c>
    </x:row>
    <x:row r="488">
      <x:c r="A488" s="34" t="str"/>
      <x:c r="B488" s="43"/>
      <x:c r="C488" s="34" t="str"/>
      <x:c r="D488" s="35" t="str">
        <x:f>IF(C488="Comprar",COUNTIF($C$6:C488,"Comprar"),"")</x:f>
      </x:c>
    </x:row>
    <x:row r="489">
      <x:c r="A489" s="34" t="str"/>
      <x:c r="B489" s="43"/>
      <x:c r="C489" s="34" t="str"/>
      <x:c r="D489" s="35" t="str">
        <x:f>IF(C489="Comprar",COUNTIF($C$6:C489,"Comprar"),"")</x:f>
      </x:c>
    </x:row>
    <x:row r="490">
      <x:c r="A490" s="34" t="str"/>
      <x:c r="B490" s="43"/>
      <x:c r="C490" s="34" t="str"/>
      <x:c r="D490" s="35" t="str">
        <x:f>IF(C490="Comprar",COUNTIF($C$6:C490,"Comprar"),"")</x:f>
      </x:c>
    </x:row>
    <x:row r="491">
      <x:c r="A491" s="34" t="str"/>
      <x:c r="B491" s="43"/>
      <x:c r="C491" s="34" t="str"/>
      <x:c r="D491" s="35" t="str">
        <x:f>IF(C491="Comprar",COUNTIF($C$6:C491,"Comprar"),"")</x:f>
      </x:c>
    </x:row>
    <x:row r="492">
      <x:c r="A492" s="34" t="str"/>
      <x:c r="B492" s="43"/>
      <x:c r="C492" s="34" t="str"/>
      <x:c r="D492" s="35" t="str">
        <x:f>IF(C492="Comprar",COUNTIF($C$6:C492,"Comprar"),"")</x:f>
      </x:c>
    </x:row>
    <x:row r="493">
      <x:c r="A493" s="34" t="str"/>
      <x:c r="B493" s="43"/>
      <x:c r="C493" s="34" t="str"/>
      <x:c r="D493" s="35" t="str">
        <x:f>IF(C493="Comprar",COUNTIF($C$6:C493,"Comprar"),"")</x:f>
      </x:c>
    </x:row>
    <x:row r="494">
      <x:c r="A494" s="34" t="str"/>
      <x:c r="B494" s="43"/>
      <x:c r="C494" s="34" t="str"/>
      <x:c r="D494" s="35" t="str">
        <x:f>IF(C494="Comprar",COUNTIF($C$6:C494,"Comprar"),"")</x:f>
      </x:c>
    </x:row>
    <x:row r="495">
      <x:c r="A495" s="34" t="str"/>
      <x:c r="B495" s="43"/>
      <x:c r="C495" s="34" t="str"/>
      <x:c r="D495" s="35" t="str">
        <x:f>IF(C495="Comprar",COUNTIF($C$6:C495,"Comprar"),"")</x:f>
      </x:c>
    </x:row>
    <x:row r="496">
      <x:c r="A496" s="34" t="str"/>
      <x:c r="B496" s="43"/>
      <x:c r="C496" s="34" t="str"/>
      <x:c r="D496" s="35" t="str">
        <x:f>IF(C496="Comprar",COUNTIF($C$6:C496,"Comprar"),"")</x:f>
      </x:c>
    </x:row>
    <x:row r="497">
      <x:c r="A497" s="34" t="str"/>
      <x:c r="B497" s="43"/>
      <x:c r="C497" s="34" t="str"/>
      <x:c r="D497" s="35" t="str">
        <x:f>IF(C497="Comprar",COUNTIF($C$6:C497,"Comprar"),"")</x:f>
      </x:c>
    </x:row>
    <x:row r="498">
      <x:c r="A498" s="34" t="str"/>
      <x:c r="B498" s="43"/>
      <x:c r="C498" s="34" t="str"/>
      <x:c r="D498" s="35" t="str">
        <x:f>IF(C498="Comprar",COUNTIF($C$6:C498,"Comprar"),"")</x:f>
      </x:c>
    </x:row>
    <x:row r="499">
      <x:c r="A499" s="34" t="str"/>
      <x:c r="B499" s="43"/>
      <x:c r="C499" s="34" t="str"/>
      <x:c r="D499" s="35" t="str">
        <x:f>IF(C499="Comprar",COUNTIF($C$6:C499,"Comprar"),"")</x:f>
      </x:c>
    </x:row>
    <x:row r="500">
      <x:c r="A500" s="34" t="str"/>
      <x:c r="B500" s="43"/>
      <x:c r="C500" s="34" t="str"/>
      <x:c r="D500" s="35" t="str">
        <x:f>IF(C500="Comprar",COUNTIF($C$6:C500,"Comprar"),"")</x:f>
      </x:c>
    </x:row>
    <x:row r="501">
      <x:c r="A501" s="34" t="str"/>
      <x:c r="B501" s="43"/>
      <x:c r="C501" s="34" t="str"/>
      <x:c r="D501" s="35" t="str">
        <x:f>IF(C501="Comprar",COUNTIF($C$6:C501,"Comprar"),"")</x:f>
      </x:c>
    </x:row>
    <x:row r="502">
      <x:c r="A502" s="34" t="str"/>
      <x:c r="B502" s="43"/>
      <x:c r="C502" s="34" t="str"/>
      <x:c r="D502" s="35" t="str">
        <x:f>IF(C502="Comprar",COUNTIF($C$6:C502,"Comprar"),"")</x:f>
      </x:c>
    </x:row>
    <x:row r="503">
      <x:c r="A503" s="34" t="str"/>
      <x:c r="B503" s="43"/>
      <x:c r="C503" s="34" t="str"/>
      <x:c r="D503" s="35" t="str">
        <x:f>IF(C503="Comprar",COUNTIF($C$6:C503,"Comprar"),"")</x:f>
      </x:c>
    </x:row>
    <x:row r="504">
      <x:c r="A504" s="34" t="str"/>
      <x:c r="B504" s="43"/>
      <x:c r="C504" s="34" t="str"/>
      <x:c r="D504" s="35" t="str">
        <x:f>IF(C504="Comprar",COUNTIF($C$6:C504,"Comprar"),"")</x:f>
      </x:c>
    </x:row>
    <x:row r="505">
      <x:c r="A505" s="34" t="str"/>
      <x:c r="B505" s="43"/>
      <x:c r="C505" s="34" t="str"/>
      <x:c r="D505" s="35" t="str">
        <x:f>IF(C505="Comprar",COUNTIF($C$6:C505,"Comprar"),"")</x:f>
      </x:c>
    </x:row>
  </x:sheetData>
  <x:mergeCells>
    <x:mergeCell ref="A1:D1"/>
    <x:mergeCell ref="A2:D2"/>
  </x:mergeCells>
  <x:conditionalFormatting sqref="A6:C505">
    <x:cfRule type="expression" dxfId="3" priority="1">
      <x:formula>$C6="Comprar"</x:formula>
    </x:cfRule>
    <x:cfRule type="expression" dxfId="4" priority="2">
      <x:formula>$C6="Disponible"</x:formula>
    </x:cfRule>
  </x:conditionalFormatting>
  <x:dataValidations count="1">
    <x:dataValidation type="list" sqref="C6:C505">
      <x:formula1>"Comprar,Disponible"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fb1cb719bf4ebd"/>
  </x:tableParts>
</x:worksheet>
</file>